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8_{646C36E5-42AC-4752-AE7E-A89EA8C75D2B}" xr6:coauthVersionLast="47" xr6:coauthVersionMax="47" xr10:uidLastSave="{00000000-0000-0000-0000-000000000000}"/>
  <bookViews>
    <workbookView xWindow="-14400" yWindow="-16320" windowWidth="29040" windowHeight="15720" xr2:uid="{66D9863A-341A-4414-9E11-CCEB7DF8B0DA}"/>
  </bookViews>
  <sheets>
    <sheet name="Roll Up" sheetId="1" r:id="rId1"/>
    <sheet name="Target" sheetId="4" r:id="rId2"/>
    <sheet name="Export" sheetId="3" r:id="rId3"/>
    <sheet name="Risk" sheetId="6" r:id="rId4"/>
    <sheet name="Structure" sheetId="52" r:id="rId5"/>
    <sheet name="Mechanical" sheetId="53" r:id="rId6"/>
    <sheet name="Electrical" sheetId="54" r:id="rId7"/>
    <sheet name="Avionics" sheetId="55" r:id="rId8"/>
    <sheet name="Powerplant" sheetId="56" r:id="rId9"/>
    <sheet name="Interior" sheetId="57" r:id="rId10"/>
    <sheet name="Import" sheetId="59" r:id="rId1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S53" i="59" l="1"/>
  <c r="R53" i="59"/>
  <c r="Q53" i="59"/>
  <c r="P53" i="59"/>
  <c r="O53" i="59"/>
  <c r="S52" i="59"/>
  <c r="R52" i="59"/>
  <c r="Q52" i="59"/>
  <c r="P52" i="59"/>
  <c r="O52" i="59"/>
  <c r="S51" i="59"/>
  <c r="R51" i="59"/>
  <c r="Q51" i="59"/>
  <c r="P51" i="59"/>
  <c r="O51" i="59"/>
  <c r="S50" i="59"/>
  <c r="R50" i="59"/>
  <c r="Q50" i="59"/>
  <c r="P50" i="59"/>
  <c r="O50" i="59"/>
  <c r="S49" i="59"/>
  <c r="R49" i="59"/>
  <c r="Q49" i="59"/>
  <c r="P49" i="59"/>
  <c r="O49" i="59"/>
  <c r="S48" i="59"/>
  <c r="R48" i="59"/>
  <c r="Q48" i="59"/>
  <c r="P48" i="59"/>
  <c r="O48" i="59"/>
  <c r="S47" i="59"/>
  <c r="R47" i="59"/>
  <c r="Q47" i="59"/>
  <c r="P47" i="59"/>
  <c r="O47" i="59"/>
  <c r="S46" i="59"/>
  <c r="R46" i="59"/>
  <c r="Q46" i="59"/>
  <c r="P46" i="59"/>
  <c r="O46" i="59"/>
  <c r="S45" i="59"/>
  <c r="R45" i="59"/>
  <c r="Q45" i="59"/>
  <c r="P45" i="59"/>
  <c r="O45" i="59"/>
  <c r="S44" i="59"/>
  <c r="R44" i="59"/>
  <c r="Q44" i="59"/>
  <c r="P44" i="59"/>
  <c r="O44" i="59"/>
  <c r="S43" i="59"/>
  <c r="R43" i="59"/>
  <c r="Q43" i="59"/>
  <c r="P43" i="59"/>
  <c r="O43" i="59"/>
  <c r="S42" i="59"/>
  <c r="R42" i="59"/>
  <c r="Q42" i="59"/>
  <c r="P42" i="59"/>
  <c r="O42" i="59"/>
  <c r="S41" i="59"/>
  <c r="R41" i="59"/>
  <c r="Q41" i="59"/>
  <c r="P41" i="59"/>
  <c r="O41" i="59"/>
  <c r="S40" i="59"/>
  <c r="R40" i="59"/>
  <c r="Q40" i="59"/>
  <c r="P40" i="59"/>
  <c r="O40" i="59"/>
  <c r="S39" i="59"/>
  <c r="R39" i="59"/>
  <c r="Q39" i="59"/>
  <c r="P39" i="59"/>
  <c r="O39" i="59"/>
  <c r="S38" i="59"/>
  <c r="R38" i="59"/>
  <c r="Q38" i="59"/>
  <c r="P38" i="59"/>
  <c r="O38" i="59"/>
  <c r="S37" i="59"/>
  <c r="R37" i="59"/>
  <c r="Q37" i="59"/>
  <c r="P37" i="59"/>
  <c r="O37" i="59"/>
  <c r="S36" i="59"/>
  <c r="R36" i="59"/>
  <c r="Q36" i="59"/>
  <c r="P36" i="59"/>
  <c r="O36" i="59"/>
  <c r="S35" i="59"/>
  <c r="R35" i="59"/>
  <c r="Q35" i="59"/>
  <c r="P35" i="59"/>
  <c r="O35" i="59"/>
  <c r="S34" i="59"/>
  <c r="R34" i="59"/>
  <c r="Q34" i="59"/>
  <c r="P34" i="59"/>
  <c r="O34" i="59"/>
  <c r="S33" i="59"/>
  <c r="R33" i="59"/>
  <c r="Q33" i="59"/>
  <c r="P33" i="59"/>
  <c r="O33" i="59"/>
  <c r="S32" i="59"/>
  <c r="R32" i="59"/>
  <c r="Q32" i="59"/>
  <c r="P32" i="59"/>
  <c r="O32" i="59"/>
  <c r="S31" i="59"/>
  <c r="R31" i="59"/>
  <c r="Q31" i="59"/>
  <c r="P31" i="59"/>
  <c r="O31" i="59"/>
  <c r="S30" i="59"/>
  <c r="R30" i="59"/>
  <c r="Q30" i="59"/>
  <c r="P30" i="59"/>
  <c r="O30" i="59"/>
  <c r="S29" i="59"/>
  <c r="R29" i="59"/>
  <c r="Q29" i="59"/>
  <c r="P29" i="59"/>
  <c r="O29" i="59"/>
  <c r="S28" i="59"/>
  <c r="R28" i="59"/>
  <c r="Q28" i="59"/>
  <c r="P28" i="59"/>
  <c r="O28" i="59"/>
  <c r="S27" i="59"/>
  <c r="R27" i="59"/>
  <c r="Q27" i="59"/>
  <c r="P27" i="59"/>
  <c r="O27" i="59"/>
  <c r="S26" i="59"/>
  <c r="R26" i="59"/>
  <c r="Q26" i="59"/>
  <c r="P26" i="59"/>
  <c r="O26" i="59"/>
  <c r="S25" i="59"/>
  <c r="R25" i="59"/>
  <c r="Q25" i="59"/>
  <c r="P25" i="59"/>
  <c r="O25" i="59"/>
  <c r="S24" i="59"/>
  <c r="R24" i="59"/>
  <c r="Q24" i="59"/>
  <c r="P24" i="59"/>
  <c r="O24" i="59"/>
  <c r="S23" i="59"/>
  <c r="R23" i="59"/>
  <c r="Q23" i="59"/>
  <c r="P23" i="59"/>
  <c r="O23" i="59"/>
  <c r="S22" i="59"/>
  <c r="R22" i="59"/>
  <c r="Q22" i="59"/>
  <c r="P22" i="59"/>
  <c r="O22" i="59"/>
  <c r="S21" i="59"/>
  <c r="R21" i="59"/>
  <c r="Q21" i="59"/>
  <c r="P21" i="59"/>
  <c r="O21" i="59"/>
  <c r="S20" i="59"/>
  <c r="R20" i="59"/>
  <c r="Q20" i="59"/>
  <c r="P20" i="59"/>
  <c r="O20" i="59"/>
  <c r="S19" i="59"/>
  <c r="R19" i="59"/>
  <c r="Q19" i="59"/>
  <c r="P19" i="59"/>
  <c r="O19" i="59"/>
  <c r="S18" i="59"/>
  <c r="R18" i="59"/>
  <c r="Q18" i="59"/>
  <c r="P18" i="59"/>
  <c r="O18" i="59"/>
  <c r="S17" i="59"/>
  <c r="R17" i="59"/>
  <c r="Q17" i="59"/>
  <c r="P17" i="59"/>
  <c r="O17" i="59"/>
  <c r="S16" i="59"/>
  <c r="R16" i="59"/>
  <c r="Q16" i="59"/>
  <c r="P16" i="59"/>
  <c r="O16" i="59"/>
  <c r="S15" i="59"/>
  <c r="R15" i="59"/>
  <c r="Q15" i="59"/>
  <c r="P15" i="59"/>
  <c r="O15" i="59"/>
  <c r="S14" i="59"/>
  <c r="R14" i="59"/>
  <c r="Q14" i="59"/>
  <c r="P14" i="59"/>
  <c r="O14" i="59"/>
  <c r="S13" i="59"/>
  <c r="R13" i="59"/>
  <c r="Q13" i="59"/>
  <c r="P13" i="59"/>
  <c r="O13" i="59"/>
  <c r="S12" i="59"/>
  <c r="R12" i="59"/>
  <c r="Q12" i="59"/>
  <c r="P12" i="59"/>
  <c r="O12" i="59"/>
  <c r="S11" i="59"/>
  <c r="R11" i="59"/>
  <c r="Q11" i="59"/>
  <c r="P11" i="59"/>
  <c r="O11" i="59"/>
  <c r="S10" i="59"/>
  <c r="R10" i="59"/>
  <c r="Q10" i="59"/>
  <c r="P10" i="59"/>
  <c r="O10" i="59"/>
  <c r="S9" i="59"/>
  <c r="R9" i="59"/>
  <c r="Q9" i="59"/>
  <c r="P9" i="59"/>
  <c r="O9" i="59"/>
  <c r="S8" i="59"/>
  <c r="R8" i="59"/>
  <c r="Q8" i="59"/>
  <c r="P8" i="59"/>
  <c r="O8" i="59"/>
  <c r="S7" i="59"/>
  <c r="R7" i="59"/>
  <c r="Q7" i="59"/>
  <c r="P7" i="59"/>
  <c r="O7" i="59"/>
  <c r="S6" i="59"/>
  <c r="R6" i="59"/>
  <c r="Q6" i="59"/>
  <c r="P6" i="59"/>
  <c r="O6" i="59"/>
  <c r="S5" i="59"/>
  <c r="R5" i="59"/>
  <c r="Q5" i="59"/>
  <c r="P5" i="59"/>
  <c r="O5" i="59"/>
  <c r="S4" i="59"/>
  <c r="R4" i="59"/>
  <c r="Q4" i="59"/>
  <c r="P4" i="59"/>
  <c r="O4" i="59"/>
  <c r="S3" i="59"/>
  <c r="R3" i="59"/>
  <c r="Q3" i="59"/>
  <c r="P3" i="59"/>
  <c r="O3" i="59"/>
  <c r="S2" i="59"/>
  <c r="R2" i="59"/>
  <c r="Q2" i="59"/>
  <c r="P2" i="59"/>
  <c r="O2" i="59"/>
  <c r="AA41" i="57"/>
  <c r="Z41" i="57"/>
  <c r="Y41" i="57"/>
  <c r="I41" i="57"/>
  <c r="H41" i="57"/>
  <c r="G41" i="57"/>
  <c r="F41" i="57"/>
  <c r="E41" i="57"/>
  <c r="V35" i="57"/>
  <c r="E35" i="57"/>
  <c r="V34" i="57"/>
  <c r="E34" i="57"/>
  <c r="V33" i="57"/>
  <c r="E33" i="57"/>
  <c r="V32" i="57"/>
  <c r="E32" i="57"/>
  <c r="I29" i="57"/>
  <c r="H29" i="57"/>
  <c r="G29" i="57"/>
  <c r="F29" i="57"/>
  <c r="E29" i="57"/>
  <c r="D29" i="57"/>
  <c r="AA21" i="57"/>
  <c r="Z21" i="57"/>
  <c r="Y21" i="57"/>
  <c r="I21" i="57"/>
  <c r="H21" i="57"/>
  <c r="G21" i="57"/>
  <c r="F21" i="57"/>
  <c r="E21" i="57"/>
  <c r="V15" i="57"/>
  <c r="E15" i="57"/>
  <c r="V14" i="57"/>
  <c r="E14" i="57"/>
  <c r="V13" i="57"/>
  <c r="E13" i="57"/>
  <c r="V12" i="57"/>
  <c r="E12" i="57"/>
  <c r="V11" i="57"/>
  <c r="E11" i="57"/>
  <c r="V10" i="57"/>
  <c r="E10" i="57"/>
  <c r="V9" i="57"/>
  <c r="E9" i="57"/>
  <c r="I6" i="57"/>
  <c r="H6" i="57"/>
  <c r="G6" i="57"/>
  <c r="F6" i="57"/>
  <c r="E6" i="57"/>
  <c r="D6" i="57"/>
  <c r="AA94" i="56"/>
  <c r="Z94" i="56"/>
  <c r="I94" i="56"/>
  <c r="H94" i="56"/>
  <c r="G94" i="56"/>
  <c r="F94" i="56"/>
  <c r="E94" i="56"/>
  <c r="V88" i="56"/>
  <c r="E88" i="56"/>
  <c r="V87" i="56"/>
  <c r="E87" i="56"/>
  <c r="V86" i="56"/>
  <c r="E86" i="56"/>
  <c r="I83" i="56"/>
  <c r="H83" i="56"/>
  <c r="G83" i="56"/>
  <c r="F83" i="56"/>
  <c r="E83" i="56"/>
  <c r="D83" i="56"/>
  <c r="AA75" i="56"/>
  <c r="Z75" i="56"/>
  <c r="Y75" i="56"/>
  <c r="I75" i="56"/>
  <c r="H75" i="56"/>
  <c r="G75" i="56"/>
  <c r="F75" i="56"/>
  <c r="E75" i="56"/>
  <c r="V69" i="56"/>
  <c r="E69" i="56"/>
  <c r="V68" i="56"/>
  <c r="E68" i="56"/>
  <c r="V67" i="56"/>
  <c r="E67" i="56"/>
  <c r="I64" i="56"/>
  <c r="H64" i="56"/>
  <c r="G64" i="56"/>
  <c r="F64" i="56"/>
  <c r="E64" i="56"/>
  <c r="D64" i="56"/>
  <c r="AA56" i="56"/>
  <c r="Z56" i="56"/>
  <c r="Y56" i="56"/>
  <c r="I56" i="56"/>
  <c r="H56" i="56"/>
  <c r="G56" i="56"/>
  <c r="F56" i="56"/>
  <c r="E56" i="56"/>
  <c r="V50" i="56"/>
  <c r="E50" i="56"/>
  <c r="V49" i="56"/>
  <c r="E49" i="56"/>
  <c r="V48" i="56"/>
  <c r="E48" i="56"/>
  <c r="V47" i="56"/>
  <c r="E47" i="56"/>
  <c r="V46" i="56"/>
  <c r="E46" i="56"/>
  <c r="I43" i="56"/>
  <c r="H43" i="56"/>
  <c r="G43" i="56"/>
  <c r="F43" i="56"/>
  <c r="E43" i="56"/>
  <c r="D43" i="56"/>
  <c r="AA35" i="56"/>
  <c r="Z35" i="56"/>
  <c r="Y35" i="56"/>
  <c r="I35" i="56"/>
  <c r="H35" i="56"/>
  <c r="G35" i="56"/>
  <c r="F35" i="56"/>
  <c r="E35" i="56"/>
  <c r="V29" i="56"/>
  <c r="E29" i="56"/>
  <c r="V28" i="56"/>
  <c r="E28" i="56"/>
  <c r="V27" i="56"/>
  <c r="E27" i="56"/>
  <c r="V26" i="56"/>
  <c r="E26" i="56"/>
  <c r="V25" i="56"/>
  <c r="E25" i="56"/>
  <c r="V24" i="56"/>
  <c r="E24" i="56"/>
  <c r="V23" i="56"/>
  <c r="E23" i="56"/>
  <c r="V22" i="56"/>
  <c r="E22" i="56"/>
  <c r="V21" i="56"/>
  <c r="E21" i="56"/>
  <c r="V20" i="56"/>
  <c r="E20" i="56"/>
  <c r="V19" i="56"/>
  <c r="E19" i="56"/>
  <c r="V18" i="56"/>
  <c r="E18" i="56"/>
  <c r="V17" i="56"/>
  <c r="E17" i="56"/>
  <c r="V16" i="56"/>
  <c r="E16" i="56"/>
  <c r="V15" i="56"/>
  <c r="E15" i="56"/>
  <c r="V14" i="56"/>
  <c r="E14" i="56"/>
  <c r="V13" i="56"/>
  <c r="E13" i="56"/>
  <c r="V12" i="56"/>
  <c r="E12" i="56"/>
  <c r="V11" i="56"/>
  <c r="E11" i="56"/>
  <c r="V10" i="56"/>
  <c r="E10" i="56"/>
  <c r="V9" i="56"/>
  <c r="E9" i="56"/>
  <c r="I6" i="56"/>
  <c r="H6" i="56"/>
  <c r="G6" i="56"/>
  <c r="F6" i="56"/>
  <c r="E6" i="56"/>
  <c r="D6" i="56"/>
  <c r="AA77" i="55"/>
  <c r="Z77" i="55"/>
  <c r="Y77" i="55"/>
  <c r="I77" i="55"/>
  <c r="H77" i="55"/>
  <c r="G77" i="55"/>
  <c r="F77" i="55"/>
  <c r="E77" i="55"/>
  <c r="V71" i="55"/>
  <c r="E71" i="55"/>
  <c r="V70" i="55"/>
  <c r="E70" i="55"/>
  <c r="V69" i="55"/>
  <c r="E69" i="55"/>
  <c r="V68" i="55"/>
  <c r="E68" i="55"/>
  <c r="V67" i="55"/>
  <c r="E67" i="55"/>
  <c r="I64" i="55"/>
  <c r="H64" i="55"/>
  <c r="G64" i="55"/>
  <c r="F64" i="55"/>
  <c r="E64" i="55"/>
  <c r="D64" i="55"/>
  <c r="AA56" i="55"/>
  <c r="Z56" i="55"/>
  <c r="Y56" i="55"/>
  <c r="I56" i="55"/>
  <c r="H56" i="55"/>
  <c r="G56" i="55"/>
  <c r="F56" i="55"/>
  <c r="E56" i="55"/>
  <c r="V50" i="55"/>
  <c r="E50" i="55"/>
  <c r="V49" i="55"/>
  <c r="E49" i="55"/>
  <c r="V48" i="55"/>
  <c r="E48" i="55"/>
  <c r="V47" i="55"/>
  <c r="E47" i="55"/>
  <c r="V46" i="55"/>
  <c r="E46" i="55"/>
  <c r="I43" i="55"/>
  <c r="H43" i="55"/>
  <c r="G43" i="55"/>
  <c r="F43" i="55"/>
  <c r="E43" i="55"/>
  <c r="D43" i="55"/>
  <c r="AA35" i="55"/>
  <c r="Z35" i="55"/>
  <c r="Y35" i="55"/>
  <c r="I35" i="55"/>
  <c r="H35" i="55"/>
  <c r="G35" i="55"/>
  <c r="F35" i="55"/>
  <c r="E35" i="55"/>
  <c r="V29" i="55"/>
  <c r="E29" i="55"/>
  <c r="V28" i="55"/>
  <c r="E28" i="55"/>
  <c r="V27" i="55"/>
  <c r="E27" i="55"/>
  <c r="I24" i="55"/>
  <c r="H24" i="55"/>
  <c r="G24" i="55"/>
  <c r="F24" i="55"/>
  <c r="E24" i="55"/>
  <c r="D24" i="55"/>
  <c r="AA16" i="55"/>
  <c r="Z16" i="55"/>
  <c r="I16" i="55"/>
  <c r="H16" i="55"/>
  <c r="G16" i="55"/>
  <c r="F16" i="55"/>
  <c r="E16" i="55"/>
  <c r="V10" i="55"/>
  <c r="E10" i="55"/>
  <c r="V9" i="55"/>
  <c r="E9" i="55"/>
  <c r="I6" i="55"/>
  <c r="H6" i="55"/>
  <c r="G6" i="55"/>
  <c r="F6" i="55"/>
  <c r="E6" i="55"/>
  <c r="D6" i="55"/>
  <c r="AA60" i="54"/>
  <c r="Z60" i="54"/>
  <c r="Y60" i="54"/>
  <c r="I60" i="54"/>
  <c r="H60" i="54"/>
  <c r="G60" i="54"/>
  <c r="F60" i="54"/>
  <c r="E60" i="54"/>
  <c r="V54" i="54"/>
  <c r="E54" i="54"/>
  <c r="V53" i="54"/>
  <c r="E53" i="54"/>
  <c r="V52" i="54"/>
  <c r="E52" i="54"/>
  <c r="V51" i="54"/>
  <c r="E51" i="54"/>
  <c r="V50" i="54"/>
  <c r="E50" i="54"/>
  <c r="I47" i="54"/>
  <c r="H47" i="54"/>
  <c r="G47" i="54"/>
  <c r="F47" i="54"/>
  <c r="E47" i="54"/>
  <c r="D47" i="54"/>
  <c r="AA39" i="54"/>
  <c r="Z39" i="54"/>
  <c r="Y39" i="54"/>
  <c r="I39" i="54"/>
  <c r="H39" i="54"/>
  <c r="G39" i="54"/>
  <c r="F39" i="54"/>
  <c r="E39" i="54"/>
  <c r="V33" i="54"/>
  <c r="E33" i="54"/>
  <c r="V32" i="54"/>
  <c r="E32" i="54"/>
  <c r="V31" i="54"/>
  <c r="E31" i="54"/>
  <c r="V30" i="54"/>
  <c r="E30" i="54"/>
  <c r="V29" i="54"/>
  <c r="E29" i="54"/>
  <c r="I26" i="54"/>
  <c r="H26" i="54"/>
  <c r="G26" i="54"/>
  <c r="F26" i="54"/>
  <c r="E26" i="54"/>
  <c r="D26" i="54"/>
  <c r="AA18" i="54"/>
  <c r="Z18" i="54"/>
  <c r="Y18" i="54"/>
  <c r="I18" i="54"/>
  <c r="H18" i="54"/>
  <c r="G18" i="54"/>
  <c r="F18" i="54"/>
  <c r="E18" i="54"/>
  <c r="V12" i="54"/>
  <c r="E12" i="54"/>
  <c r="V11" i="54"/>
  <c r="E11" i="54"/>
  <c r="V10" i="54"/>
  <c r="E10" i="54"/>
  <c r="V9" i="54"/>
  <c r="E9" i="54"/>
  <c r="I6" i="54"/>
  <c r="H6" i="54"/>
  <c r="G6" i="54"/>
  <c r="F6" i="54"/>
  <c r="E6" i="54"/>
  <c r="D6" i="54"/>
  <c r="AA159" i="53"/>
  <c r="Z159" i="53"/>
  <c r="Y159" i="53"/>
  <c r="I159" i="53"/>
  <c r="H159" i="53"/>
  <c r="G159" i="53"/>
  <c r="F159" i="53"/>
  <c r="E159" i="53"/>
  <c r="V153" i="53"/>
  <c r="E153" i="53"/>
  <c r="V152" i="53"/>
  <c r="E152" i="53"/>
  <c r="V151" i="53"/>
  <c r="E151" i="53"/>
  <c r="I148" i="53"/>
  <c r="H148" i="53"/>
  <c r="G148" i="53"/>
  <c r="F148" i="53"/>
  <c r="E148" i="53"/>
  <c r="D148" i="53"/>
  <c r="AA140" i="53"/>
  <c r="Z140" i="53"/>
  <c r="Y140" i="53"/>
  <c r="I140" i="53"/>
  <c r="H140" i="53"/>
  <c r="G140" i="53"/>
  <c r="F140" i="53"/>
  <c r="E140" i="53"/>
  <c r="V134" i="53"/>
  <c r="E134" i="53"/>
  <c r="V133" i="53"/>
  <c r="E133" i="53"/>
  <c r="V132" i="53"/>
  <c r="E132" i="53"/>
  <c r="I129" i="53"/>
  <c r="H129" i="53"/>
  <c r="G129" i="53"/>
  <c r="F129" i="53"/>
  <c r="E129" i="53"/>
  <c r="D129" i="53"/>
  <c r="AA121" i="53"/>
  <c r="Z121" i="53"/>
  <c r="Y121" i="53"/>
  <c r="I121" i="53"/>
  <c r="H121" i="53"/>
  <c r="G121" i="53"/>
  <c r="F121" i="53"/>
  <c r="E121" i="53"/>
  <c r="V115" i="53"/>
  <c r="E115" i="53"/>
  <c r="V114" i="53"/>
  <c r="E114" i="53"/>
  <c r="V113" i="53"/>
  <c r="E113" i="53"/>
  <c r="I110" i="53"/>
  <c r="H110" i="53"/>
  <c r="G110" i="53"/>
  <c r="F110" i="53"/>
  <c r="E110" i="53"/>
  <c r="D110" i="53"/>
  <c r="AA102" i="53"/>
  <c r="Z102" i="53"/>
  <c r="I102" i="53"/>
  <c r="H102" i="53"/>
  <c r="G102" i="53"/>
  <c r="F102" i="53"/>
  <c r="E102" i="53"/>
  <c r="V96" i="53"/>
  <c r="E96" i="53"/>
  <c r="V95" i="53"/>
  <c r="E95" i="53"/>
  <c r="V94" i="53"/>
  <c r="E94" i="53"/>
  <c r="V93" i="53"/>
  <c r="E93" i="53"/>
  <c r="I90" i="53"/>
  <c r="H90" i="53"/>
  <c r="G90" i="53"/>
  <c r="F90" i="53"/>
  <c r="E90" i="53"/>
  <c r="D90" i="53"/>
  <c r="AA82" i="53"/>
  <c r="Z82" i="53"/>
  <c r="Y82" i="53"/>
  <c r="I82" i="53"/>
  <c r="H82" i="53"/>
  <c r="G82" i="53"/>
  <c r="F82" i="53"/>
  <c r="E82" i="53"/>
  <c r="V76" i="53"/>
  <c r="E76" i="53"/>
  <c r="V75" i="53"/>
  <c r="E75" i="53"/>
  <c r="V74" i="53"/>
  <c r="E74" i="53"/>
  <c r="V73" i="53"/>
  <c r="E73" i="53"/>
  <c r="I70" i="53"/>
  <c r="H70" i="53"/>
  <c r="G70" i="53"/>
  <c r="F70" i="53"/>
  <c r="E70" i="53"/>
  <c r="D70" i="53"/>
  <c r="AA62" i="53"/>
  <c r="Z62" i="53"/>
  <c r="Y62" i="53"/>
  <c r="I62" i="53"/>
  <c r="H62" i="53"/>
  <c r="G62" i="53"/>
  <c r="F62" i="53"/>
  <c r="E62" i="53"/>
  <c r="V56" i="53"/>
  <c r="E56" i="53"/>
  <c r="V55" i="53"/>
  <c r="E55" i="53"/>
  <c r="V54" i="53"/>
  <c r="E54" i="53"/>
  <c r="V53" i="53"/>
  <c r="E53" i="53"/>
  <c r="V52" i="53"/>
  <c r="E52" i="53"/>
  <c r="V51" i="53"/>
  <c r="E51" i="53"/>
  <c r="I48" i="53"/>
  <c r="H48" i="53"/>
  <c r="G48" i="53"/>
  <c r="F48" i="53"/>
  <c r="E48" i="53"/>
  <c r="D48" i="53"/>
  <c r="AA40" i="53"/>
  <c r="Z40" i="53"/>
  <c r="Y40" i="53"/>
  <c r="I40" i="53"/>
  <c r="H40" i="53"/>
  <c r="G40" i="53"/>
  <c r="F40" i="53"/>
  <c r="E40" i="53"/>
  <c r="V34" i="53"/>
  <c r="E34" i="53"/>
  <c r="V33" i="53"/>
  <c r="E33" i="53"/>
  <c r="V32" i="53"/>
  <c r="E32" i="53"/>
  <c r="V31" i="53"/>
  <c r="E31" i="53"/>
  <c r="V30" i="53"/>
  <c r="E30" i="53"/>
  <c r="V29" i="53"/>
  <c r="E29" i="53"/>
  <c r="I26" i="53"/>
  <c r="H26" i="53"/>
  <c r="G26" i="53"/>
  <c r="F26" i="53"/>
  <c r="E26" i="53"/>
  <c r="D26" i="53"/>
  <c r="AA18" i="53"/>
  <c r="Z18" i="53"/>
  <c r="Y18" i="53"/>
  <c r="I18" i="53"/>
  <c r="H18" i="53"/>
  <c r="G18" i="53"/>
  <c r="F18" i="53"/>
  <c r="E18" i="53"/>
  <c r="V12" i="53"/>
  <c r="E12" i="53"/>
  <c r="V11" i="53"/>
  <c r="E11" i="53"/>
  <c r="V10" i="53"/>
  <c r="E10" i="53"/>
  <c r="V9" i="53"/>
  <c r="E9" i="53"/>
  <c r="I6" i="53"/>
  <c r="H6" i="53"/>
  <c r="G6" i="53"/>
  <c r="F6" i="53"/>
  <c r="E6" i="53"/>
  <c r="D6" i="53"/>
  <c r="AA134" i="52"/>
  <c r="Z134" i="52"/>
  <c r="Y134" i="52"/>
  <c r="I134" i="52"/>
  <c r="H134" i="52"/>
  <c r="G134" i="52"/>
  <c r="F134" i="52"/>
  <c r="E134" i="52"/>
  <c r="V128" i="52"/>
  <c r="E128" i="52"/>
  <c r="V127" i="52"/>
  <c r="E127" i="52"/>
  <c r="V126" i="52"/>
  <c r="E126" i="52"/>
  <c r="V125" i="52"/>
  <c r="E125" i="52"/>
  <c r="I122" i="52"/>
  <c r="H122" i="52"/>
  <c r="G122" i="52"/>
  <c r="F122" i="52"/>
  <c r="E122" i="52"/>
  <c r="D122" i="52"/>
  <c r="AA114" i="52"/>
  <c r="Z114" i="52"/>
  <c r="Y114" i="52"/>
  <c r="I114" i="52"/>
  <c r="H114" i="52"/>
  <c r="G114" i="52"/>
  <c r="F114" i="52"/>
  <c r="E114" i="52"/>
  <c r="V108" i="52"/>
  <c r="E108" i="52"/>
  <c r="V107" i="52"/>
  <c r="E107" i="52"/>
  <c r="V106" i="52"/>
  <c r="E106" i="52"/>
  <c r="V105" i="52"/>
  <c r="E105" i="52"/>
  <c r="V104" i="52"/>
  <c r="E104" i="52"/>
  <c r="V103" i="52"/>
  <c r="E103" i="52"/>
  <c r="V102" i="52"/>
  <c r="E102" i="52"/>
  <c r="V101" i="52"/>
  <c r="E101" i="52"/>
  <c r="V100" i="52"/>
  <c r="E100" i="52"/>
  <c r="V99" i="52"/>
  <c r="E99" i="52"/>
  <c r="V98" i="52"/>
  <c r="E98" i="52"/>
  <c r="V97" i="52"/>
  <c r="E97" i="52"/>
  <c r="I94" i="52"/>
  <c r="H94" i="52"/>
  <c r="G94" i="52"/>
  <c r="F94" i="52"/>
  <c r="E94" i="52"/>
  <c r="D94" i="52"/>
  <c r="AA86" i="52"/>
  <c r="Z86" i="52"/>
  <c r="Y86" i="52"/>
  <c r="I86" i="52"/>
  <c r="H86" i="52"/>
  <c r="G86" i="52"/>
  <c r="F86" i="52"/>
  <c r="E86" i="52"/>
  <c r="V80" i="52"/>
  <c r="E80" i="52"/>
  <c r="V79" i="52"/>
  <c r="E79" i="52"/>
  <c r="V78" i="52"/>
  <c r="E78" i="52"/>
  <c r="I75" i="52"/>
  <c r="H75" i="52"/>
  <c r="G75" i="52"/>
  <c r="F75" i="52"/>
  <c r="E75" i="52"/>
  <c r="D75" i="52"/>
  <c r="AA67" i="52"/>
  <c r="Z67" i="52"/>
  <c r="Y67" i="52"/>
  <c r="I67" i="52"/>
  <c r="H67" i="52"/>
  <c r="G67" i="52"/>
  <c r="F67" i="52"/>
  <c r="E67" i="52"/>
  <c r="V61" i="52"/>
  <c r="E61" i="52"/>
  <c r="V60" i="52"/>
  <c r="E60" i="52"/>
  <c r="V59" i="52"/>
  <c r="E59" i="52"/>
  <c r="V58" i="52"/>
  <c r="E58" i="52"/>
  <c r="V57" i="52"/>
  <c r="E57" i="52"/>
  <c r="V56" i="52"/>
  <c r="E56" i="52"/>
  <c r="V55" i="52"/>
  <c r="E55" i="52"/>
  <c r="I52" i="52"/>
  <c r="H52" i="52"/>
  <c r="G52" i="52"/>
  <c r="F52" i="52"/>
  <c r="E52" i="52"/>
  <c r="D52" i="52"/>
  <c r="AA44" i="52"/>
  <c r="Z44" i="52"/>
  <c r="Y44" i="52"/>
  <c r="I44" i="52"/>
  <c r="H44" i="52"/>
  <c r="G44" i="52"/>
  <c r="F44" i="52"/>
  <c r="E44" i="52"/>
  <c r="V38" i="52"/>
  <c r="E38" i="52"/>
  <c r="V37" i="52"/>
  <c r="E37" i="52"/>
  <c r="V36" i="52"/>
  <c r="E36" i="52"/>
  <c r="V35" i="52"/>
  <c r="E35" i="52"/>
  <c r="V34" i="52"/>
  <c r="E34" i="52"/>
  <c r="V33" i="52"/>
  <c r="E33" i="52"/>
  <c r="V32" i="52"/>
  <c r="E32" i="52"/>
  <c r="V31" i="52"/>
  <c r="E31" i="52"/>
  <c r="V30" i="52"/>
  <c r="E30" i="52"/>
  <c r="V29" i="52"/>
  <c r="E29" i="52"/>
  <c r="V28" i="52"/>
  <c r="E28" i="52"/>
  <c r="I25" i="52"/>
  <c r="H25" i="52"/>
  <c r="G25" i="52"/>
  <c r="F25" i="52"/>
  <c r="E25" i="52"/>
  <c r="D25" i="52"/>
  <c r="AA17" i="52"/>
  <c r="Z17" i="52"/>
  <c r="Y17" i="52"/>
  <c r="I17" i="52"/>
  <c r="H17" i="52"/>
  <c r="G17" i="52"/>
  <c r="F17" i="52"/>
  <c r="E17" i="52"/>
  <c r="V11" i="52"/>
  <c r="E11" i="52"/>
  <c r="V10" i="52"/>
  <c r="E10" i="52"/>
  <c r="V9" i="52"/>
  <c r="E9" i="52"/>
  <c r="I6" i="52"/>
  <c r="H6" i="52"/>
  <c r="G6" i="52"/>
  <c r="F6" i="52"/>
  <c r="E6" i="52"/>
  <c r="D6" i="52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D48" i="6"/>
  <c r="C48" i="6"/>
  <c r="B48" i="6"/>
  <c r="J47" i="6"/>
  <c r="D47" i="6"/>
  <c r="C47" i="6"/>
  <c r="B47" i="6"/>
  <c r="J46" i="6"/>
  <c r="D46" i="6"/>
  <c r="C46" i="6"/>
  <c r="B46" i="6"/>
  <c r="J45" i="6"/>
  <c r="D45" i="6"/>
  <c r="C45" i="6"/>
  <c r="B45" i="6"/>
  <c r="J44" i="6"/>
  <c r="D44" i="6"/>
  <c r="C44" i="6"/>
  <c r="B44" i="6"/>
  <c r="J43" i="6"/>
  <c r="J42" i="6"/>
  <c r="J41" i="6"/>
  <c r="J40" i="6"/>
  <c r="J39" i="6"/>
  <c r="J38" i="6"/>
  <c r="J37" i="6"/>
  <c r="F37" i="6"/>
  <c r="B37" i="6"/>
  <c r="J36" i="6"/>
  <c r="J35" i="6"/>
  <c r="J34" i="6"/>
  <c r="J33" i="6"/>
  <c r="F33" i="6"/>
  <c r="D33" i="6"/>
  <c r="J32" i="6"/>
  <c r="F32" i="6"/>
  <c r="D32" i="6"/>
  <c r="C32" i="6"/>
  <c r="E32" i="6" s="1"/>
  <c r="G32" i="6" s="1"/>
  <c r="J31" i="6"/>
  <c r="F31" i="6"/>
  <c r="D31" i="6"/>
  <c r="J30" i="6"/>
  <c r="F30" i="6"/>
  <c r="E30" i="6"/>
  <c r="G30" i="6" s="1"/>
  <c r="D30" i="6"/>
  <c r="C30" i="6"/>
  <c r="J29" i="6"/>
  <c r="F29" i="6"/>
  <c r="D29" i="6"/>
  <c r="K28" i="6"/>
  <c r="F28" i="6"/>
  <c r="D28" i="6"/>
  <c r="K27" i="6"/>
  <c r="F27" i="6"/>
  <c r="D27" i="6"/>
  <c r="K26" i="6"/>
  <c r="F26" i="6"/>
  <c r="D26" i="6"/>
  <c r="K25" i="6"/>
  <c r="F25" i="6"/>
  <c r="D25" i="6"/>
  <c r="C25" i="6"/>
  <c r="E25" i="6" s="1"/>
  <c r="G25" i="6" s="1"/>
  <c r="K24" i="6"/>
  <c r="F24" i="6"/>
  <c r="D24" i="6"/>
  <c r="K23" i="6"/>
  <c r="F23" i="6"/>
  <c r="D23" i="6"/>
  <c r="C23" i="6"/>
  <c r="E23" i="6" s="1"/>
  <c r="G23" i="6" s="1"/>
  <c r="K22" i="6"/>
  <c r="F22" i="6"/>
  <c r="D22" i="6"/>
  <c r="K21" i="6"/>
  <c r="F21" i="6"/>
  <c r="D21" i="6"/>
  <c r="C21" i="6"/>
  <c r="E21" i="6" s="1"/>
  <c r="G21" i="6" s="1"/>
  <c r="K20" i="6"/>
  <c r="F20" i="6"/>
  <c r="D20" i="6"/>
  <c r="K19" i="6"/>
  <c r="F19" i="6"/>
  <c r="D19" i="6"/>
  <c r="C19" i="6"/>
  <c r="E19" i="6" s="1"/>
  <c r="G19" i="6" s="1"/>
  <c r="K18" i="6"/>
  <c r="F18" i="6"/>
  <c r="D18" i="6"/>
  <c r="C18" i="6"/>
  <c r="E18" i="6" s="1"/>
  <c r="G18" i="6" s="1"/>
  <c r="K17" i="6"/>
  <c r="F17" i="6"/>
  <c r="D17" i="6"/>
  <c r="K16" i="6"/>
  <c r="F16" i="6"/>
  <c r="D16" i="6"/>
  <c r="C16" i="6"/>
  <c r="E16" i="6" s="1"/>
  <c r="G16" i="6" s="1"/>
  <c r="K15" i="6"/>
  <c r="F15" i="6"/>
  <c r="D15" i="6"/>
  <c r="K14" i="6"/>
  <c r="F14" i="6"/>
  <c r="D14" i="6"/>
  <c r="K13" i="6"/>
  <c r="F13" i="6"/>
  <c r="D13" i="6"/>
  <c r="K12" i="6"/>
  <c r="F12" i="6"/>
  <c r="D12" i="6"/>
  <c r="O11" i="6"/>
  <c r="M11" i="6"/>
  <c r="K11" i="6"/>
  <c r="F11" i="6"/>
  <c r="D11" i="6"/>
  <c r="O10" i="6"/>
  <c r="M10" i="6"/>
  <c r="K10" i="6"/>
  <c r="F10" i="6"/>
  <c r="D10" i="6"/>
  <c r="C10" i="6"/>
  <c r="E10" i="6" s="1"/>
  <c r="G10" i="6" s="1"/>
  <c r="O9" i="6"/>
  <c r="M9" i="6"/>
  <c r="K9" i="6"/>
  <c r="F9" i="6"/>
  <c r="D9" i="6"/>
  <c r="K8" i="6"/>
  <c r="F8" i="6"/>
  <c r="D8" i="6"/>
  <c r="C8" i="6"/>
  <c r="E8" i="6" s="1"/>
  <c r="G8" i="6" s="1"/>
  <c r="O7" i="6"/>
  <c r="N7" i="6"/>
  <c r="M7" i="6"/>
  <c r="K7" i="6"/>
  <c r="F7" i="6"/>
  <c r="D7" i="6"/>
  <c r="N6" i="6"/>
  <c r="M6" i="6"/>
  <c r="K6" i="6"/>
  <c r="F6" i="6"/>
  <c r="E6" i="6"/>
  <c r="G6" i="6" s="1"/>
  <c r="D6" i="6"/>
  <c r="C6" i="6"/>
  <c r="D40" i="3"/>
  <c r="C39" i="3"/>
  <c r="D38" i="3"/>
  <c r="C37" i="3"/>
  <c r="D36" i="3"/>
  <c r="C35" i="3"/>
  <c r="D34" i="3"/>
  <c r="C33" i="3"/>
  <c r="D32" i="3"/>
  <c r="N29" i="3"/>
  <c r="M29" i="3"/>
  <c r="E29" i="3"/>
  <c r="P28" i="3"/>
  <c r="O28" i="3"/>
  <c r="N28" i="3"/>
  <c r="M28" i="3"/>
  <c r="E28" i="3"/>
  <c r="B28" i="3"/>
  <c r="A28" i="3"/>
  <c r="P27" i="3"/>
  <c r="O27" i="3"/>
  <c r="N27" i="3"/>
  <c r="M27" i="3"/>
  <c r="E27" i="3"/>
  <c r="B27" i="3"/>
  <c r="A27" i="3"/>
  <c r="P26" i="3"/>
  <c r="O26" i="3"/>
  <c r="N26" i="3"/>
  <c r="M26" i="3"/>
  <c r="E26" i="3"/>
  <c r="B26" i="3"/>
  <c r="A26" i="3"/>
  <c r="P25" i="3"/>
  <c r="O25" i="3"/>
  <c r="N25" i="3"/>
  <c r="M25" i="3"/>
  <c r="I25" i="3"/>
  <c r="E25" i="3"/>
  <c r="B25" i="3"/>
  <c r="A25" i="3"/>
  <c r="P24" i="3"/>
  <c r="O24" i="3"/>
  <c r="N24" i="3"/>
  <c r="M24" i="3"/>
  <c r="E24" i="3"/>
  <c r="B24" i="3"/>
  <c r="A24" i="3"/>
  <c r="P23" i="3"/>
  <c r="O23" i="3"/>
  <c r="N23" i="3"/>
  <c r="M23" i="3"/>
  <c r="H23" i="3"/>
  <c r="E23" i="3"/>
  <c r="D23" i="3"/>
  <c r="B23" i="3"/>
  <c r="A23" i="3"/>
  <c r="P22" i="3"/>
  <c r="O22" i="3"/>
  <c r="N22" i="3"/>
  <c r="M22" i="3"/>
  <c r="E22" i="3"/>
  <c r="B22" i="3"/>
  <c r="A22" i="3"/>
  <c r="P21" i="3"/>
  <c r="O21" i="3"/>
  <c r="N21" i="3"/>
  <c r="M21" i="3"/>
  <c r="H21" i="3"/>
  <c r="E21" i="3"/>
  <c r="D21" i="3"/>
  <c r="B21" i="3"/>
  <c r="A21" i="3"/>
  <c r="P20" i="3"/>
  <c r="O20" i="3"/>
  <c r="N20" i="3"/>
  <c r="M20" i="3"/>
  <c r="F20" i="3"/>
  <c r="E20" i="3"/>
  <c r="D20" i="3"/>
  <c r="B20" i="3"/>
  <c r="A20" i="3"/>
  <c r="P19" i="3"/>
  <c r="O19" i="3"/>
  <c r="N19" i="3"/>
  <c r="M19" i="3"/>
  <c r="E19" i="3"/>
  <c r="B19" i="3"/>
  <c r="A19" i="3"/>
  <c r="P18" i="3"/>
  <c r="O18" i="3"/>
  <c r="N18" i="3"/>
  <c r="M18" i="3"/>
  <c r="E18" i="3"/>
  <c r="D18" i="3"/>
  <c r="B18" i="3"/>
  <c r="A18" i="3"/>
  <c r="P17" i="3"/>
  <c r="O17" i="3"/>
  <c r="N17" i="3"/>
  <c r="M17" i="3"/>
  <c r="E17" i="3"/>
  <c r="D17" i="3"/>
  <c r="B17" i="3"/>
  <c r="A17" i="3"/>
  <c r="P16" i="3"/>
  <c r="O16" i="3"/>
  <c r="N16" i="3"/>
  <c r="M16" i="3"/>
  <c r="E16" i="3"/>
  <c r="B16" i="3"/>
  <c r="A16" i="3"/>
  <c r="P15" i="3"/>
  <c r="O15" i="3"/>
  <c r="N15" i="3"/>
  <c r="M15" i="3"/>
  <c r="E15" i="3"/>
  <c r="B15" i="3"/>
  <c r="A15" i="3"/>
  <c r="P14" i="3"/>
  <c r="O14" i="3"/>
  <c r="N14" i="3"/>
  <c r="M14" i="3"/>
  <c r="E14" i="3"/>
  <c r="B14" i="3"/>
  <c r="A14" i="3"/>
  <c r="P13" i="3"/>
  <c r="O13" i="3"/>
  <c r="N13" i="3"/>
  <c r="M13" i="3"/>
  <c r="I13" i="3"/>
  <c r="H13" i="3"/>
  <c r="E13" i="3"/>
  <c r="B13" i="3"/>
  <c r="A13" i="3"/>
  <c r="P12" i="3"/>
  <c r="O12" i="3"/>
  <c r="N12" i="3"/>
  <c r="M12" i="3"/>
  <c r="I12" i="3"/>
  <c r="E12" i="3"/>
  <c r="B12" i="3"/>
  <c r="A12" i="3"/>
  <c r="P11" i="3"/>
  <c r="O11" i="3"/>
  <c r="N11" i="3"/>
  <c r="M11" i="3"/>
  <c r="I11" i="3"/>
  <c r="G11" i="3"/>
  <c r="E11" i="3"/>
  <c r="B11" i="3"/>
  <c r="A11" i="3"/>
  <c r="P10" i="3"/>
  <c r="O10" i="3"/>
  <c r="N10" i="3"/>
  <c r="M10" i="3"/>
  <c r="E10" i="3"/>
  <c r="B10" i="3"/>
  <c r="A10" i="3"/>
  <c r="P9" i="3"/>
  <c r="O9" i="3"/>
  <c r="N9" i="3"/>
  <c r="M9" i="3"/>
  <c r="I9" i="3"/>
  <c r="E9" i="3"/>
  <c r="B9" i="3"/>
  <c r="A9" i="3"/>
  <c r="P8" i="3"/>
  <c r="O8" i="3"/>
  <c r="N8" i="3"/>
  <c r="M8" i="3"/>
  <c r="I8" i="3"/>
  <c r="E8" i="3"/>
  <c r="B8" i="3"/>
  <c r="A8" i="3"/>
  <c r="P7" i="3"/>
  <c r="O7" i="3"/>
  <c r="N7" i="3"/>
  <c r="M7" i="3"/>
  <c r="E7" i="3"/>
  <c r="D7" i="3"/>
  <c r="B7" i="3"/>
  <c r="A7" i="3"/>
  <c r="P6" i="3"/>
  <c r="O6" i="3"/>
  <c r="N6" i="3"/>
  <c r="M6" i="3"/>
  <c r="I6" i="3"/>
  <c r="H6" i="3"/>
  <c r="G6" i="3"/>
  <c r="F6" i="3"/>
  <c r="E6" i="3"/>
  <c r="D6" i="3"/>
  <c r="B6" i="3"/>
  <c r="A6" i="3"/>
  <c r="P5" i="3"/>
  <c r="O5" i="3"/>
  <c r="N5" i="3"/>
  <c r="M5" i="3"/>
  <c r="E5" i="3"/>
  <c r="B5" i="3"/>
  <c r="A5" i="3"/>
  <c r="P4" i="3"/>
  <c r="O4" i="3"/>
  <c r="N4" i="3"/>
  <c r="M4" i="3"/>
  <c r="H4" i="3"/>
  <c r="F4" i="3"/>
  <c r="E4" i="3"/>
  <c r="D4" i="3"/>
  <c r="B4" i="3"/>
  <c r="A4" i="3"/>
  <c r="P3" i="3"/>
  <c r="O3" i="3"/>
  <c r="N3" i="3"/>
  <c r="M3" i="3"/>
  <c r="E3" i="3"/>
  <c r="D3" i="3"/>
  <c r="B3" i="3"/>
  <c r="A3" i="3"/>
  <c r="P2" i="3"/>
  <c r="O2" i="3"/>
  <c r="N2" i="3"/>
  <c r="M2" i="3"/>
  <c r="H2" i="3"/>
  <c r="F2" i="3"/>
  <c r="E2" i="3"/>
  <c r="D2" i="3"/>
  <c r="B2" i="3"/>
  <c r="A2" i="3"/>
  <c r="E44" i="4"/>
  <c r="E43" i="4"/>
  <c r="D43" i="4"/>
  <c r="E42" i="4"/>
  <c r="E41" i="4"/>
  <c r="E40" i="4"/>
  <c r="D40" i="4"/>
  <c r="E39" i="4"/>
  <c r="D39" i="4"/>
  <c r="E38" i="4"/>
  <c r="D38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2" i="4"/>
  <c r="D12" i="4"/>
  <c r="E11" i="4"/>
  <c r="D11" i="4"/>
  <c r="E8" i="4"/>
  <c r="D8" i="4"/>
  <c r="C74" i="1"/>
  <c r="C73" i="1"/>
  <c r="C72" i="1"/>
  <c r="C71" i="1"/>
  <c r="C70" i="1"/>
  <c r="C69" i="1"/>
  <c r="C68" i="1"/>
  <c r="Q51" i="1"/>
  <c r="N51" i="1"/>
  <c r="K51" i="1"/>
  <c r="J51" i="1"/>
  <c r="Q49" i="1"/>
  <c r="N49" i="1"/>
  <c r="K49" i="1"/>
  <c r="J49" i="1"/>
  <c r="Q48" i="1"/>
  <c r="K48" i="1"/>
  <c r="J48" i="1"/>
  <c r="H48" i="1"/>
  <c r="K28" i="3" s="1"/>
  <c r="F48" i="1" a="1"/>
  <c r="F48" i="1" s="1"/>
  <c r="E48" i="1"/>
  <c r="H28" i="3" s="1"/>
  <c r="E48" i="1" a="1"/>
  <c r="D48" i="1"/>
  <c r="G48" i="1" s="1"/>
  <c r="J28" i="3" s="1"/>
  <c r="D48" i="1" a="1"/>
  <c r="C48" i="1"/>
  <c r="R48" i="1" s="1"/>
  <c r="Q47" i="1"/>
  <c r="K47" i="1"/>
  <c r="J47" i="1"/>
  <c r="F47" i="1" a="1"/>
  <c r="F47" i="1" s="1"/>
  <c r="I27" i="3" s="1"/>
  <c r="E47" i="1" a="1"/>
  <c r="E47" i="1" s="1"/>
  <c r="H27" i="3" s="1"/>
  <c r="D47" i="1"/>
  <c r="G27" i="3" s="1"/>
  <c r="D47" i="1" a="1"/>
  <c r="C47" i="1"/>
  <c r="Q45" i="1"/>
  <c r="N45" i="1"/>
  <c r="K45" i="1"/>
  <c r="J45" i="1"/>
  <c r="C45" i="1"/>
  <c r="Q44" i="1"/>
  <c r="K44" i="1"/>
  <c r="J44" i="1"/>
  <c r="F44" i="1" a="1"/>
  <c r="F44" i="1" s="1"/>
  <c r="I26" i="3" s="1"/>
  <c r="E44" i="1" a="1"/>
  <c r="E44" i="1" s="1"/>
  <c r="H26" i="3" s="1"/>
  <c r="D44" i="1" a="1"/>
  <c r="D44" i="1" s="1"/>
  <c r="G26" i="3" s="1"/>
  <c r="C44" i="1"/>
  <c r="Q43" i="1"/>
  <c r="K43" i="1"/>
  <c r="J43" i="1"/>
  <c r="F43" i="1" a="1"/>
  <c r="F43" i="1" s="1"/>
  <c r="E43" i="1" a="1"/>
  <c r="E43" i="1" s="1"/>
  <c r="H25" i="3" s="1"/>
  <c r="D43" i="1" a="1"/>
  <c r="D43" i="1" s="1"/>
  <c r="C43" i="1"/>
  <c r="Q42" i="1"/>
  <c r="K42" i="1"/>
  <c r="J42" i="1"/>
  <c r="F42" i="1" a="1"/>
  <c r="F42" i="1" s="1"/>
  <c r="I24" i="3" s="1"/>
  <c r="E42" i="1" a="1"/>
  <c r="E42" i="1" s="1"/>
  <c r="H24" i="3" s="1"/>
  <c r="D42" i="1" a="1"/>
  <c r="D42" i="1" s="1"/>
  <c r="C42" i="1"/>
  <c r="S41" i="1"/>
  <c r="R41" i="1"/>
  <c r="Q41" i="1"/>
  <c r="K41" i="1"/>
  <c r="J41" i="1"/>
  <c r="F41" i="1" a="1"/>
  <c r="F41" i="1" s="1"/>
  <c r="I23" i="3" s="1"/>
  <c r="E41" i="1"/>
  <c r="E41" i="1" a="1"/>
  <c r="D41" i="1" a="1"/>
  <c r="D41" i="1" s="1"/>
  <c r="G41" i="1" s="1"/>
  <c r="C41" i="1"/>
  <c r="Q39" i="1"/>
  <c r="N39" i="1"/>
  <c r="K39" i="1"/>
  <c r="J39" i="1"/>
  <c r="Q38" i="1"/>
  <c r="K38" i="1"/>
  <c r="J38" i="1"/>
  <c r="F38" i="1" a="1"/>
  <c r="F38" i="1" s="1"/>
  <c r="I22" i="3" s="1"/>
  <c r="E38" i="1" a="1"/>
  <c r="E38" i="1" s="1"/>
  <c r="H22" i="3" s="1"/>
  <c r="D38" i="1" a="1"/>
  <c r="D38" i="1" s="1"/>
  <c r="G22" i="3" s="1"/>
  <c r="C38" i="1"/>
  <c r="S37" i="1"/>
  <c r="R37" i="1"/>
  <c r="Q37" i="1"/>
  <c r="K37" i="1"/>
  <c r="J37" i="1"/>
  <c r="F37" i="1" a="1"/>
  <c r="F37" i="1" s="1"/>
  <c r="I21" i="3" s="1"/>
  <c r="E37" i="1"/>
  <c r="E37" i="1" a="1"/>
  <c r="D37" i="1" a="1"/>
  <c r="D37" i="1" s="1"/>
  <c r="G21" i="3" s="1"/>
  <c r="C37" i="1"/>
  <c r="Q36" i="1"/>
  <c r="O36" i="1"/>
  <c r="K36" i="1"/>
  <c r="J36" i="1"/>
  <c r="F36" i="1" a="1"/>
  <c r="F36" i="1" s="1"/>
  <c r="I20" i="3" s="1"/>
  <c r="E36" i="1"/>
  <c r="H20" i="3" s="1"/>
  <c r="E36" i="1" a="1"/>
  <c r="D36" i="1" a="1"/>
  <c r="D36" i="1" s="1"/>
  <c r="G20" i="3" s="1"/>
  <c r="C36" i="1"/>
  <c r="Q35" i="1"/>
  <c r="K35" i="1"/>
  <c r="J35" i="1"/>
  <c r="F35" i="1" a="1"/>
  <c r="F35" i="1" s="1"/>
  <c r="I19" i="3" s="1"/>
  <c r="E35" i="1" a="1"/>
  <c r="E35" i="1" s="1"/>
  <c r="H19" i="3" s="1"/>
  <c r="D35" i="1" a="1"/>
  <c r="D35" i="1" s="1"/>
  <c r="G19" i="3" s="1"/>
  <c r="C35" i="1"/>
  <c r="Q33" i="1"/>
  <c r="N33" i="1"/>
  <c r="K33" i="1"/>
  <c r="J33" i="1"/>
  <c r="S32" i="1"/>
  <c r="R32" i="1"/>
  <c r="Q32" i="1"/>
  <c r="O32" i="1"/>
  <c r="F18" i="3" s="1"/>
  <c r="K32" i="1"/>
  <c r="J32" i="1"/>
  <c r="F32" i="1" a="1"/>
  <c r="F32" i="1" s="1"/>
  <c r="I18" i="3" s="1"/>
  <c r="E32" i="1" a="1"/>
  <c r="E32" i="1" s="1"/>
  <c r="H18" i="3" s="1"/>
  <c r="D32" i="1" a="1"/>
  <c r="D32" i="1" s="1"/>
  <c r="G18" i="3" s="1"/>
  <c r="C32" i="1"/>
  <c r="Q31" i="1"/>
  <c r="O31" i="1"/>
  <c r="F17" i="3" s="1"/>
  <c r="K31" i="1"/>
  <c r="J31" i="1"/>
  <c r="F31" i="1"/>
  <c r="I17" i="3" s="1"/>
  <c r="F31" i="1" a="1"/>
  <c r="E31" i="1" a="1"/>
  <c r="E31" i="1" s="1"/>
  <c r="H17" i="3" s="1"/>
  <c r="D31" i="1" a="1"/>
  <c r="D31" i="1" s="1"/>
  <c r="G17" i="3" s="1"/>
  <c r="C31" i="1"/>
  <c r="Q30" i="1"/>
  <c r="K30" i="1"/>
  <c r="J30" i="1"/>
  <c r="F30" i="1" a="1"/>
  <c r="F30" i="1" s="1"/>
  <c r="I16" i="3" s="1"/>
  <c r="E30" i="1" a="1"/>
  <c r="E30" i="1" s="1"/>
  <c r="H16" i="3" s="1"/>
  <c r="D30" i="1" a="1"/>
  <c r="D30" i="1" s="1"/>
  <c r="G16" i="3" s="1"/>
  <c r="C30" i="1"/>
  <c r="Q28" i="1"/>
  <c r="N28" i="1"/>
  <c r="K28" i="1"/>
  <c r="J28" i="1"/>
  <c r="S27" i="1"/>
  <c r="R27" i="1"/>
  <c r="Q27" i="1"/>
  <c r="O27" i="1"/>
  <c r="F15" i="3" s="1"/>
  <c r="K27" i="1"/>
  <c r="J27" i="1"/>
  <c r="F27" i="1"/>
  <c r="I15" i="3" s="1"/>
  <c r="F27" i="1" a="1"/>
  <c r="E27" i="1" a="1"/>
  <c r="E27" i="1" s="1"/>
  <c r="H15" i="3" s="1"/>
  <c r="D27" i="1" a="1"/>
  <c r="D27" i="1" s="1"/>
  <c r="G15" i="3" s="1"/>
  <c r="C27" i="1"/>
  <c r="Q26" i="1"/>
  <c r="K26" i="1"/>
  <c r="J26" i="1"/>
  <c r="F26" i="1" a="1"/>
  <c r="F26" i="1" s="1"/>
  <c r="E26" i="1" a="1"/>
  <c r="E26" i="1" s="1"/>
  <c r="D26" i="1"/>
  <c r="D26" i="1" a="1"/>
  <c r="C26" i="1"/>
  <c r="Q25" i="1"/>
  <c r="K25" i="1"/>
  <c r="J25" i="1"/>
  <c r="F25" i="1"/>
  <c r="F25" i="1" a="1"/>
  <c r="E25" i="1" a="1"/>
  <c r="E25" i="1" s="1"/>
  <c r="D25" i="1" a="1"/>
  <c r="D25" i="1" s="1"/>
  <c r="G13" i="3" s="1"/>
  <c r="C25" i="1"/>
  <c r="S24" i="1"/>
  <c r="R24" i="1"/>
  <c r="Q24" i="1"/>
  <c r="O24" i="1"/>
  <c r="F12" i="3" s="1"/>
  <c r="K24" i="1"/>
  <c r="J24" i="1"/>
  <c r="F24" i="1" a="1"/>
  <c r="F24" i="1" s="1"/>
  <c r="E24" i="1"/>
  <c r="H12" i="3" s="1"/>
  <c r="E24" i="1" a="1"/>
  <c r="D24" i="1" a="1"/>
  <c r="D24" i="1" s="1"/>
  <c r="G12" i="3" s="1"/>
  <c r="C24" i="1"/>
  <c r="S23" i="1"/>
  <c r="R23" i="1"/>
  <c r="Q23" i="1"/>
  <c r="O23" i="1"/>
  <c r="F11" i="3" s="1"/>
  <c r="K23" i="1"/>
  <c r="J23" i="1"/>
  <c r="F23" i="1"/>
  <c r="F23" i="1" a="1"/>
  <c r="E23" i="1" a="1"/>
  <c r="E23" i="1" s="1"/>
  <c r="H11" i="3" s="1"/>
  <c r="D23" i="1" a="1"/>
  <c r="D23" i="1" s="1"/>
  <c r="C23" i="1"/>
  <c r="S22" i="1"/>
  <c r="R22" i="1"/>
  <c r="Q22" i="1"/>
  <c r="O22" i="1"/>
  <c r="F10" i="3" s="1"/>
  <c r="K22" i="1"/>
  <c r="J22" i="1"/>
  <c r="I22" i="1"/>
  <c r="L10" i="3" s="1"/>
  <c r="F22" i="1" a="1"/>
  <c r="F22" i="1" s="1"/>
  <c r="I10" i="3" s="1"/>
  <c r="E22" i="1"/>
  <c r="H10" i="3" s="1"/>
  <c r="E22" i="1" a="1"/>
  <c r="D22" i="1" a="1"/>
  <c r="D22" i="1" s="1"/>
  <c r="G10" i="3" s="1"/>
  <c r="C22" i="1"/>
  <c r="C14" i="6" s="1"/>
  <c r="E14" i="6" s="1"/>
  <c r="G14" i="6" s="1"/>
  <c r="Q21" i="1"/>
  <c r="K21" i="1"/>
  <c r="J21" i="1"/>
  <c r="F21" i="1"/>
  <c r="F21" i="1" a="1"/>
  <c r="E21" i="1" a="1"/>
  <c r="E21" i="1" s="1"/>
  <c r="H9" i="3" s="1"/>
  <c r="D21" i="1" a="1"/>
  <c r="D21" i="1" s="1"/>
  <c r="G9" i="3" s="1"/>
  <c r="C21" i="1"/>
  <c r="S20" i="1"/>
  <c r="Q20" i="1"/>
  <c r="K20" i="1"/>
  <c r="J20" i="1"/>
  <c r="F20" i="1" a="1"/>
  <c r="F20" i="1" s="1"/>
  <c r="E20" i="1" a="1"/>
  <c r="E20" i="1" s="1"/>
  <c r="H8" i="3" s="1"/>
  <c r="D20" i="1" a="1"/>
  <c r="D20" i="1" s="1"/>
  <c r="C20" i="1"/>
  <c r="Q18" i="1"/>
  <c r="N18" i="1"/>
  <c r="K18" i="1"/>
  <c r="J18" i="1"/>
  <c r="Q17" i="1"/>
  <c r="K17" i="1"/>
  <c r="J17" i="1"/>
  <c r="F17" i="1"/>
  <c r="I7" i="3" s="1"/>
  <c r="F17" i="1" a="1"/>
  <c r="E17" i="1"/>
  <c r="E17" i="1" a="1"/>
  <c r="D17" i="1" a="1"/>
  <c r="D17" i="1" s="1"/>
  <c r="G7" i="3" s="1"/>
  <c r="C17" i="1"/>
  <c r="S16" i="1"/>
  <c r="R16" i="1"/>
  <c r="Q16" i="1"/>
  <c r="O16" i="1"/>
  <c r="K16" i="1"/>
  <c r="J16" i="1"/>
  <c r="I16" i="1"/>
  <c r="L6" i="3" s="1"/>
  <c r="H16" i="1"/>
  <c r="K6" i="3" s="1"/>
  <c r="F16" i="1"/>
  <c r="F16" i="1" a="1"/>
  <c r="E16" i="1"/>
  <c r="E16" i="1" a="1"/>
  <c r="D16" i="1" a="1"/>
  <c r="D16" i="1" s="1"/>
  <c r="C16" i="1"/>
  <c r="G16" i="1" s="1"/>
  <c r="J6" i="3" s="1"/>
  <c r="R15" i="1"/>
  <c r="Q15" i="1"/>
  <c r="K15" i="1"/>
  <c r="J15" i="1"/>
  <c r="F15" i="1"/>
  <c r="I5" i="3" s="1"/>
  <c r="F15" i="1" a="1"/>
  <c r="E15" i="1" a="1"/>
  <c r="E15" i="1" s="1"/>
  <c r="D15" i="1" a="1"/>
  <c r="D15" i="1" s="1"/>
  <c r="C15" i="1"/>
  <c r="S14" i="1"/>
  <c r="R14" i="1"/>
  <c r="Q14" i="1"/>
  <c r="O14" i="1"/>
  <c r="K14" i="1"/>
  <c r="J14" i="1"/>
  <c r="I14" i="1"/>
  <c r="L4" i="3" s="1"/>
  <c r="H14" i="1"/>
  <c r="K4" i="3" s="1"/>
  <c r="F14" i="1"/>
  <c r="I4" i="3" s="1"/>
  <c r="F14" i="1" a="1"/>
  <c r="E14" i="1"/>
  <c r="E14" i="1" a="1"/>
  <c r="D14" i="1" a="1"/>
  <c r="D14" i="1" s="1"/>
  <c r="G4" i="3" s="1"/>
  <c r="C14" i="1"/>
  <c r="G14" i="1" s="1"/>
  <c r="J4" i="3" s="1"/>
  <c r="R13" i="1"/>
  <c r="Q13" i="1"/>
  <c r="K13" i="1"/>
  <c r="J13" i="1"/>
  <c r="C13" i="1"/>
  <c r="S12" i="1"/>
  <c r="R12" i="1"/>
  <c r="Q12" i="1"/>
  <c r="O12" i="1"/>
  <c r="K12" i="1"/>
  <c r="J12" i="1"/>
  <c r="I12" i="1"/>
  <c r="H12" i="1"/>
  <c r="F12" i="1"/>
  <c r="I2" i="3" s="1"/>
  <c r="F12" i="1" a="1"/>
  <c r="E12" i="1"/>
  <c r="E12" i="1" a="1"/>
  <c r="D12" i="1" a="1"/>
  <c r="D12" i="1" s="1"/>
  <c r="G2" i="3" s="1"/>
  <c r="C12" i="1"/>
  <c r="G12" i="1" s="1"/>
  <c r="J23" i="3" l="1"/>
  <c r="D5" i="4"/>
  <c r="E5" i="4" s="1"/>
  <c r="G5" i="3"/>
  <c r="G15" i="1"/>
  <c r="J5" i="3" s="1"/>
  <c r="H14" i="3"/>
  <c r="H26" i="1"/>
  <c r="K14" i="3" s="1"/>
  <c r="H15" i="1"/>
  <c r="K5" i="3" s="1"/>
  <c r="H5" i="3"/>
  <c r="D9" i="4"/>
  <c r="E9" i="4" s="1"/>
  <c r="G24" i="3"/>
  <c r="D6" i="4"/>
  <c r="E6" i="4" s="1"/>
  <c r="G8" i="3"/>
  <c r="I28" i="3"/>
  <c r="I48" i="1"/>
  <c r="L28" i="3" s="1"/>
  <c r="G25" i="3"/>
  <c r="G43" i="1"/>
  <c r="J25" i="3" s="1"/>
  <c r="D10" i="4"/>
  <c r="E10" i="4" s="1"/>
  <c r="Y16" i="55"/>
  <c r="F13" i="1" a="1"/>
  <c r="F13" i="1" s="1"/>
  <c r="I3" i="3" s="1"/>
  <c r="Y102" i="53"/>
  <c r="D13" i="1" a="1"/>
  <c r="D13" i="1" s="1"/>
  <c r="G3" i="3" s="1"/>
  <c r="E13" i="1" a="1"/>
  <c r="E13" i="1" s="1"/>
  <c r="H3" i="3" s="1"/>
  <c r="Y94" i="56"/>
  <c r="J2" i="3"/>
  <c r="G17" i="1"/>
  <c r="J7" i="3" s="1"/>
  <c r="I21" i="1"/>
  <c r="L9" i="3" s="1"/>
  <c r="H21" i="1"/>
  <c r="K9" i="3" s="1"/>
  <c r="C13" i="6"/>
  <c r="E13" i="6" s="1"/>
  <c r="G13" i="6" s="1"/>
  <c r="G21" i="1"/>
  <c r="J9" i="3" s="1"/>
  <c r="S21" i="1"/>
  <c r="R21" i="1"/>
  <c r="O21" i="1"/>
  <c r="F9" i="3" s="1"/>
  <c r="D9" i="3"/>
  <c r="G23" i="3"/>
  <c r="R45" i="1"/>
  <c r="O45" i="1"/>
  <c r="B72" i="1"/>
  <c r="D72" i="1" s="1"/>
  <c r="S45" i="1"/>
  <c r="D13" i="3"/>
  <c r="I25" i="1"/>
  <c r="L13" i="3" s="1"/>
  <c r="H25" i="1"/>
  <c r="K13" i="3" s="1"/>
  <c r="G25" i="1"/>
  <c r="J13" i="3" s="1"/>
  <c r="C17" i="6"/>
  <c r="E17" i="6" s="1"/>
  <c r="G17" i="6" s="1"/>
  <c r="S25" i="1"/>
  <c r="R25" i="1"/>
  <c r="O25" i="1"/>
  <c r="F13" i="3" s="1"/>
  <c r="S47" i="1"/>
  <c r="D27" i="3"/>
  <c r="R47" i="1"/>
  <c r="I47" i="1"/>
  <c r="C31" i="6"/>
  <c r="E31" i="6" s="1"/>
  <c r="G31" i="6" s="1"/>
  <c r="O47" i="1"/>
  <c r="F27" i="3" s="1"/>
  <c r="H47" i="1"/>
  <c r="G47" i="1"/>
  <c r="C49" i="1"/>
  <c r="H7" i="3"/>
  <c r="H17" i="1"/>
  <c r="K7" i="3" s="1"/>
  <c r="C28" i="1"/>
  <c r="D45" i="1"/>
  <c r="S42" i="1"/>
  <c r="R42" i="1"/>
  <c r="O42" i="1"/>
  <c r="F24" i="3" s="1"/>
  <c r="I42" i="1"/>
  <c r="L24" i="3" s="1"/>
  <c r="H42" i="1"/>
  <c r="K24" i="3" s="1"/>
  <c r="G42" i="1"/>
  <c r="J24" i="3" s="1"/>
  <c r="D24" i="3"/>
  <c r="H22" i="1"/>
  <c r="K10" i="3" s="1"/>
  <c r="I38" i="1"/>
  <c r="L22" i="3" s="1"/>
  <c r="H38" i="1"/>
  <c r="K22" i="3" s="1"/>
  <c r="G38" i="1"/>
  <c r="J22" i="3" s="1"/>
  <c r="C26" i="6"/>
  <c r="E26" i="6" s="1"/>
  <c r="G26" i="6" s="1"/>
  <c r="D22" i="3"/>
  <c r="S38" i="1"/>
  <c r="R38" i="1"/>
  <c r="O38" i="1"/>
  <c r="F22" i="3" s="1"/>
  <c r="I30" i="1"/>
  <c r="H30" i="1"/>
  <c r="G30" i="1"/>
  <c r="D16" i="3"/>
  <c r="R30" i="1"/>
  <c r="C33" i="1"/>
  <c r="O30" i="1"/>
  <c r="F16" i="3" s="1"/>
  <c r="C20" i="6"/>
  <c r="E20" i="6" s="1"/>
  <c r="G20" i="6" s="1"/>
  <c r="O35" i="1"/>
  <c r="F19" i="3" s="1"/>
  <c r="I35" i="1"/>
  <c r="H35" i="1"/>
  <c r="G35" i="1"/>
  <c r="D19" i="3"/>
  <c r="C39" i="1"/>
  <c r="S35" i="1"/>
  <c r="R35" i="1"/>
  <c r="D8" i="3"/>
  <c r="G20" i="1"/>
  <c r="R20" i="1"/>
  <c r="O20" i="1"/>
  <c r="F8" i="3" s="1"/>
  <c r="I20" i="1"/>
  <c r="H20" i="1"/>
  <c r="G14" i="3"/>
  <c r="D7" i="4"/>
  <c r="E7" i="4" s="1"/>
  <c r="S30" i="1"/>
  <c r="H31" i="1"/>
  <c r="K17" i="3" s="1"/>
  <c r="G31" i="1"/>
  <c r="J17" i="3" s="1"/>
  <c r="I31" i="1"/>
  <c r="L17" i="3" s="1"/>
  <c r="S31" i="1"/>
  <c r="R31" i="1"/>
  <c r="S13" i="1"/>
  <c r="C7" i="6"/>
  <c r="E7" i="6" s="1"/>
  <c r="G7" i="6" s="1"/>
  <c r="G28" i="3"/>
  <c r="C12" i="6"/>
  <c r="E12" i="6" s="1"/>
  <c r="G12" i="6" s="1"/>
  <c r="I14" i="3"/>
  <c r="I26" i="1"/>
  <c r="L14" i="3" s="1"/>
  <c r="C28" i="6"/>
  <c r="E28" i="6" s="1"/>
  <c r="G28" i="6" s="1"/>
  <c r="O13" i="1"/>
  <c r="F3" i="3" s="1"/>
  <c r="D11" i="3"/>
  <c r="C15" i="6"/>
  <c r="E15" i="6" s="1"/>
  <c r="G15" i="6" s="1"/>
  <c r="I23" i="1"/>
  <c r="L11" i="3" s="1"/>
  <c r="H23" i="1"/>
  <c r="K11" i="3" s="1"/>
  <c r="G23" i="1"/>
  <c r="J11" i="3" s="1"/>
  <c r="K2" i="3"/>
  <c r="I32" i="1"/>
  <c r="L18" i="3" s="1"/>
  <c r="C22" i="6"/>
  <c r="E22" i="6" s="1"/>
  <c r="G22" i="6" s="1"/>
  <c r="H32" i="1"/>
  <c r="K18" i="3" s="1"/>
  <c r="G32" i="1"/>
  <c r="J18" i="3" s="1"/>
  <c r="L2" i="3"/>
  <c r="I36" i="1"/>
  <c r="L20" i="3" s="1"/>
  <c r="C24" i="6"/>
  <c r="E24" i="6" s="1"/>
  <c r="G24" i="6" s="1"/>
  <c r="H36" i="1"/>
  <c r="K20" i="3" s="1"/>
  <c r="G36" i="1"/>
  <c r="J20" i="3" s="1"/>
  <c r="C11" i="6"/>
  <c r="E11" i="6" s="1"/>
  <c r="G11" i="6" s="1"/>
  <c r="S17" i="1"/>
  <c r="D14" i="3"/>
  <c r="G26" i="1"/>
  <c r="J14" i="3" s="1"/>
  <c r="C9" i="6"/>
  <c r="E9" i="6" s="1"/>
  <c r="G9" i="6" s="1"/>
  <c r="S15" i="1"/>
  <c r="O43" i="1"/>
  <c r="F25" i="3" s="1"/>
  <c r="I43" i="1"/>
  <c r="L25" i="3" s="1"/>
  <c r="H43" i="1"/>
  <c r="K25" i="3" s="1"/>
  <c r="D25" i="3"/>
  <c r="C29" i="6"/>
  <c r="E29" i="6" s="1"/>
  <c r="G29" i="6" s="1"/>
  <c r="I17" i="1"/>
  <c r="L7" i="3" s="1"/>
  <c r="D12" i="3"/>
  <c r="G24" i="1"/>
  <c r="J12" i="3" s="1"/>
  <c r="S36" i="1"/>
  <c r="I15" i="1"/>
  <c r="L5" i="3" s="1"/>
  <c r="O17" i="1"/>
  <c r="F7" i="3" s="1"/>
  <c r="O26" i="1"/>
  <c r="F14" i="3" s="1"/>
  <c r="O37" i="1"/>
  <c r="F21" i="3" s="1"/>
  <c r="I37" i="1"/>
  <c r="L21" i="3" s="1"/>
  <c r="H37" i="1"/>
  <c r="K21" i="3" s="1"/>
  <c r="G37" i="1"/>
  <c r="J21" i="3" s="1"/>
  <c r="O41" i="1"/>
  <c r="F23" i="3" s="1"/>
  <c r="I41" i="1"/>
  <c r="H41" i="1"/>
  <c r="C27" i="6"/>
  <c r="E27" i="6" s="1"/>
  <c r="G27" i="6" s="1"/>
  <c r="D5" i="3"/>
  <c r="R17" i="1"/>
  <c r="R26" i="1"/>
  <c r="R43" i="1"/>
  <c r="O15" i="1"/>
  <c r="F5" i="3" s="1"/>
  <c r="H24" i="1"/>
  <c r="K12" i="3" s="1"/>
  <c r="S26" i="1"/>
  <c r="S43" i="1"/>
  <c r="R36" i="1"/>
  <c r="D10" i="3"/>
  <c r="G22" i="1"/>
  <c r="J10" i="3" s="1"/>
  <c r="I24" i="1"/>
  <c r="L12" i="3" s="1"/>
  <c r="D15" i="3"/>
  <c r="I27" i="1"/>
  <c r="L15" i="3" s="1"/>
  <c r="H27" i="1"/>
  <c r="K15" i="3" s="1"/>
  <c r="G27" i="1"/>
  <c r="J15" i="3" s="1"/>
  <c r="S44" i="1"/>
  <c r="R44" i="1"/>
  <c r="O44" i="1"/>
  <c r="F26" i="3" s="1"/>
  <c r="I44" i="1"/>
  <c r="L26" i="3" s="1"/>
  <c r="H44" i="1"/>
  <c r="K26" i="3" s="1"/>
  <c r="G44" i="1"/>
  <c r="J26" i="3" s="1"/>
  <c r="D26" i="3"/>
  <c r="S48" i="1"/>
  <c r="C18" i="1"/>
  <c r="O48" i="1"/>
  <c r="F28" i="3" s="1"/>
  <c r="D28" i="3"/>
  <c r="B71" i="1" l="1"/>
  <c r="D71" i="1" s="1"/>
  <c r="S39" i="1"/>
  <c r="R39" i="1"/>
  <c r="O39" i="1"/>
  <c r="F39" i="1"/>
  <c r="E39" i="1"/>
  <c r="D39" i="1"/>
  <c r="G13" i="1"/>
  <c r="G33" i="1"/>
  <c r="J16" i="3"/>
  <c r="J19" i="3"/>
  <c r="G39" i="1"/>
  <c r="K19" i="3"/>
  <c r="H39" i="1"/>
  <c r="J27" i="3"/>
  <c r="G49" i="1"/>
  <c r="K27" i="3"/>
  <c r="H49" i="1"/>
  <c r="B69" i="1"/>
  <c r="D69" i="1" s="1"/>
  <c r="O28" i="1"/>
  <c r="D28" i="1"/>
  <c r="F28" i="1"/>
  <c r="E28" i="1"/>
  <c r="S28" i="1"/>
  <c r="R28" i="1"/>
  <c r="H13" i="1"/>
  <c r="F45" i="1"/>
  <c r="L27" i="3"/>
  <c r="I49" i="1"/>
  <c r="F33" i="1"/>
  <c r="E33" i="1"/>
  <c r="D33" i="1"/>
  <c r="B70" i="1"/>
  <c r="D70" i="1" s="1"/>
  <c r="S33" i="1"/>
  <c r="R33" i="1"/>
  <c r="O33" i="1"/>
  <c r="I28" i="1"/>
  <c r="L8" i="3"/>
  <c r="G28" i="1"/>
  <c r="J8" i="3"/>
  <c r="C51" i="1"/>
  <c r="B68" i="1"/>
  <c r="D18" i="1"/>
  <c r="S18" i="1"/>
  <c r="R18" i="1"/>
  <c r="O18" i="1"/>
  <c r="S49" i="1"/>
  <c r="R49" i="1"/>
  <c r="O49" i="1"/>
  <c r="F49" i="1"/>
  <c r="E49" i="1"/>
  <c r="D49" i="1"/>
  <c r="B73" i="1"/>
  <c r="D73" i="1" s="1"/>
  <c r="L19" i="3"/>
  <c r="I39" i="1"/>
  <c r="C33" i="6"/>
  <c r="E33" i="6" s="1"/>
  <c r="H33" i="1"/>
  <c r="K16" i="3"/>
  <c r="I13" i="1"/>
  <c r="I33" i="1"/>
  <c r="L16" i="3"/>
  <c r="E45" i="1"/>
  <c r="F72" i="1"/>
  <c r="E72" i="1"/>
  <c r="H28" i="1"/>
  <c r="K8" i="3"/>
  <c r="H45" i="1"/>
  <c r="K23" i="3"/>
  <c r="L23" i="3"/>
  <c r="I45" i="1"/>
  <c r="G45" i="1"/>
  <c r="L3" i="3" l="1"/>
  <c r="I18" i="1"/>
  <c r="K3" i="3"/>
  <c r="H18" i="1"/>
  <c r="D13" i="4"/>
  <c r="E13" i="4" s="1"/>
  <c r="E71" i="1"/>
  <c r="F71" i="1" s="1"/>
  <c r="C46" i="3"/>
  <c r="D37" i="6"/>
  <c r="G33" i="6"/>
  <c r="E69" i="1"/>
  <c r="F69" i="1"/>
  <c r="E18" i="1"/>
  <c r="F70" i="1"/>
  <c r="E70" i="1"/>
  <c r="F73" i="1"/>
  <c r="E73" i="1"/>
  <c r="B74" i="1"/>
  <c r="D68" i="1"/>
  <c r="F18" i="1"/>
  <c r="C54" i="1"/>
  <c r="S51" i="1"/>
  <c r="R51" i="1"/>
  <c r="D29" i="3"/>
  <c r="O51" i="1"/>
  <c r="F29" i="3" s="1"/>
  <c r="J3" i="3"/>
  <c r="G18" i="1"/>
  <c r="D51" i="1" l="1"/>
  <c r="G29" i="3" s="1"/>
  <c r="G51" i="1"/>
  <c r="J29" i="3" s="1"/>
  <c r="F54" i="1"/>
  <c r="F32" i="3" s="1"/>
  <c r="E54" i="1"/>
  <c r="E32" i="3" s="1"/>
  <c r="C56" i="1"/>
  <c r="C32" i="3"/>
  <c r="C45" i="3"/>
  <c r="E68" i="1"/>
  <c r="F68" i="1" s="1"/>
  <c r="D74" i="1"/>
  <c r="K84" i="6"/>
  <c r="K68" i="6"/>
  <c r="K52" i="6"/>
  <c r="J19" i="6"/>
  <c r="J7" i="6"/>
  <c r="K43" i="6"/>
  <c r="J28" i="6"/>
  <c r="K83" i="6"/>
  <c r="K67" i="6"/>
  <c r="K51" i="6"/>
  <c r="N10" i="6"/>
  <c r="K42" i="6"/>
  <c r="J14" i="6"/>
  <c r="K82" i="6"/>
  <c r="K66" i="6"/>
  <c r="K50" i="6"/>
  <c r="K32" i="6"/>
  <c r="J23" i="6"/>
  <c r="K31" i="6"/>
  <c r="J22" i="6"/>
  <c r="K47" i="6"/>
  <c r="B39" i="6"/>
  <c r="K77" i="6"/>
  <c r="K61" i="6"/>
  <c r="K38" i="6"/>
  <c r="J17" i="6"/>
  <c r="J26" i="6"/>
  <c r="J9" i="6"/>
  <c r="K76" i="6"/>
  <c r="K60" i="6"/>
  <c r="D38" i="6"/>
  <c r="J16" i="6"/>
  <c r="B38" i="6"/>
  <c r="J12" i="6"/>
  <c r="K75" i="6"/>
  <c r="K59" i="6"/>
  <c r="K46" i="6"/>
  <c r="K37" i="6"/>
  <c r="K30" i="6"/>
  <c r="J21" i="6"/>
  <c r="K74" i="6"/>
  <c r="K58" i="6"/>
  <c r="J20" i="6"/>
  <c r="K79" i="6"/>
  <c r="K62" i="6"/>
  <c r="K33" i="6"/>
  <c r="K81" i="6"/>
  <c r="K45" i="6"/>
  <c r="K80" i="6"/>
  <c r="J13" i="6"/>
  <c r="J8" i="6"/>
  <c r="J25" i="6"/>
  <c r="K57" i="6"/>
  <c r="K78" i="6"/>
  <c r="K44" i="6"/>
  <c r="K54" i="6"/>
  <c r="J24" i="6"/>
  <c r="N11" i="6"/>
  <c r="K73" i="6"/>
  <c r="K53" i="6"/>
  <c r="K41" i="6"/>
  <c r="K72" i="6"/>
  <c r="J11" i="6"/>
  <c r="K40" i="6"/>
  <c r="K71" i="6"/>
  <c r="K29" i="6"/>
  <c r="K70" i="6"/>
  <c r="K49" i="6"/>
  <c r="K39" i="6"/>
  <c r="K55" i="6"/>
  <c r="J27" i="6"/>
  <c r="J6" i="6"/>
  <c r="K36" i="6"/>
  <c r="K48" i="6"/>
  <c r="J18" i="6"/>
  <c r="K35" i="6"/>
  <c r="K34" i="6"/>
  <c r="K69" i="6"/>
  <c r="J10" i="6"/>
  <c r="K63" i="6"/>
  <c r="K65" i="6"/>
  <c r="K64" i="6"/>
  <c r="N9" i="6"/>
  <c r="J15" i="6"/>
  <c r="K56" i="6"/>
  <c r="H51" i="1"/>
  <c r="K29" i="3" s="1"/>
  <c r="E51" i="1"/>
  <c r="H29" i="3" s="1"/>
  <c r="F51" i="1"/>
  <c r="I29" i="3" s="1"/>
  <c r="I51" i="1"/>
  <c r="L29" i="3" s="1"/>
  <c r="B40" i="6" l="1"/>
  <c r="D39" i="6"/>
  <c r="C34" i="3"/>
  <c r="E56" i="1"/>
  <c r="E34" i="3" s="1"/>
  <c r="C58" i="1"/>
  <c r="F56" i="1"/>
  <c r="F34" i="3" s="1"/>
  <c r="C44" i="3"/>
  <c r="E74" i="1"/>
  <c r="F74" i="1" s="1"/>
  <c r="C36" i="3" l="1"/>
  <c r="C60" i="1"/>
  <c r="F58" i="1"/>
  <c r="F36" i="3" s="1"/>
  <c r="E58" i="1"/>
  <c r="E36" i="3" s="1"/>
  <c r="C38" i="3" l="1"/>
  <c r="C62" i="1"/>
  <c r="F60" i="1"/>
  <c r="F38" i="3" s="1"/>
  <c r="E60" i="1"/>
  <c r="E38" i="3" s="1"/>
  <c r="C40" i="3" l="1"/>
  <c r="F62" i="1"/>
  <c r="F40" i="3" s="1"/>
  <c r="E62" i="1"/>
  <c r="E4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<sst xmlns="http://schemas.openxmlformats.org/spreadsheetml/2006/main" count="2383" uniqueCount="577">
  <si>
    <t>Aircraft Mass Properties Tracker</t>
  </si>
  <si>
    <t>ATA</t>
  </si>
  <si>
    <t>Qty</t>
  </si>
  <si>
    <t>Notes</t>
  </si>
  <si>
    <t>Air Conditioning</t>
  </si>
  <si>
    <t>Auto Flight</t>
  </si>
  <si>
    <t>Communications</t>
  </si>
  <si>
    <t>Electrical Power</t>
  </si>
  <si>
    <t>Equipment / Furnishings</t>
  </si>
  <si>
    <t>Fire Protection</t>
  </si>
  <si>
    <t>Flight Controls</t>
  </si>
  <si>
    <t>Fuel</t>
  </si>
  <si>
    <t>Hydraulic Power</t>
  </si>
  <si>
    <t>Ice &amp; Rain Protection</t>
  </si>
  <si>
    <t>Indicating / Recording</t>
  </si>
  <si>
    <t>Landing Gear</t>
  </si>
  <si>
    <t>Lights</t>
  </si>
  <si>
    <t>Navigation</t>
  </si>
  <si>
    <t>Oxygen</t>
  </si>
  <si>
    <t>Pneumatic</t>
  </si>
  <si>
    <t>Water / Waste</t>
  </si>
  <si>
    <t>APU</t>
  </si>
  <si>
    <t>Doors</t>
  </si>
  <si>
    <t>Fuselage</t>
  </si>
  <si>
    <t>Nacelles / Pylons</t>
  </si>
  <si>
    <t>Stabilizers</t>
  </si>
  <si>
    <t>Windows</t>
  </si>
  <si>
    <t>Wings</t>
  </si>
  <si>
    <t>Power Plant</t>
  </si>
  <si>
    <t>Engine Fuel &amp; Control</t>
  </si>
  <si>
    <t>Engine Air</t>
  </si>
  <si>
    <t>Exhaust</t>
  </si>
  <si>
    <t>Engine Oil</t>
  </si>
  <si>
    <t>Starting</t>
  </si>
  <si>
    <t>Distributed</t>
  </si>
  <si>
    <t>Wingtips + tail</t>
  </si>
  <si>
    <t>Version</t>
  </si>
  <si>
    <t>Status</t>
  </si>
  <si>
    <t>Draft</t>
  </si>
  <si>
    <t>Last Updated</t>
  </si>
  <si>
    <t>Author</t>
  </si>
  <si>
    <t>Change Note</t>
  </si>
  <si>
    <t>ata</t>
  </si>
  <si>
    <t>notes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</si>
  <si>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</si>
  <si>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</si>
  <si>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</si>
  <si>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</si>
  <si>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</si>
  <si>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</si>
  <si>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</si>
  <si>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</si>
  <si>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</si>
  <si>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</si>
  <si>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</si>
  <si>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</si>
  <si>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</si>
  <si>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</si>
  <si>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</si>
  <si>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</si>
  <si>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</si>
  <si>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</si>
  <si>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</si>
  <si>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</si>
  <si>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</si>
  <si>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</si>
  <si>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</si>
  <si>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</si>
  <si>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</si>
  <si>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</si>
  <si>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</si>
  <si>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</si>
  <si>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</si>
  <si>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Mx (lbm·ft)</t>
  </si>
  <si>
    <t>My (lbm·ft)</t>
  </si>
  <si>
    <t>Mz (lbm·ft)</t>
  </si>
  <si>
    <t>Target (lbm)</t>
  </si>
  <si>
    <t>Target Mass (lbm)</t>
  </si>
  <si>
    <t>Current (lbm)</t>
  </si>
  <si>
    <t>Mass Properties Risk Analysis</t>
  </si>
  <si>
    <t>Nominal (lbm)</t>
  </si>
  <si>
    <t>TOTAL</t>
  </si>
  <si>
    <t>All Components</t>
  </si>
  <si>
    <t>Unc + (lbm)</t>
  </si>
  <si>
    <t>Unc − (lbm)</t>
  </si>
  <si>
    <t>Mean Shift (lbm)</t>
  </si>
  <si>
    <t>Adjusted Mean (lbm)</t>
  </si>
  <si>
    <t>Verdict</t>
  </si>
  <si>
    <t>Rank</t>
  </si>
  <si>
    <t>σ (lbm)</t>
  </si>
  <si>
    <t>System</t>
  </si>
  <si>
    <t>X CoG (ft)</t>
  </si>
  <si>
    <t>Y CoG (ft)</t>
  </si>
  <si>
    <t>Z CoG (ft)</t>
  </si>
  <si>
    <t>System Owner</t>
  </si>
  <si>
    <t>Electrical Power (Low Voltage)</t>
  </si>
  <si>
    <t>Electrical Power (High Voltage Hybrid)</t>
  </si>
  <si>
    <t>Generators, inverters, motor controllers, HV cables</t>
  </si>
  <si>
    <t>Equipment &amp; Furnishings</t>
  </si>
  <si>
    <t>Door</t>
  </si>
  <si>
    <t>V-Tail</t>
  </si>
  <si>
    <t>Combined HTP+VTP ruddervators</t>
  </si>
  <si>
    <t>Duality Engines</t>
  </si>
  <si>
    <t>Intake, 2-stage fan, motors, burner, nozzle (LH + RH)</t>
  </si>
  <si>
    <t>ECS</t>
  </si>
  <si>
    <t>#</t>
  </si>
  <si>
    <t>Line Item</t>
  </si>
  <si>
    <t>Length (ft)</t>
  </si>
  <si>
    <t>Width (ft)</t>
  </si>
  <si>
    <t>Height (ft)</t>
  </si>
  <si>
    <t>Mass Maturity</t>
  </si>
  <si>
    <t>Geometry Status</t>
  </si>
  <si>
    <t>Avionics</t>
  </si>
  <si>
    <t>Electrical</t>
  </si>
  <si>
    <t>Interiors</t>
  </si>
  <si>
    <t>Fuel Systems</t>
  </si>
  <si>
    <t>Hydraulics</t>
  </si>
  <si>
    <t>Structures</t>
  </si>
  <si>
    <t>Propulsion</t>
  </si>
  <si>
    <t>Electrical Power (LV)</t>
  </si>
  <si>
    <t>Water &amp; Waste</t>
  </si>
  <si>
    <t>Air (Intakes)</t>
  </si>
  <si>
    <t>2 duality + 1 turbogen intakes</t>
  </si>
  <si>
    <t>Coordinate system: X = longitudinal (aft +), Y = lateral (right +), Z = vertical (up +). Units: mass in lbm, positions in ft. Moments = mass × position.</t>
  </si>
  <si>
    <t>2400LV</t>
  </si>
  <si>
    <t>2400HV</t>
  </si>
  <si>
    <t>Recirculation fan</t>
  </si>
  <si>
    <t>OOM</t>
  </si>
  <si>
    <t>N</t>
  </si>
  <si>
    <t>Cabin air recirc</t>
  </si>
  <si>
    <t>Cabin pressure controller</t>
  </si>
  <si>
    <t>ECS ducting</t>
  </si>
  <si>
    <t>Cabin + cockpit</t>
  </si>
  <si>
    <t>Heat exchanger</t>
  </si>
  <si>
    <t>Autopilot computer</t>
  </si>
  <si>
    <t>Dual redundant</t>
  </si>
  <si>
    <t>Yaw damper actuator</t>
  </si>
  <si>
    <t>V-tail integrated</t>
  </si>
  <si>
    <t>VHF comm radio</t>
  </si>
  <si>
    <t>Satcom unit</t>
  </si>
  <si>
    <t>Roof mount antenna</t>
  </si>
  <si>
    <t>Antennas + cabling</t>
  </si>
  <si>
    <t>Main battery</t>
  </si>
  <si>
    <t>Ni-Cd 28V</t>
  </si>
  <si>
    <t>DC bus / distribution panel</t>
  </si>
  <si>
    <t>LV wiring harness</t>
  </si>
  <si>
    <t>Transformer rectifier unit</t>
  </si>
  <si>
    <t>Motor controller / inverter (duality)</t>
  </si>
  <si>
    <t>One per duality engine</t>
  </si>
  <si>
    <t>Generator inverter (turbogen)</t>
  </si>
  <si>
    <t>HV cable run (gen → motors)</t>
  </si>
  <si>
    <t>High-voltage DC</t>
  </si>
  <si>
    <t>DC link capacitors / EMI filter</t>
  </si>
  <si>
    <t>HV battery pack (buffer)</t>
  </si>
  <si>
    <t>Transient load support</t>
  </si>
  <si>
    <t>Pilot seat</t>
  </si>
  <si>
    <t>Passenger seats (club 2+2)</t>
  </si>
  <si>
    <t>Forward + aft facing pairs</t>
  </si>
  <si>
    <t>Aft single seat</t>
  </si>
  <si>
    <t>Cabin sidewalls + ceiling</t>
  </si>
  <si>
    <t>Floor panels + insulation</t>
  </si>
  <si>
    <t>Cabin lavatory</t>
  </si>
  <si>
    <t>Aft</t>
  </si>
  <si>
    <t>Galley / refreshment center</t>
  </si>
  <si>
    <t>Fire bottle (engine)</t>
  </si>
  <si>
    <t>Safety</t>
  </si>
  <si>
    <t>One per duality</t>
  </si>
  <si>
    <t>Fire bottle (turbogen)</t>
  </si>
  <si>
    <t>Fire detection loops</t>
  </si>
  <si>
    <t>Engine bay + turbogen</t>
  </si>
  <si>
    <t>Cabin extinguisher (portable)</t>
  </si>
  <si>
    <t>Actual</t>
  </si>
  <si>
    <t>Primary control yokes</t>
  </si>
  <si>
    <t>Pilot + copilot</t>
  </si>
  <si>
    <t>Aileron actuators</t>
  </si>
  <si>
    <t>Outboard wing</t>
  </si>
  <si>
    <t>Ruddervator actuators</t>
  </si>
  <si>
    <t>V-tail</t>
  </si>
  <si>
    <t>Flap drive motor + screwjack</t>
  </si>
  <si>
    <t>Trim actuators</t>
  </si>
  <si>
    <t>Control cables + push rods</t>
  </si>
  <si>
    <t>Fwd fuselage tank (structure + bladder)</t>
  </si>
  <si>
    <t>~250 gal</t>
  </si>
  <si>
    <t>Aft fuselage tank (structure + bladder)</t>
  </si>
  <si>
    <t>~300 gal</t>
  </si>
  <si>
    <t>Fuel pumps</t>
  </si>
  <si>
    <t>Boost + transfer</t>
  </si>
  <si>
    <t>Fuel lines</t>
  </si>
  <si>
    <t>Fuel quantity sensors</t>
  </si>
  <si>
    <t>Fuel control unit</t>
  </si>
  <si>
    <t>Hydraulic pump (engine driven)</t>
  </si>
  <si>
    <t>Hydraulic reservoir</t>
  </si>
  <si>
    <t>Accumulator</t>
  </si>
  <si>
    <t>Hydraulic lines</t>
  </si>
  <si>
    <t>Wing leading edge boots / heaters</t>
  </si>
  <si>
    <t>Pneumatic boots</t>
  </si>
  <si>
    <t>Windshield heat</t>
  </si>
  <si>
    <t>Electric</t>
  </si>
  <si>
    <t>Pitot heat</t>
  </si>
  <si>
    <t>Engine inlet anti-ice</t>
  </si>
  <si>
    <t>2 duality + 1 turbogen</t>
  </si>
  <si>
    <t>Primary flight display</t>
  </si>
  <si>
    <t>Multifunction display</t>
  </si>
  <si>
    <t>Engine indication</t>
  </si>
  <si>
    <t>Standby instruments</t>
  </si>
  <si>
    <t>FDR / CVR</t>
  </si>
  <si>
    <t>Aft fuselage</t>
  </si>
  <si>
    <t>Nose gear assembly</t>
  </si>
  <si>
    <t>Retractable</t>
  </si>
  <si>
    <t>Main gear assembly</t>
  </si>
  <si>
    <t>Trailing link</t>
  </si>
  <si>
    <t>Brakes + wheels</t>
  </si>
  <si>
    <t>Main only</t>
  </si>
  <si>
    <t>Gear actuation + uplocks</t>
  </si>
  <si>
    <t>Hydraulic retract</t>
  </si>
  <si>
    <t>Cockpit lighting</t>
  </si>
  <si>
    <t>LED panels</t>
  </si>
  <si>
    <t>Cabin lighting</t>
  </si>
  <si>
    <t>LED wash</t>
  </si>
  <si>
    <t>Nav / position lights</t>
  </si>
  <si>
    <t>Landing / taxi lights</t>
  </si>
  <si>
    <t>Anti-collision strobe</t>
  </si>
  <si>
    <t>V-tail tips</t>
  </si>
  <si>
    <t>GPS / WAAS receiver</t>
  </si>
  <si>
    <t>IRS / AHRS</t>
  </si>
  <si>
    <t>Dual</t>
  </si>
  <si>
    <t>ADS-B transponder</t>
  </si>
  <si>
    <t>Weather radar</t>
  </si>
  <si>
    <t>Nose mount</t>
  </si>
  <si>
    <t>TCAS / TAWS</t>
  </si>
  <si>
    <t>Crew oxygen bottle</t>
  </si>
  <si>
    <t>Passenger oxygen system</t>
  </si>
  <si>
    <t>Drop-down masks</t>
  </si>
  <si>
    <t>O2 plumbing + regulators</t>
  </si>
  <si>
    <t>Bleed air ducting (turbogen)</t>
  </si>
  <si>
    <t>Cabin pressurization</t>
  </si>
  <si>
    <t>Pressure regulator + flow control</t>
  </si>
  <si>
    <t>Precooler</t>
  </si>
  <si>
    <t>Potable water tank</t>
  </si>
  <si>
    <t>~5 gal full</t>
  </si>
  <si>
    <t>Waste tank</t>
  </si>
  <si>
    <t>~8 gal full</t>
  </si>
  <si>
    <t>Water/waste plumbing</t>
  </si>
  <si>
    <t>Main entry door (LH fwd)</t>
  </si>
  <si>
    <t>Plug door</t>
  </si>
  <si>
    <t>Door mechanism + hinges</t>
  </si>
  <si>
    <t>Door seals</t>
  </si>
  <si>
    <t>Pressurization seal</t>
  </si>
  <si>
    <t>Forward fuselage frames (FS 0-10)</t>
  </si>
  <si>
    <t>Cockpit + nose</t>
  </si>
  <si>
    <t>Cabin fuselage frames (FS 10-25)</t>
  </si>
  <si>
    <t>Pressurized section</t>
  </si>
  <si>
    <t>Aft fuselage frames (FS 25-35)</t>
  </si>
  <si>
    <t>Engine bay</t>
  </si>
  <si>
    <t>Longerons / stringers</t>
  </si>
  <si>
    <t>Skin panels (fwd)</t>
  </si>
  <si>
    <t>Skin panels (cabin)</t>
  </si>
  <si>
    <t>Pressurized</t>
  </si>
  <si>
    <t>Skin panels (aft)</t>
  </si>
  <si>
    <t>Pressure bulkhead (fwd)</t>
  </si>
  <si>
    <t>Pressure bulkhead (aft)</t>
  </si>
  <si>
    <t>Wing carry-through structure</t>
  </si>
  <si>
    <t>Center wing box</t>
  </si>
  <si>
    <t>Floor beams</t>
  </si>
  <si>
    <t>V-tail spar (LH)</t>
  </si>
  <si>
    <t>Carbon spar</t>
  </si>
  <si>
    <t>V-tail spar (RH)</t>
  </si>
  <si>
    <t>V-tail ribs</t>
  </si>
  <si>
    <t>V-tail skin (LH)</t>
  </si>
  <si>
    <t>V-tail skin (RH)</t>
  </si>
  <si>
    <t>Ruddervators (LH+RH)</t>
  </si>
  <si>
    <t>Control surface</t>
  </si>
  <si>
    <t>V-tail attach fittings</t>
  </si>
  <si>
    <t>Windshield (LH+RH)</t>
  </si>
  <si>
    <t>Heated laminated</t>
  </si>
  <si>
    <t>Cabin windows</t>
  </si>
  <si>
    <t>4 per side</t>
  </si>
  <si>
    <t>Window frames + retainers</t>
  </si>
  <si>
    <t>Wing spar - main (LH)</t>
  </si>
  <si>
    <t>Carbon</t>
  </si>
  <si>
    <t>Wing spar - main (RH)</t>
  </si>
  <si>
    <t>Wing spar - rear (LH)</t>
  </si>
  <si>
    <t>Wing spar - rear (RH)</t>
  </si>
  <si>
    <t>Wing ribs (LH)</t>
  </si>
  <si>
    <t>Wing ribs (RH)</t>
  </si>
  <si>
    <t>Wing skin (LH upper+lower)</t>
  </si>
  <si>
    <t>Wing skin (RH upper+lower)</t>
  </si>
  <si>
    <t>Ailerons (LH+RH)</t>
  </si>
  <si>
    <t>Flaps (LH+RH)</t>
  </si>
  <si>
    <t>Wing attach fittings</t>
  </si>
  <si>
    <t>Winglets (LH+RH)</t>
  </si>
  <si>
    <t>Duality intake duct (LH)</t>
  </si>
  <si>
    <t>Long intake aft of wing</t>
  </si>
  <si>
    <t>Duality intake duct (RH)</t>
  </si>
  <si>
    <t>2-stage fan (LH)</t>
  </si>
  <si>
    <t>2-stage fan (RH)</t>
  </si>
  <si>
    <t>Electric motor (LH fan)</t>
  </si>
  <si>
    <t>2 motors per fan</t>
  </si>
  <si>
    <t>Electric motor (RH fan)</t>
  </si>
  <si>
    <t>Burner (LH)</t>
  </si>
  <si>
    <t>Afterburner-style</t>
  </si>
  <si>
    <t>Burner (RH)</t>
  </si>
  <si>
    <t>Nozzle (LH)</t>
  </si>
  <si>
    <t>Nozzle (RH)</t>
  </si>
  <si>
    <t>Engine mounts (LH)</t>
  </si>
  <si>
    <t>Engine mounts (RH)</t>
  </si>
  <si>
    <t>Turbogen intake duct</t>
  </si>
  <si>
    <t>Dorsal intake</t>
  </si>
  <si>
    <t>Turbine core</t>
  </si>
  <si>
    <t>Gas generator</t>
  </si>
  <si>
    <t>Generator (turbine-driven)</t>
  </si>
  <si>
    <t>Main HV source</t>
  </si>
  <si>
    <t>Turbogen exhaust</t>
  </si>
  <si>
    <t>Turbogen mounts</t>
  </si>
  <si>
    <t>Lube oil system</t>
  </si>
  <si>
    <t>FADEC (duality LH+RH)</t>
  </si>
  <si>
    <t>FADEC (turbogen)</t>
  </si>
  <si>
    <t>Engine fuel pump (turbogen)</t>
  </si>
  <si>
    <t>Engine fuel pump (duality LH+RH)</t>
  </si>
  <si>
    <t>For burner</t>
  </si>
  <si>
    <t>Engine fuel manifolds</t>
  </si>
  <si>
    <t>Duality intake lip/cowl (LH)</t>
  </si>
  <si>
    <t>Duality intake lip/cowl (RH)</t>
  </si>
  <si>
    <t>Turbogen intake lip/cowl</t>
  </si>
  <si>
    <t>Dorsal</t>
  </si>
  <si>
    <t>Duality exhaust shroud (LH)</t>
  </si>
  <si>
    <t>Duality exhaust shroud (RH)</t>
  </si>
  <si>
    <t>Thermal blanket / IR suppression</t>
  </si>
  <si>
    <t>Starter motor (turbogen)</t>
  </si>
  <si>
    <t>Electric start</t>
  </si>
  <si>
    <t>Ignition exciter (turbogen)</t>
  </si>
  <si>
    <t>Ignition exciter (duality LH+RH)</t>
  </si>
  <si>
    <t>Owner</t>
  </si>
  <si>
    <t>STRUCTURE</t>
  </si>
  <si>
    <t>Structure Subtotal</t>
  </si>
  <si>
    <t>MECHANICAL SYSTEMS</t>
  </si>
  <si>
    <t>Fuel System</t>
  </si>
  <si>
    <t>Plumbing/pumps only (fuel mass in Fuel block below)</t>
  </si>
  <si>
    <t>Mechanical Subtotal</t>
  </si>
  <si>
    <t>ELECTRICAL SYSTEMS</t>
  </si>
  <si>
    <t>Electrical Subtotal</t>
  </si>
  <si>
    <t>AVIONICS</t>
  </si>
  <si>
    <t>Instruments</t>
  </si>
  <si>
    <t>Avionics Subtotal</t>
  </si>
  <si>
    <t>POWERPLANT</t>
  </si>
  <si>
    <t>Powerplant Subtotal</t>
  </si>
  <si>
    <t>INTERIOR</t>
  </si>
  <si>
    <t>Interior Subtotal</t>
  </si>
  <si>
    <t>EMPTY WEIGHT</t>
  </si>
  <si>
    <t>(sum of all subtotals)</t>
  </si>
  <si>
    <t>WEIGHT SUMMARY</t>
  </si>
  <si>
    <t>Mass (lbm)</t>
  </si>
  <si>
    <t>Spec Target (lbm)</t>
  </si>
  <si>
    <t>Delta (lbm)</t>
  </si>
  <si>
    <t>Margin %</t>
  </si>
  <si>
    <t>Empty Weight</t>
  </si>
  <si>
    <t>Sum of all ATA subtotals</t>
  </si>
  <si>
    <t>(crew, oil, unusable fuel)</t>
  </si>
  <si>
    <t>1 pilot @ 200 lbm + oil + unusable fuel</t>
  </si>
  <si>
    <t>= Operating Empty Weight (OEW)</t>
  </si>
  <si>
    <t>(5 pax + bags)</t>
  </si>
  <si>
    <t>5 pax @ 200 lbm + 300 lbm bags</t>
  </si>
  <si>
    <t>= Zero Fuel Weight (ZFW)</t>
  </si>
  <si>
    <t>MZFW spec</t>
  </si>
  <si>
    <t>(max usable)</t>
  </si>
  <si>
    <t>~1200 gal @ 6.7 lbm/gal Jet-A</t>
  </si>
  <si>
    <t>= Takeoff Weight (TOW)</t>
  </si>
  <si>
    <t>MTOW spec</t>
  </si>
  <si>
    <t>Typical mission burn</t>
  </si>
  <si>
    <t>= Landing Weight (LW)</t>
  </si>
  <si>
    <t>MLW spec</t>
  </si>
  <si>
    <t>Rep</t>
  </si>
  <si>
    <t>Y</t>
  </si>
  <si>
    <t>Space Res</t>
  </si>
  <si>
    <t>Ref Geom</t>
  </si>
  <si>
    <t>Sketch</t>
  </si>
  <si>
    <t>Completed</t>
  </si>
  <si>
    <t>Unc %</t>
  </si>
  <si>
    <t>X</t>
  </si>
  <si>
    <t>Δ vs Target</t>
  </si>
  <si>
    <t>Each ATA carries asymmetric uncertainty (Unc+, Unc−) from the Roll Up sheet. Treated as a triangular distribution per row: mean shift = (Unc+ − Unc−)/3, σ² = (Unc+² + Unc−² − Unc+·Unc−)/18. Uncertainties combine by RSS (root-sum-square); mean shifts add linearly. 95% CI = adjusted mean ± 1.96·σ.</t>
  </si>
  <si>
    <t>95% CI Range (lbm)</t>
  </si>
  <si>
    <t>Ice &amp; Rain</t>
  </si>
  <si>
    <t>Electrical Power (HV)</t>
  </si>
  <si>
    <t>Empty Weight Probability Analysis</t>
  </si>
  <si>
    <t>Target EW (lbm)</t>
  </si>
  <si>
    <t>Margin to Target (lbm)</t>
  </si>
  <si>
    <t>Z-score (σ from target)</t>
  </si>
  <si>
    <t>P(EW ≤ Target)</t>
  </si>
  <si>
    <t>P(EW &gt; Target)</t>
  </si>
  <si>
    <t>Top 5 Risk Drivers (highest σ)</t>
  </si>
  <si>
    <t>ATA / Description</t>
  </si>
  <si>
    <t>% of Total Variance</t>
  </si>
  <si>
    <t>system</t>
  </si>
  <si>
    <t>group</t>
  </si>
  <si>
    <t>total_mass_lbm</t>
  </si>
  <si>
    <t>target_mass_lbm</t>
  </si>
  <si>
    <t>delta_lbm</t>
  </si>
  <si>
    <t>x_cg_ft</t>
  </si>
  <si>
    <t>y_cg_ft</t>
  </si>
  <si>
    <t>z_cg_ft</t>
  </si>
  <si>
    <t>mx_lbm_ft</t>
  </si>
  <si>
    <t>my_lbm_ft</t>
  </si>
  <si>
    <t>mz_lbm_ft</t>
  </si>
  <si>
    <t>unc_plus_lbm</t>
  </si>
  <si>
    <t>unc_minus_lbm</t>
  </si>
  <si>
    <t>system_owner</t>
  </si>
  <si>
    <t>Structure</t>
  </si>
  <si>
    <t>Mechanical</t>
  </si>
  <si>
    <t>Powerplant</t>
  </si>
  <si>
    <t>Interior</t>
  </si>
  <si>
    <t xml:space="preserve">  + Operating Items</t>
  </si>
  <si>
    <t xml:space="preserve">  + Payload</t>
  </si>
  <si>
    <t xml:space="preserve">  + Fuel</t>
  </si>
  <si>
    <t xml:space="preserve">  − Trip Fuel Burn</t>
  </si>
  <si>
    <t>x (lbm)</t>
  </si>
  <si>
    <t>PDF Pass</t>
  </si>
  <si>
    <t>PDF Fail</t>
  </si>
  <si>
    <t>Marker</t>
  </si>
  <si>
    <t>x</t>
  </si>
  <si>
    <t>y</t>
  </si>
  <si>
    <t>Adjusted Mean</t>
  </si>
  <si>
    <t>Crew, oil, unusable fuel</t>
  </si>
  <si>
    <t>− Trip Fuel Burn</t>
  </si>
  <si>
    <t>VERSION</t>
  </si>
  <si>
    <t>Date</t>
  </si>
  <si>
    <t>ATA 5200 — Door</t>
  </si>
  <si>
    <t>ATA 5200 Subtotal</t>
  </si>
  <si>
    <t>ATA 5300 — Fuselage</t>
  </si>
  <si>
    <t>ATA 5300 Subtotal</t>
  </si>
  <si>
    <t>ATA 5500 — V-Tail</t>
  </si>
  <si>
    <t>ATA 5500 Subtotal</t>
  </si>
  <si>
    <t>ATA 5600 — Windows</t>
  </si>
  <si>
    <t>ATA 5600 Subtotal</t>
  </si>
  <si>
    <t>ATA 5700 — Wings</t>
  </si>
  <si>
    <t>ATA 5700 Subtotal</t>
  </si>
  <si>
    <t>ATA 3200 — Landing Gear</t>
  </si>
  <si>
    <t>ATA 3200 Subtotal</t>
  </si>
  <si>
    <t>MECHANICAL</t>
  </si>
  <si>
    <t>ATA 2100 — Air Conditioning</t>
  </si>
  <si>
    <t>ATA 2100 Subtotal</t>
  </si>
  <si>
    <t>ATA 2700 — Flight Controls</t>
  </si>
  <si>
    <t>ATA 2700 Subtotal</t>
  </si>
  <si>
    <t>ATA 2800 — Fuel System</t>
  </si>
  <si>
    <t>ATA 2800 Subtotal</t>
  </si>
  <si>
    <t>ATA 2900 — Hydraulic Power</t>
  </si>
  <si>
    <t>ATA 2900 Subtotal</t>
  </si>
  <si>
    <t>ATA 3000 — Ice &amp; Rain Protection</t>
  </si>
  <si>
    <t>ATA 3000 Subtotal</t>
  </si>
  <si>
    <t>ATA 3500 — Oxygen</t>
  </si>
  <si>
    <t>ATA 3500 Subtotal</t>
  </si>
  <si>
    <t>ATA 3600 — Pneumatic</t>
  </si>
  <si>
    <t>ATA 3600 Subtotal</t>
  </si>
  <si>
    <t>ATA 3800 — Water &amp; Waste</t>
  </si>
  <si>
    <t>ATA 3800 Subtotal</t>
  </si>
  <si>
    <t>ELECTRICAL</t>
  </si>
  <si>
    <t>ATA 2400LV — Electrical Power (Low Voltage)</t>
  </si>
  <si>
    <t>ATA 2400LV Subtotal</t>
  </si>
  <si>
    <t>ATA 2400HV — Electrical Power (High Voltage Hybrid)</t>
  </si>
  <si>
    <t>ATA 2400HV Subtotal</t>
  </si>
  <si>
    <t>ATA 3300 — Lights</t>
  </si>
  <si>
    <t>ATA 3300 Subtotal</t>
  </si>
  <si>
    <t>ATA 2200 — Auto Flight</t>
  </si>
  <si>
    <t>ATA 2200 Subtotal</t>
  </si>
  <si>
    <t>ATA 2300 — Communications</t>
  </si>
  <si>
    <t>ATA 2300 Subtotal</t>
  </si>
  <si>
    <t>ATA 3100 — Instruments</t>
  </si>
  <si>
    <t>ATA 3100 Subtotal</t>
  </si>
  <si>
    <t>ATA 3400 — Navigation</t>
  </si>
  <si>
    <t>ATA 3400 Subtotal</t>
  </si>
  <si>
    <t>ATA 7100 Subtotal</t>
  </si>
  <si>
    <t>ATA 7300 — Engine Fuel &amp; Control</t>
  </si>
  <si>
    <t>ATA 7300 Subtotal</t>
  </si>
  <si>
    <t>ATA 7500 — Air (Intakes)</t>
  </si>
  <si>
    <t>ATA 7500 Subtotal</t>
  </si>
  <si>
    <t>ATA 8000 — Starting</t>
  </si>
  <si>
    <t>ATA 8000 Subtotal</t>
  </si>
  <si>
    <t>ATA 2500 — Equipment &amp; Furnishings</t>
  </si>
  <si>
    <t>ATA 2500 Subtotal</t>
  </si>
  <si>
    <t>ATA 2600 — Fire Protection</t>
  </si>
  <si>
    <t>ATA 2600 Subtotal</t>
  </si>
  <si>
    <t>Duality Engines (incl. Turbogen &amp; Exhaust)</t>
  </si>
  <si>
    <t>SUMMARY</t>
  </si>
  <si>
    <t>ATA 7100 — Duality Engines (incl. Turbogen &amp; Exhaust)</t>
  </si>
  <si>
    <t>v0.1.11</t>
  </si>
  <si>
    <t>• Merged ATA 71T (Turbogen) and 78 (Exhaust) into ATA 71 in Risk analysis</t>
  </si>
  <si>
    <t>• Removed dead 7100T/7800 reference rows from Export (folded into 7100)</t>
  </si>
  <si>
    <t>Modelled in CAD</t>
  </si>
  <si>
    <t>cg_state</t>
  </si>
  <si>
    <t>total_aircraft</t>
  </si>
  <si>
    <t>total</t>
  </si>
  <si>
    <t>operating_empty</t>
  </si>
  <si>
    <t>operating_empty_without_engine</t>
  </si>
  <si>
    <t>systems_total</t>
  </si>
  <si>
    <t>structure_total</t>
  </si>
  <si>
    <t>duality</t>
  </si>
  <si>
    <t>tank_dry</t>
  </si>
  <si>
    <t>fuel</t>
  </si>
  <si>
    <t>payload_total</t>
  </si>
  <si>
    <t>passenger_payload</t>
  </si>
  <si>
    <t>crew_payload</t>
  </si>
  <si>
    <t>INTERIOR Subtotal</t>
  </si>
  <si>
    <t>Fixed ATA mass from aircraft.json.</t>
  </si>
  <si>
    <t>fire_protection</t>
  </si>
  <si>
    <t>furnishings</t>
  </si>
  <si>
    <t>POWERPLANT Subtotal</t>
  </si>
  <si>
    <t>turbines</t>
  </si>
  <si>
    <t>propulsive_motors</t>
  </si>
  <si>
    <t>generators</t>
  </si>
  <si>
    <t>burners</t>
  </si>
  <si>
    <t>AVIONICS Subtotal</t>
  </si>
  <si>
    <t>navigation</t>
  </si>
  <si>
    <t>instruments</t>
  </si>
  <si>
    <t>avionics</t>
  </si>
  <si>
    <t>auto_flight</t>
  </si>
  <si>
    <t>ELECTRICAL SYSTEMS Subtotal</t>
  </si>
  <si>
    <t>lights</t>
  </si>
  <si>
    <t>hv_cables</t>
  </si>
  <si>
    <t>lv_system</t>
  </si>
  <si>
    <t>electrical</t>
  </si>
  <si>
    <t>MECHANICAL SYSTEMS Subtotal</t>
  </si>
  <si>
    <t>water_waste</t>
  </si>
  <si>
    <t>pneumatic</t>
  </si>
  <si>
    <t>oxygen</t>
  </si>
  <si>
    <t>ice_rain_protection</t>
  </si>
  <si>
    <t>hydraulics</t>
  </si>
  <si>
    <t>fuel_system_and_tanks</t>
  </si>
  <si>
    <t>flight_controls</t>
  </si>
  <si>
    <t>air_conditioning_anti_ice</t>
  </si>
  <si>
    <t>STRUCTURE Subtotal</t>
  </si>
  <si>
    <t>nose_landing_gear</t>
  </si>
  <si>
    <t>main_landing_gear</t>
  </si>
  <si>
    <t>handling_gear</t>
  </si>
  <si>
    <t>wing</t>
  </si>
  <si>
    <t>windows</t>
  </si>
  <si>
    <t>vertical_tail</t>
  </si>
  <si>
    <t>horizontal_tail</t>
  </si>
  <si>
    <t>fuselage</t>
  </si>
  <si>
    <t>door</t>
  </si>
  <si>
    <t>mz_kgm</t>
  </si>
  <si>
    <t>my_kgm</t>
  </si>
  <si>
    <t>mx_kgm</t>
  </si>
  <si>
    <t>z_m</t>
  </si>
  <si>
    <t>y_m</t>
  </si>
  <si>
    <t>x_m</t>
  </si>
  <si>
    <t>total_mass_kg</t>
  </si>
  <si>
    <t>unit_mass_kg</t>
  </si>
  <si>
    <t>qty</t>
  </si>
  <si>
    <t>component</t>
  </si>
  <si>
    <t>Group</t>
  </si>
  <si>
    <t>mass_lbm</t>
  </si>
  <si>
    <t>x_ft</t>
  </si>
  <si>
    <t>y_ft</t>
  </si>
  <si>
    <t>z_ft</t>
  </si>
  <si>
    <t>ata_text</t>
  </si>
  <si>
    <t>_</t>
  </si>
  <si>
    <t>Source</t>
  </si>
  <si>
    <t>MDO Mass (lbm)</t>
  </si>
  <si>
    <t>MDO ΔMass</t>
  </si>
  <si>
    <t>MDO ΔMass %</t>
  </si>
  <si>
    <t>Bottom-up</t>
  </si>
  <si>
    <t>UNALLOCATED MASS BUCKET (MDO target − bottom-up)</t>
  </si>
  <si>
    <t>Tracks gap between MDO allocation and current bottom-up build. Burn down as line-item detail matures.</t>
  </si>
  <si>
    <t>Bottom-up (lbm)</t>
  </si>
  <si>
    <t>MDO Target (lbm)</t>
  </si>
  <si>
    <t>Unallocated (lbm)</t>
  </si>
  <si>
    <t>Unalloc %</t>
  </si>
  <si>
    <t>MDO Δ</t>
  </si>
  <si>
    <t>MDO Δ%</t>
  </si>
  <si>
    <t>⚠ UNALLOCATED MASS WARNING</t>
  </si>
  <si>
    <t>Unallocated (group level)</t>
  </si>
  <si>
    <t>MDO − Bottom-up gap</t>
  </si>
  <si>
    <t>⚠ Gap not in ATA breakdown — informational only</t>
  </si>
  <si>
    <t xml:space="preserve">  Structure</t>
  </si>
  <si>
    <t xml:space="preserve">  Avionics</t>
  </si>
  <si>
    <t>0.1.20</t>
  </si>
  <si>
    <t>Wired Source dropdown to actually switch mass/CoG between Bottom-up and MDO; trimmed dropdown to 2 options; added Unallocated warning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</si>
</sst>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;\(#,##0.0\);\-"/>
    <numFmt numFmtId="165" formatCode="0.0%"/>
    <numFmt numFmtId="166" formatCode="#,##0;\(#,##0\)"/>
    <numFmt numFmtId="167" formatCode="#,##0.0"/>
    <numFmt numFmtId="168" formatCode="\+0.0%;\-0.0%;\-"/>
  </numFmts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"/>
    </font>
    <font>
      <b/>
      <sz val="11"/>
      <color rgb="FF0000FF"/>
      <name val="Aptos"/>
    </font>
    <font>
      <sz val="11"/>
      <color theme="1"/>
      <name val="Aptos"/>
    </font>
    <font>
      <b/>
      <sz val="20"/>
      <color rgb="FFFFFFFF"/>
      <name val="Aptos"/>
    </font>
    <font>
      <sz val="11"/>
      <color rgb="FF0000FF"/>
      <name val="Aptos"/>
    </font>
    <font>
      <b/>
      <sz val="14"/>
      <color theme="1"/>
      <name val="Aptos"/>
    </font>
    <font>
      <i/>
      <sz val="11"/>
      <color rgb="FF555555"/>
      <name val="Aptos"/>
    </font>
    <font>
      <b/>
      <sz val="11"/>
      <color rgb="FF1F4E78"/>
      <name val="Aptos"/>
    </font>
    <font>
      <b/>
      <sz val="12"/>
      <color rgb="FFFFFFFF"/>
      <name val="Aptos"/>
    </font>
    <font>
      <b/>
      <sz val="14"/>
      <color rgb="FFFFFFFF"/>
      <name val="Aptos"/>
    </font>
    <font>
      <b/>
      <sz val="11"/>
      <color theme="1"/>
      <name val="Aptos"/>
    </font>
    <font>
      <sz val="11"/>
      <color rgb="FF008000"/>
      <name val="Aptos"/>
    </font>
    <font>
      <sz val="11"/>
      <color rgb="FF000000"/>
      <name val="Aptos"/>
    </font>
    <font>
      <b/>
      <sz val="12"/>
      <color theme="1"/>
      <name val="Aptos"/>
    </font>
    <font>
      <b/>
      <sz val="16"/>
      <color rgb="FFFFFFFF"/>
      <name val="Aptos"/>
    </font>
    <font>
      <sz val="11"/>
      <color rgb="FF1F4E78"/>
      <name val="Aptos"/>
    </font>
    <font>
      <b/>
      <sz val="10"/>
      <color rgb="FFFFFFFF"/>
      <name val="Aptos"/>
    </font>
    <font>
      <i/>
      <sz val="11"/>
      <color rgb="FF444444"/>
      <name val="Aptos"/>
    </font>
    <font>
      <b/>
      <sz val="11"/>
      <color theme="0"/>
      <name val="Aptos"/>
      <family val="2"/>
    </font>
    <font>
      <b/>
      <sz val="11"/>
      <color rgb="FFFFFFFF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/>
    <xf numFmtId="0" fontId="0" fillId="2" borderId="0" xfId="0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0" xfId="0" applyNumberFormat="1" applyFont="1"/>
    <xf numFmtId="0" fontId="6" fillId="0" borderId="0" xfId="0" applyFont="1"/>
    <xf numFmtId="0" fontId="4" fillId="4" borderId="0" xfId="0" applyFont="1" applyFill="1"/>
    <xf numFmtId="0" fontId="7" fillId="0" borderId="0" xfId="0" applyFont="1"/>
    <xf numFmtId="0" fontId="8" fillId="0" borderId="0" xfId="0" applyFont="1"/>
    <xf numFmtId="0" fontId="2" fillId="7" borderId="0" xfId="0" applyFont="1" applyFill="1"/>
    <xf numFmtId="0" fontId="2" fillId="2" borderId="11" xfId="0" applyFont="1" applyFill="1" applyBorder="1"/>
    <xf numFmtId="0" fontId="4" fillId="2" borderId="11" xfId="0" applyFont="1" applyFill="1" applyBorder="1"/>
    <xf numFmtId="3" fontId="4" fillId="0" borderId="0" xfId="0" applyNumberFormat="1" applyFont="1"/>
    <xf numFmtId="2" fontId="4" fillId="0" borderId="0" xfId="0" applyNumberFormat="1" applyFont="1"/>
    <xf numFmtId="3" fontId="6" fillId="0" borderId="0" xfId="0" applyNumberFormat="1" applyFont="1"/>
    <xf numFmtId="166" fontId="4" fillId="0" borderId="0" xfId="0" applyNumberFormat="1" applyFont="1"/>
    <xf numFmtId="0" fontId="9" fillId="3" borderId="0" xfId="0" applyFont="1" applyFill="1"/>
    <xf numFmtId="3" fontId="9" fillId="3" borderId="0" xfId="0" applyNumberFormat="1" applyFont="1" applyFill="1"/>
    <xf numFmtId="2" fontId="9" fillId="3" borderId="0" xfId="0" applyNumberFormat="1" applyFont="1" applyFill="1"/>
    <xf numFmtId="166" fontId="9" fillId="3" borderId="0" xfId="0" applyNumberFormat="1" applyFont="1" applyFill="1"/>
    <xf numFmtId="3" fontId="2" fillId="2" borderId="11" xfId="0" applyNumberFormat="1" applyFont="1" applyFill="1" applyBorder="1"/>
    <xf numFmtId="2" fontId="2" fillId="2" borderId="11" xfId="0" applyNumberFormat="1" applyFont="1" applyFill="1" applyBorder="1"/>
    <xf numFmtId="3" fontId="4" fillId="2" borderId="11" xfId="0" applyNumberFormat="1" applyFont="1" applyFill="1" applyBorder="1"/>
    <xf numFmtId="166" fontId="4" fillId="2" borderId="11" xfId="0" applyNumberFormat="1" applyFont="1" applyFill="1" applyBorder="1"/>
    <xf numFmtId="0" fontId="9" fillId="3" borderId="10" xfId="0" applyFont="1" applyFill="1" applyBorder="1"/>
    <xf numFmtId="3" fontId="9" fillId="3" borderId="10" xfId="0" applyNumberFormat="1" applyFont="1" applyFill="1" applyBorder="1"/>
    <xf numFmtId="2" fontId="9" fillId="3" borderId="10" xfId="0" applyNumberFormat="1" applyFont="1" applyFill="1" applyBorder="1"/>
    <xf numFmtId="166" fontId="9" fillId="3" borderId="10" xfId="0" applyNumberFormat="1" applyFont="1" applyFill="1" applyBorder="1"/>
    <xf numFmtId="0" fontId="10" fillId="2" borderId="12" xfId="0" applyFont="1" applyFill="1" applyBorder="1"/>
    <xf numFmtId="3" fontId="10" fillId="2" borderId="12" xfId="0" applyNumberFormat="1" applyFont="1" applyFill="1" applyBorder="1"/>
    <xf numFmtId="2" fontId="10" fillId="2" borderId="12" xfId="0" applyNumberFormat="1" applyFont="1" applyFill="1" applyBorder="1"/>
    <xf numFmtId="0" fontId="4" fillId="2" borderId="12" xfId="0" applyFont="1" applyFill="1" applyBorder="1"/>
    <xf numFmtId="166" fontId="10" fillId="2" borderId="12" xfId="0" applyNumberFormat="1" applyFont="1" applyFill="1" applyBorder="1"/>
    <xf numFmtId="0" fontId="11" fillId="2" borderId="0" xfId="0" applyFont="1" applyFill="1"/>
    <xf numFmtId="0" fontId="4" fillId="2" borderId="0" xfId="0" applyFont="1" applyFill="1"/>
    <xf numFmtId="0" fontId="10" fillId="2" borderId="0" xfId="0" applyFont="1" applyFill="1" applyAlignment="1">
      <alignment horizontal="center"/>
    </xf>
    <xf numFmtId="0" fontId="12" fillId="0" borderId="0" xfId="0" applyFont="1"/>
    <xf numFmtId="3" fontId="12" fillId="0" borderId="0" xfId="0" applyNumberFormat="1" applyFont="1"/>
    <xf numFmtId="166" fontId="12" fillId="0" borderId="0" xfId="0" applyNumberFormat="1" applyFont="1"/>
    <xf numFmtId="165" fontId="4" fillId="0" borderId="0" xfId="0" applyNumberFormat="1" applyFont="1"/>
    <xf numFmtId="0" fontId="12" fillId="3" borderId="0" xfId="0" quotePrefix="1" applyFont="1" applyFill="1"/>
    <xf numFmtId="0" fontId="4" fillId="3" borderId="0" xfId="0" applyFont="1" applyFill="1"/>
    <xf numFmtId="3" fontId="12" fillId="3" borderId="0" xfId="0" applyNumberFormat="1" applyFont="1" applyFill="1"/>
    <xf numFmtId="3" fontId="6" fillId="3" borderId="0" xfId="0" applyNumberFormat="1" applyFont="1" applyFill="1"/>
    <xf numFmtId="166" fontId="12" fillId="3" borderId="0" xfId="0" applyNumberFormat="1" applyFont="1" applyFill="1"/>
    <xf numFmtId="165" fontId="4" fillId="3" borderId="0" xfId="0" applyNumberFormat="1" applyFont="1" applyFill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/>
    <xf numFmtId="164" fontId="6" fillId="6" borderId="5" xfId="0" applyNumberFormat="1" applyFont="1" applyFill="1" applyBorder="1"/>
    <xf numFmtId="164" fontId="13" fillId="0" borderId="5" xfId="0" applyNumberFormat="1" applyFont="1" applyBorder="1"/>
    <xf numFmtId="164" fontId="14" fillId="0" borderId="5" xfId="0" applyNumberFormat="1" applyFont="1" applyBorder="1"/>
    <xf numFmtId="0" fontId="4" fillId="0" borderId="6" xfId="0" applyFont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/>
    <xf numFmtId="164" fontId="6" fillId="6" borderId="8" xfId="0" applyNumberFormat="1" applyFont="1" applyFill="1" applyBorder="1"/>
    <xf numFmtId="164" fontId="13" fillId="0" borderId="8" xfId="0" applyNumberFormat="1" applyFont="1" applyBorder="1"/>
    <xf numFmtId="164" fontId="14" fillId="0" borderId="8" xfId="0" applyNumberFormat="1" applyFont="1" applyBorder="1"/>
    <xf numFmtId="0" fontId="4" fillId="0" borderId="9" xfId="0" applyFont="1" applyBorder="1"/>
    <xf numFmtId="0" fontId="15" fillId="3" borderId="0" xfId="0" applyFont="1" applyFill="1"/>
    <xf numFmtId="0" fontId="12" fillId="0" borderId="4" xfId="0" applyFont="1" applyBorder="1" applyAlignment="1">
      <alignment horizontal="center"/>
    </xf>
    <xf numFmtId="164" fontId="4" fillId="0" borderId="5" xfId="0" applyNumberFormat="1" applyFont="1" applyBorder="1"/>
    <xf numFmtId="0" fontId="12" fillId="0" borderId="7" xfId="0" applyFont="1" applyBorder="1" applyAlignment="1">
      <alignment horizontal="center"/>
    </xf>
    <xf numFmtId="164" fontId="4" fillId="0" borderId="8" xfId="0" applyNumberFormat="1" applyFont="1" applyBorder="1"/>
    <xf numFmtId="3" fontId="2" fillId="2" borderId="0" xfId="0" applyNumberFormat="1" applyFont="1" applyFill="1"/>
    <xf numFmtId="2" fontId="2" fillId="2" borderId="0" xfId="0" applyNumberFormat="1" applyFont="1" applyFill="1"/>
    <xf numFmtId="0" fontId="15" fillId="0" borderId="0" xfId="0" applyFont="1"/>
    <xf numFmtId="3" fontId="3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0" fontId="12" fillId="3" borderId="0" xfId="0" applyFont="1" applyFill="1"/>
    <xf numFmtId="9" fontId="4" fillId="0" borderId="0" xfId="0" applyNumberFormat="1" applyFont="1"/>
    <xf numFmtId="0" fontId="12" fillId="3" borderId="0" xfId="0" applyFont="1" applyFill="1" applyAlignment="1">
      <alignment horizontal="right"/>
    </xf>
    <xf numFmtId="167" fontId="4" fillId="0" borderId="0" xfId="0" applyNumberFormat="1" applyFont="1"/>
    <xf numFmtId="0" fontId="12" fillId="0" borderId="0" xfId="0" quotePrefix="1" applyFont="1"/>
    <xf numFmtId="167" fontId="12" fillId="0" borderId="0" xfId="0" applyNumberFormat="1" applyFont="1"/>
    <xf numFmtId="0" fontId="12" fillId="9" borderId="0" xfId="0" applyFont="1" applyFill="1"/>
    <xf numFmtId="14" fontId="4" fillId="0" borderId="0" xfId="0" applyNumberFormat="1" applyFont="1"/>
    <xf numFmtId="0" fontId="17" fillId="3" borderId="0" xfId="0" applyFont="1" applyFill="1"/>
    <xf numFmtId="0" fontId="2" fillId="2" borderId="0" xfId="0" applyFont="1" applyFill="1" applyAlignment="1">
      <alignment horizontal="center"/>
    </xf>
    <xf numFmtId="167" fontId="4" fillId="3" borderId="0" xfId="0" applyNumberFormat="1" applyFont="1" applyFill="1"/>
    <xf numFmtId="2" fontId="4" fillId="3" borderId="0" xfId="0" applyNumberFormat="1" applyFont="1" applyFill="1"/>
    <xf numFmtId="167" fontId="9" fillId="3" borderId="10" xfId="0" applyNumberFormat="1" applyFont="1" applyFill="1" applyBorder="1"/>
    <xf numFmtId="168" fontId="4" fillId="0" borderId="0" xfId="0" applyNumberFormat="1" applyFont="1"/>
    <xf numFmtId="0" fontId="9" fillId="3" borderId="11" xfId="0" applyFont="1" applyFill="1" applyBorder="1"/>
    <xf numFmtId="168" fontId="9" fillId="3" borderId="0" xfId="0" applyNumberFormat="1" applyFont="1" applyFill="1"/>
    <xf numFmtId="3" fontId="9" fillId="3" borderId="11" xfId="0" applyNumberFormat="1" applyFont="1" applyFill="1" applyBorder="1"/>
    <xf numFmtId="165" fontId="9" fillId="3" borderId="11" xfId="0" applyNumberFormat="1" applyFont="1" applyFill="1" applyBorder="1"/>
    <xf numFmtId="168" fontId="9" fillId="3" borderId="10" xfId="0" applyNumberFormat="1" applyFont="1" applyFill="1" applyBorder="1"/>
    <xf numFmtId="168" fontId="2" fillId="2" borderId="0" xfId="0" applyNumberFormat="1" applyFont="1" applyFill="1"/>
    <xf numFmtId="0" fontId="20" fillId="10" borderId="0" xfId="0" applyFont="1" applyFill="1"/>
    <xf numFmtId="0" fontId="4" fillId="9" borderId="0" xfId="0" applyFont="1" applyFill="1"/>
    <xf numFmtId="167" fontId="4" fillId="9" borderId="0" xfId="0" applyNumberFormat="1" applyFont="1" applyFill="1"/>
    <xf numFmtId="0" fontId="10" fillId="2" borderId="0" xfId="0" applyFont="1" applyFill="1" applyAlignment="1">
      <alignment horizontal="left"/>
    </xf>
    <xf numFmtId="0" fontId="4" fillId="0" borderId="0" xfId="0" applyFont="1"/>
    <xf numFmtId="0" fontId="0" fillId="0" borderId="0" xfId="0"/>
    <xf numFmtId="0" fontId="19" fillId="0" borderId="0" xfId="0" applyFont="1"/>
    <xf numFmtId="0" fontId="7" fillId="0" borderId="0" xfId="0" applyFont="1"/>
    <xf numFmtId="0" fontId="8" fillId="0" borderId="0" xfId="0" applyFont="1"/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1" fillId="8" borderId="0" xfId="0" applyFont="1" applyFill="1"/>
    <xf numFmtId="0" fontId="12" fillId="9" borderId="0" xfId="0" applyFont="1" applyFill="1"/>
    <xf numFmtId="0" fontId="18" fillId="2" borderId="0" xfId="0" applyFont="1" applyFill="1" applyAlignment="1">
      <alignment horizontal="center"/>
    </xf>
    <xf numFmtId="0" fontId="10" fillId="2" borderId="11" xfId="0" applyFont="1" applyFill="1" applyBorder="1"/>
    <xf numFmtId="0" fontId="4" fillId="0" borderId="11" xfId="0" applyFont="1" applyBorder="1"/>
    <xf numFmtId="0" fontId="16" fillId="2" borderId="0" xfId="0" applyFont="1" applyFill="1" applyAlignment="1">
      <alignment horizontal="center"/>
    </xf>
  </cellXfs>
  <cellStyles count="1">
    <cellStyle name="Normal" xfId="0" builtinId="0"/>
  </cellStyles>
  <dxfs count="57"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ont>
        <b/>
        <i val="0"/>
        <color rgb="FF006100"/>
      </font>
    </dxf>
    <dxf>
      <font>
        <b/>
        <i val="0"/>
        <color rgb="FFC00000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b/>
        <i val="0"/>
        <color rgb="FFCCFFCC"/>
      </font>
    </dxf>
    <dxf>
      <font>
        <b/>
        <i val="0"/>
        <color rgb="FFFFCCCC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Empty Weight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(within target)</c:v>
          </c:tx>
          <c:spPr>
            <a:ln w="25400" cap="rnd">
              <a:solidFill>
                <a:srgbClr val="0061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Risk!$I$6:$I$84</c:f>
              <c:numCache>
                <c:formatCode>General</c:formatCode>
                <c:ptCount val="79"/>
                <c:pt idx="0">
                  <c:v>7567.6074148454081</c:v>
                </c:pt>
                <c:pt idx="1">
                  <c:v>7599.7547294742726</c:v>
                </c:pt>
                <c:pt idx="2">
                  <c:v>7631.902044103138</c:v>
                </c:pt>
                <c:pt idx="3">
                  <c:v>7664.0493587320025</c:v>
                </c:pt>
                <c:pt idx="4">
                  <c:v>7696.196673360867</c:v>
                </c:pt>
                <c:pt idx="5">
                  <c:v>7728.3439879897323</c:v>
                </c:pt>
                <c:pt idx="6">
                  <c:v>7760.4913026185968</c:v>
                </c:pt>
                <c:pt idx="7">
                  <c:v>7792.6386172474613</c:v>
                </c:pt>
                <c:pt idx="8">
                  <c:v>7824.7859318763267</c:v>
                </c:pt>
                <c:pt idx="9">
                  <c:v>7856.9332465051912</c:v>
                </c:pt>
                <c:pt idx="10">
                  <c:v>7889.0805611340566</c:v>
                </c:pt>
                <c:pt idx="11">
                  <c:v>7921.227875762921</c:v>
                </c:pt>
                <c:pt idx="12">
                  <c:v>7953.3751903917855</c:v>
                </c:pt>
                <c:pt idx="13">
                  <c:v>7985.5225050206509</c:v>
                </c:pt>
                <c:pt idx="14">
                  <c:v>8017.6698196495154</c:v>
                </c:pt>
                <c:pt idx="15">
                  <c:v>8049.8171342783799</c:v>
                </c:pt>
                <c:pt idx="16">
                  <c:v>8081.9644489072452</c:v>
                </c:pt>
                <c:pt idx="17">
                  <c:v>8114.1117635361097</c:v>
                </c:pt>
                <c:pt idx="18">
                  <c:v>8146.2590781649742</c:v>
                </c:pt>
                <c:pt idx="19">
                  <c:v>8178.4063927938396</c:v>
                </c:pt>
                <c:pt idx="20">
                  <c:v>8210.5537074227032</c:v>
                </c:pt>
                <c:pt idx="21">
                  <c:v>8242.7010220515695</c:v>
                </c:pt>
                <c:pt idx="22">
                  <c:v>8306.9956513092984</c:v>
                </c:pt>
                <c:pt idx="23">
                  <c:v>8339.1429659381629</c:v>
                </c:pt>
                <c:pt idx="24">
                  <c:v>8403.4375951958937</c:v>
                </c:pt>
                <c:pt idx="25">
                  <c:v>8435.5849098247581</c:v>
                </c:pt>
                <c:pt idx="26">
                  <c:v>8467.7322244536226</c:v>
                </c:pt>
                <c:pt idx="27">
                  <c:v>8499.8795390824871</c:v>
                </c:pt>
                <c:pt idx="28">
                  <c:v>8532.0268537113516</c:v>
                </c:pt>
                <c:pt idx="29">
                  <c:v>8564.1741683402161</c:v>
                </c:pt>
                <c:pt idx="30">
                  <c:v>8596.3214829690824</c:v>
                </c:pt>
                <c:pt idx="31">
                  <c:v>8628.4687975979468</c:v>
                </c:pt>
                <c:pt idx="32">
                  <c:v>8660.6161122268113</c:v>
                </c:pt>
                <c:pt idx="33">
                  <c:v>8692.7634268556758</c:v>
                </c:pt>
                <c:pt idx="34">
                  <c:v>8724.9107414845403</c:v>
                </c:pt>
                <c:pt idx="35">
                  <c:v>8757.0580561134047</c:v>
                </c:pt>
                <c:pt idx="36">
                  <c:v>8789.205370742271</c:v>
                </c:pt>
                <c:pt idx="37">
                  <c:v>8821.3526853711355</c:v>
                </c:pt>
                <c:pt idx="38">
                  <c:v>8853.5</c:v>
                </c:pt>
                <c:pt idx="39">
                  <c:v>8885.6473146288645</c:v>
                </c:pt>
                <c:pt idx="40">
                  <c:v>8917.794629257729</c:v>
                </c:pt>
                <c:pt idx="41">
                  <c:v>8949.9419438865953</c:v>
                </c:pt>
                <c:pt idx="42">
                  <c:v>8982.0892585154597</c:v>
                </c:pt>
                <c:pt idx="43">
                  <c:v>9014.2365731443242</c:v>
                </c:pt>
                <c:pt idx="44">
                  <c:v>9046.3838877731887</c:v>
                </c:pt>
                <c:pt idx="45">
                  <c:v>9078.5312024020532</c:v>
                </c:pt>
                <c:pt idx="46">
                  <c:v>9110.6785170309195</c:v>
                </c:pt>
                <c:pt idx="47">
                  <c:v>9142.8258316597839</c:v>
                </c:pt>
                <c:pt idx="48">
                  <c:v>9174.9731462886484</c:v>
                </c:pt>
                <c:pt idx="49">
                  <c:v>9207.1204609175129</c:v>
                </c:pt>
                <c:pt idx="50">
                  <c:v>9239.2677755463774</c:v>
                </c:pt>
                <c:pt idx="51">
                  <c:v>9271.4150901752419</c:v>
                </c:pt>
                <c:pt idx="52">
                  <c:v>9303.5624048041063</c:v>
                </c:pt>
                <c:pt idx="53">
                  <c:v>9335.7097194329726</c:v>
                </c:pt>
                <c:pt idx="54">
                  <c:v>9367.8570340618371</c:v>
                </c:pt>
                <c:pt idx="55">
                  <c:v>9400.0043486907016</c:v>
                </c:pt>
                <c:pt idx="56">
                  <c:v>9432.1516633195661</c:v>
                </c:pt>
                <c:pt idx="57">
                  <c:v>9464.2989779484305</c:v>
                </c:pt>
                <c:pt idx="58">
                  <c:v>9496.4462925772968</c:v>
                </c:pt>
                <c:pt idx="59">
                  <c:v>9528.5936072061613</c:v>
                </c:pt>
                <c:pt idx="60">
                  <c:v>9560.7409218350258</c:v>
                </c:pt>
                <c:pt idx="61">
                  <c:v>9592.8882364638903</c:v>
                </c:pt>
                <c:pt idx="62">
                  <c:v>9625.0355510927548</c:v>
                </c:pt>
                <c:pt idx="63">
                  <c:v>9657.1828657216211</c:v>
                </c:pt>
                <c:pt idx="64">
                  <c:v>9689.3301803504837</c:v>
                </c:pt>
                <c:pt idx="65">
                  <c:v>9721.47749497935</c:v>
                </c:pt>
                <c:pt idx="66">
                  <c:v>9753.6248096082145</c:v>
                </c:pt>
                <c:pt idx="67">
                  <c:v>9785.772124237079</c:v>
                </c:pt>
                <c:pt idx="68">
                  <c:v>9817.9194388659434</c:v>
                </c:pt>
                <c:pt idx="69">
                  <c:v>9850.0667534948079</c:v>
                </c:pt>
                <c:pt idx="70">
                  <c:v>9882.2140681236742</c:v>
                </c:pt>
                <c:pt idx="71">
                  <c:v>9914.3613827525387</c:v>
                </c:pt>
                <c:pt idx="72">
                  <c:v>9946.5086973814032</c:v>
                </c:pt>
                <c:pt idx="73">
                  <c:v>9978.6560120102677</c:v>
                </c:pt>
                <c:pt idx="74">
                  <c:v>10010.803326639132</c:v>
                </c:pt>
                <c:pt idx="75">
                  <c:v>10042.950641267998</c:v>
                </c:pt>
                <c:pt idx="76">
                  <c:v>10075.097955896863</c:v>
                </c:pt>
                <c:pt idx="77">
                  <c:v>10107.245270525727</c:v>
                </c:pt>
                <c:pt idx="78">
                  <c:v>10139.392585154592</c:v>
                </c:pt>
              </c:numCache>
            </c:numRef>
          </c:xVal>
          <c:yVal>
            <c:numRef>
              <c:f>Risk!$J$6:$J$84</c:f>
              <c:numCache>
                <c:formatCode>General</c:formatCode>
                <c:ptCount val="79"/>
                <c:pt idx="0">
                  <c:v>1.0568007956339716E-6</c:v>
                </c:pt>
                <c:pt idx="1">
                  <c:v>1.4932556760782316E-6</c:v>
                </c:pt>
                <c:pt idx="2">
                  <c:v>2.0915785429441037E-6</c:v>
                </c:pt>
                <c:pt idx="3">
                  <c:v>2.9041105358628738E-6</c:v>
                </c:pt>
                <c:pt idx="4">
                  <c:v>3.9971557217974809E-6</c:v>
                </c:pt>
                <c:pt idx="5">
                  <c:v>5.4536586853881079E-6</c:v>
                </c:pt>
                <c:pt idx="6">
                  <c:v>7.3760491461864459E-6</c:v>
                </c:pt>
                <c:pt idx="7">
                  <c:v>9.8891419321178273E-6</c:v>
                </c:pt>
                <c:pt idx="8">
                  <c:v>1.314293558415585E-5</c:v>
                </c:pt>
                <c:pt idx="9">
                  <c:v>1.7315104206169074E-5</c:v>
                </c:pt>
                <c:pt idx="10">
                  <c:v>2.261292804216477E-5</c:v>
                </c:pt>
                <c:pt idx="11">
                  <c:v>2.9274362940106071E-5</c:v>
                </c:pt>
                <c:pt idx="12">
                  <c:v>3.7567912691301138E-5</c:v>
                </c:pt>
                <c:pt idx="13">
                  <c:v>4.7790947393283847E-5</c:v>
                </c:pt>
                <c:pt idx="14">
                  <c:v>6.0266112072904175E-5</c:v>
                </c:pt>
                <c:pt idx="15">
                  <c:v>7.5335499264197946E-5</c:v>
                </c:pt>
                <c:pt idx="16">
                  <c:v>9.3352322595602842E-5</c:v>
                </c:pt>
                <c:pt idx="17">
                  <c:v>1.1466992947512223E-4</c:v>
                </c:pt>
                <c:pt idx="18">
                  <c:v>1.3962813079171349E-4</c:v>
                </c:pt>
                <c:pt idx="19">
                  <c:v>1.6853700182804668E-4</c:v>
                </c:pt>
                <c:pt idx="20">
                  <c:v>2.0165851485608679E-4</c:v>
                </c:pt>
                <c:pt idx="21">
                  <c:v>2.3918658930349672E-4</c:v>
                </c:pt>
                <c:pt idx="22">
                  <c:v>3.2777379690062275E-4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3A-4203-B64B-32ADDE7160BE}"/>
            </c:ext>
          </c:extLst>
        </c:ser>
        <c:ser>
          <c:idx val="1"/>
          <c:order val="1"/>
          <c:tx>
            <c:v>PDF (over target)</c:v>
          </c:tx>
          <c:spPr>
            <a:ln w="2540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Risk!$I$6:$I$84</c:f>
              <c:numCache>
                <c:formatCode>General</c:formatCode>
                <c:ptCount val="79"/>
                <c:pt idx="0">
                  <c:v>7567.6074148454081</c:v>
                </c:pt>
                <c:pt idx="1">
                  <c:v>7599.7547294742726</c:v>
                </c:pt>
                <c:pt idx="2">
                  <c:v>7631.902044103138</c:v>
                </c:pt>
                <c:pt idx="3">
                  <c:v>7664.0493587320025</c:v>
                </c:pt>
                <c:pt idx="4">
                  <c:v>7696.196673360867</c:v>
                </c:pt>
                <c:pt idx="5">
                  <c:v>7728.3439879897323</c:v>
                </c:pt>
                <c:pt idx="6">
                  <c:v>7760.4913026185968</c:v>
                </c:pt>
                <c:pt idx="7">
                  <c:v>7792.6386172474613</c:v>
                </c:pt>
                <c:pt idx="8">
                  <c:v>7824.7859318763267</c:v>
                </c:pt>
                <c:pt idx="9">
                  <c:v>7856.9332465051912</c:v>
                </c:pt>
                <c:pt idx="10">
                  <c:v>7889.0805611340566</c:v>
                </c:pt>
                <c:pt idx="11">
                  <c:v>7921.227875762921</c:v>
                </c:pt>
                <c:pt idx="12">
                  <c:v>7953.3751903917855</c:v>
                </c:pt>
                <c:pt idx="13">
                  <c:v>7985.5225050206509</c:v>
                </c:pt>
                <c:pt idx="14">
                  <c:v>8017.6698196495154</c:v>
                </c:pt>
                <c:pt idx="15">
                  <c:v>8049.8171342783799</c:v>
                </c:pt>
                <c:pt idx="16">
                  <c:v>8081.9644489072452</c:v>
                </c:pt>
                <c:pt idx="17">
                  <c:v>8114.1117635361097</c:v>
                </c:pt>
                <c:pt idx="18">
                  <c:v>8146.2590781649742</c:v>
                </c:pt>
                <c:pt idx="19">
                  <c:v>8178.4063927938396</c:v>
                </c:pt>
                <c:pt idx="20">
                  <c:v>8210.5537074227032</c:v>
                </c:pt>
                <c:pt idx="21">
                  <c:v>8242.7010220515695</c:v>
                </c:pt>
                <c:pt idx="22">
                  <c:v>8306.9956513092984</c:v>
                </c:pt>
                <c:pt idx="23">
                  <c:v>8339.1429659381629</c:v>
                </c:pt>
                <c:pt idx="24">
                  <c:v>8403.4375951958937</c:v>
                </c:pt>
                <c:pt idx="25">
                  <c:v>8435.5849098247581</c:v>
                </c:pt>
                <c:pt idx="26">
                  <c:v>8467.7322244536226</c:v>
                </c:pt>
                <c:pt idx="27">
                  <c:v>8499.8795390824871</c:v>
                </c:pt>
                <c:pt idx="28">
                  <c:v>8532.0268537113516</c:v>
                </c:pt>
                <c:pt idx="29">
                  <c:v>8564.1741683402161</c:v>
                </c:pt>
                <c:pt idx="30">
                  <c:v>8596.3214829690824</c:v>
                </c:pt>
                <c:pt idx="31">
                  <c:v>8628.4687975979468</c:v>
                </c:pt>
                <c:pt idx="32">
                  <c:v>8660.6161122268113</c:v>
                </c:pt>
                <c:pt idx="33">
                  <c:v>8692.7634268556758</c:v>
                </c:pt>
                <c:pt idx="34">
                  <c:v>8724.9107414845403</c:v>
                </c:pt>
                <c:pt idx="35">
                  <c:v>8757.0580561134047</c:v>
                </c:pt>
                <c:pt idx="36">
                  <c:v>8789.205370742271</c:v>
                </c:pt>
                <c:pt idx="37">
                  <c:v>8821.3526853711355</c:v>
                </c:pt>
                <c:pt idx="38">
                  <c:v>8853.5</c:v>
                </c:pt>
                <c:pt idx="39">
                  <c:v>8885.6473146288645</c:v>
                </c:pt>
                <c:pt idx="40">
                  <c:v>8917.794629257729</c:v>
                </c:pt>
                <c:pt idx="41">
                  <c:v>8949.9419438865953</c:v>
                </c:pt>
                <c:pt idx="42">
                  <c:v>8982.0892585154597</c:v>
                </c:pt>
                <c:pt idx="43">
                  <c:v>9014.2365731443242</c:v>
                </c:pt>
                <c:pt idx="44">
                  <c:v>9046.3838877731887</c:v>
                </c:pt>
                <c:pt idx="45">
                  <c:v>9078.5312024020532</c:v>
                </c:pt>
                <c:pt idx="46">
                  <c:v>9110.6785170309195</c:v>
                </c:pt>
                <c:pt idx="47">
                  <c:v>9142.8258316597839</c:v>
                </c:pt>
                <c:pt idx="48">
                  <c:v>9174.9731462886484</c:v>
                </c:pt>
                <c:pt idx="49">
                  <c:v>9207.1204609175129</c:v>
                </c:pt>
                <c:pt idx="50">
                  <c:v>9239.2677755463774</c:v>
                </c:pt>
                <c:pt idx="51">
                  <c:v>9271.4150901752419</c:v>
                </c:pt>
                <c:pt idx="52">
                  <c:v>9303.5624048041063</c:v>
                </c:pt>
                <c:pt idx="53">
                  <c:v>9335.7097194329726</c:v>
                </c:pt>
                <c:pt idx="54">
                  <c:v>9367.8570340618371</c:v>
                </c:pt>
                <c:pt idx="55">
                  <c:v>9400.0043486907016</c:v>
                </c:pt>
                <c:pt idx="56">
                  <c:v>9432.1516633195661</c:v>
                </c:pt>
                <c:pt idx="57">
                  <c:v>9464.2989779484305</c:v>
                </c:pt>
                <c:pt idx="58">
                  <c:v>9496.4462925772968</c:v>
                </c:pt>
                <c:pt idx="59">
                  <c:v>9528.5936072061613</c:v>
                </c:pt>
                <c:pt idx="60">
                  <c:v>9560.7409218350258</c:v>
                </c:pt>
                <c:pt idx="61">
                  <c:v>9592.8882364638903</c:v>
                </c:pt>
                <c:pt idx="62">
                  <c:v>9625.0355510927548</c:v>
                </c:pt>
                <c:pt idx="63">
                  <c:v>9657.1828657216211</c:v>
                </c:pt>
                <c:pt idx="64">
                  <c:v>9689.3301803504837</c:v>
                </c:pt>
                <c:pt idx="65">
                  <c:v>9721.47749497935</c:v>
                </c:pt>
                <c:pt idx="66">
                  <c:v>9753.6248096082145</c:v>
                </c:pt>
                <c:pt idx="67">
                  <c:v>9785.772124237079</c:v>
                </c:pt>
                <c:pt idx="68">
                  <c:v>9817.9194388659434</c:v>
                </c:pt>
                <c:pt idx="69">
                  <c:v>9850.0667534948079</c:v>
                </c:pt>
                <c:pt idx="70">
                  <c:v>9882.2140681236742</c:v>
                </c:pt>
                <c:pt idx="71">
                  <c:v>9914.3613827525387</c:v>
                </c:pt>
                <c:pt idx="72">
                  <c:v>9946.5086973814032</c:v>
                </c:pt>
                <c:pt idx="73">
                  <c:v>9978.6560120102677</c:v>
                </c:pt>
                <c:pt idx="74">
                  <c:v>10010.803326639132</c:v>
                </c:pt>
                <c:pt idx="75">
                  <c:v>10042.950641267998</c:v>
                </c:pt>
                <c:pt idx="76">
                  <c:v>10075.097955896863</c:v>
                </c:pt>
                <c:pt idx="77">
                  <c:v>10107.245270525727</c:v>
                </c:pt>
                <c:pt idx="78">
                  <c:v>10139.392585154592</c:v>
                </c:pt>
              </c:numCache>
            </c:numRef>
          </c:xVal>
          <c:yVal>
            <c:numRef>
              <c:f>Risk!$K$6:$K$84</c:f>
              <c:numCache>
                <c:formatCode>General</c:formatCode>
                <c:ptCount val="7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3.7869657419930039E-4</c:v>
                </c:pt>
                <c:pt idx="24">
                  <c:v>4.9240510636533159E-4</c:v>
                </c:pt>
                <c:pt idx="25">
                  <c:v>5.5416178721620223E-4</c:v>
                </c:pt>
                <c:pt idx="26">
                  <c:v>6.1822927086761044E-4</c:v>
                </c:pt>
                <c:pt idx="27">
                  <c:v>6.8369359694012491E-4</c:v>
                </c:pt>
                <c:pt idx="28">
                  <c:v>7.4950135555729928E-4</c:v>
                </c:pt>
                <c:pt idx="29">
                  <c:v>8.1448350559378945E-4</c:v>
                </c:pt>
                <c:pt idx="30">
                  <c:v>8.7738685928020099E-4</c:v>
                </c:pt>
                <c:pt idx="31">
                  <c:v>9.3691225264038488E-4</c:v>
                </c:pt>
                <c:pt idx="32">
                  <c:v>9.917579086975545E-4</c:v>
                </c:pt>
                <c:pt idx="33">
                  <c:v>1.0406660513229598E-3</c:v>
                </c:pt>
                <c:pt idx="34">
                  <c:v>1.0824704834713681E-3</c:v>
                </c:pt>
                <c:pt idx="35">
                  <c:v>1.116142639596995E-3</c:v>
                </c:pt>
                <c:pt idx="36">
                  <c:v>1.1408335834061192E-3</c:v>
                </c:pt>
                <c:pt idx="37">
                  <c:v>1.1559095607129447E-3</c:v>
                </c:pt>
                <c:pt idx="38">
                  <c:v>1.160979029893058E-3</c:v>
                </c:pt>
                <c:pt idx="39">
                  <c:v>1.1559095607129447E-3</c:v>
                </c:pt>
                <c:pt idx="40">
                  <c:v>1.1408335834061192E-3</c:v>
                </c:pt>
                <c:pt idx="41">
                  <c:v>1.116142639596995E-3</c:v>
                </c:pt>
                <c:pt idx="42">
                  <c:v>1.0824704834713681E-3</c:v>
                </c:pt>
                <c:pt idx="43">
                  <c:v>1.0406660513229598E-3</c:v>
                </c:pt>
                <c:pt idx="44">
                  <c:v>9.917579086975545E-4</c:v>
                </c:pt>
                <c:pt idx="45">
                  <c:v>9.3691225264038488E-4</c:v>
                </c:pt>
                <c:pt idx="46">
                  <c:v>8.7738685928019752E-4</c:v>
                </c:pt>
                <c:pt idx="47">
                  <c:v>8.1448350559378945E-4</c:v>
                </c:pt>
                <c:pt idx="48">
                  <c:v>7.4950135555729928E-4</c:v>
                </c:pt>
                <c:pt idx="49">
                  <c:v>6.8369359694012491E-4</c:v>
                </c:pt>
                <c:pt idx="50">
                  <c:v>6.1822927086761044E-4</c:v>
                </c:pt>
                <c:pt idx="51">
                  <c:v>5.5416178721620223E-4</c:v>
                </c:pt>
                <c:pt idx="52">
                  <c:v>4.9240510636533159E-4</c:v>
                </c:pt>
                <c:pt idx="53">
                  <c:v>4.3371803523731685E-4</c:v>
                </c:pt>
                <c:pt idx="54">
                  <c:v>3.7869657419930039E-4</c:v>
                </c:pt>
                <c:pt idx="55">
                  <c:v>3.2777379690062275E-4</c:v>
                </c:pt>
                <c:pt idx="56">
                  <c:v>2.8122637478620758E-4</c:v>
                </c:pt>
                <c:pt idx="57">
                  <c:v>2.3918658930349672E-4</c:v>
                </c:pt>
                <c:pt idx="58">
                  <c:v>2.0165851485608679E-4</c:v>
                </c:pt>
                <c:pt idx="59">
                  <c:v>1.6853700182804579E-4</c:v>
                </c:pt>
                <c:pt idx="60">
                  <c:v>1.3962813079171349E-4</c:v>
                </c:pt>
                <c:pt idx="61">
                  <c:v>1.1466992947512223E-4</c:v>
                </c:pt>
                <c:pt idx="62">
                  <c:v>9.3352322595602842E-5</c:v>
                </c:pt>
                <c:pt idx="63">
                  <c:v>7.5335499264197567E-5</c:v>
                </c:pt>
                <c:pt idx="64">
                  <c:v>6.0266112072904554E-5</c:v>
                </c:pt>
                <c:pt idx="65">
                  <c:v>4.7790947393283508E-5</c:v>
                </c:pt>
                <c:pt idx="66">
                  <c:v>3.7567912691301138E-5</c:v>
                </c:pt>
                <c:pt idx="67">
                  <c:v>2.9274362940106071E-5</c:v>
                </c:pt>
                <c:pt idx="68">
                  <c:v>2.261292804216477E-5</c:v>
                </c:pt>
                <c:pt idx="69">
                  <c:v>1.7315104206169212E-5</c:v>
                </c:pt>
                <c:pt idx="70">
                  <c:v>1.3142935584155745E-5</c:v>
                </c:pt>
                <c:pt idx="71">
                  <c:v>9.8891419321178273E-6</c:v>
                </c:pt>
                <c:pt idx="72">
                  <c:v>7.3760491461864459E-6</c:v>
                </c:pt>
                <c:pt idx="73">
                  <c:v>5.4536586853881079E-6</c:v>
                </c:pt>
                <c:pt idx="74">
                  <c:v>3.9971557217975156E-6</c:v>
                </c:pt>
                <c:pt idx="75">
                  <c:v>2.9041105358628475E-6</c:v>
                </c:pt>
                <c:pt idx="76">
                  <c:v>2.0915785429440833E-6</c:v>
                </c:pt>
                <c:pt idx="77">
                  <c:v>1.4932556760782316E-6</c:v>
                </c:pt>
                <c:pt idx="78">
                  <c:v>1.0568007956339716E-6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A-4203-B64B-32ADDE7160BE}"/>
            </c:ext>
          </c:extLst>
        </c:ser>
        <c:ser>
          <c:idx val="2"/>
          <c:order val="2"/>
          <c:tx>
            <c:v>Target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#,##0</c:formatCode>
                <c:ptCount val="2"/>
                <c:pt idx="0" formatCode="General">
                  <c:v>8320</c:v>
                </c:pt>
                <c:pt idx="1">
                  <c:v>8320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1.219027981387711E-3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3A-4203-B64B-32ADDE7160BE}"/>
            </c:ext>
          </c:extLst>
        </c:ser>
        <c:ser>
          <c:idx val="3"/>
          <c:order val="3"/>
          <c:tx>
            <c:v>Adjusted Mean</c:v>
          </c:tx>
          <c:spPr>
            <a:ln w="254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Risk!$N$8:$N$9</c:f>
              <c:numCache>
                <c:formatCode>#,##0</c:formatCode>
                <c:ptCount val="2"/>
                <c:pt idx="0" formatCode="General">
                  <c:v>8853.5</c:v>
                </c:pt>
                <c:pt idx="1">
                  <c:v>8853.5</c:v>
                </c:pt>
              </c:numCache>
            </c:numRef>
          </c:xVal>
          <c:yVal>
            <c:numRef>
              <c:f>Risk!$O$8:$O$9</c:f>
              <c:numCache>
                <c:formatCode>General</c:formatCode>
                <c:ptCount val="2"/>
                <c:pt idx="0">
                  <c:v>0</c:v>
                </c:pt>
                <c:pt idx="1">
                  <c:v>1.219027981387711E-3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3A-4203-B64B-32ADDE7160BE}"/>
            </c:ext>
          </c:extLst>
        </c:ser>
        <c:ser>
          <c:idx val="4"/>
          <c:order val="4"/>
          <c:tx>
            <c:v>P95 (upper)</c:v>
          </c:tx>
          <c:spPr>
            <a:ln w="1270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Risk!$N$10:$N$11</c:f>
              <c:numCache>
                <c:formatCode>General</c:formatCode>
                <c:ptCount val="2"/>
                <c:pt idx="0">
                  <c:v>9527.0064539958439</c:v>
                </c:pt>
                <c:pt idx="1">
                  <c:v>9527.0064539958439</c:v>
                </c:pt>
              </c:numCache>
            </c:numRef>
          </c:xVal>
          <c:yVal>
            <c:numRef>
              <c:f>Risk!$O$10:$O$11</c:f>
              <c:numCache>
                <c:formatCode>General</c:formatCode>
                <c:ptCount val="2"/>
                <c:pt idx="0">
                  <c:v>0</c:v>
                </c:pt>
                <c:pt idx="1">
                  <c:v>1.219027981387711E-3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3A-4203-B64B-32ADDE716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22815"/>
        <c:axId val="49521855"/>
      </c:scatterChart>
      <c:valAx>
        <c:axId val="49522815"/>
        <c:scaling>
          <c:orientation val="minMax"/>
          <c:max val="10500"/>
          <c:min val="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1855"/>
        <c:crosses val="autoZero"/>
        <c:crossBetween val="midCat"/>
        <c:majorUnit val="500"/>
      </c:valAx>
      <c:valAx>
        <c:axId val="495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2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</xdr:colOff>
      <xdr:row>2</xdr:row>
      <xdr:rowOff>74083</xdr:rowOff>
    </xdr:from>
    <xdr:to>
      <xdr:col>5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23</xdr:row>
      <xdr:rowOff>0</xdr:rowOff>
    </xdr:from>
    <xdr:to>
      <xdr:col>15</xdr:col>
      <xdr:colOff>419100</xdr:colOff>
      <xdr:row>35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9B18E1-5885-04AF-F58C-982FEF5A3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S74"/>
  <sheetViews>
    <sheetView tabSelected="1" topLeftCell="G1" zoomScale="67" workbookViewId="0">
      <pane ySplit="10" topLeftCell="A11" activePane="bottomLeft" state="frozen"/>
      <selection pane="bottomLeft" activeCell="U22" sqref="U22"/>
    </sheetView>
  </sheetViews>
  <sheetFormatPr defaultRowHeight="14.4" outlineLevelCol="1" x14ac:dyDescent="0.3"/>
  <cols>
    <col min="1" max="1" width="24.33203125" style="5" bestFit="1" customWidth="1"/>
    <col min="2" max="2" width="33.33203125" style="5" customWidth="1"/>
    <col min="3" max="3" width="21.88671875" style="5" bestFit="1" customWidth="1"/>
    <col min="4" max="4" width="16.6640625" style="5" customWidth="1"/>
    <col min="5" max="7" width="12" style="5" customWidth="1"/>
    <col min="8" max="10" width="16.6640625" style="5" hidden="1" customWidth="1" outlineLevel="1"/>
    <col min="11" max="11" width="37" style="5" customWidth="1" collapsed="1"/>
    <col min="12" max="12" width="9.88671875" style="5" customWidth="1"/>
    <col min="13" max="13" width="52.21875" style="5" bestFit="1" customWidth="1"/>
    <col min="14" max="14" width="53.33203125" style="5" bestFit="1" customWidth="1"/>
    <col min="15" max="15" width="16.6640625" style="5" bestFit="1" customWidth="1"/>
    <col min="16" max="16" width="19.88671875" style="5" bestFit="1" customWidth="1"/>
    <col min="17" max="17" width="20" style="5" bestFit="1" customWidth="1"/>
    <col min="18" max="18" width="14.5546875" style="5" bestFit="1" customWidth="1"/>
    <col min="19" max="19" width="17.44140625" style="5" bestFit="1" customWidth="1"/>
    <col min="20" max="16384" width="8.88671875" style="5"/>
  </cols>
  <sheetData>
    <row r="1" spans="1:19" ht="23.4" customHeight="1" x14ac:dyDescent="0.3">
      <c r="A1" s="3" t="s">
        <v>36</v>
      </c>
      <c r="B1" s="4" t="s">
        <v>575</v>
      </c>
      <c r="D1" s="106" t="s">
        <v>44</v>
      </c>
      <c r="E1" s="106"/>
      <c r="F1" s="106"/>
      <c r="G1" s="106"/>
      <c r="H1" s="106"/>
      <c r="I1" s="106"/>
      <c r="J1" s="106"/>
      <c r="K1" s="106"/>
      <c r="L1" s="6"/>
      <c r="M1" s="6"/>
    </row>
    <row r="2" spans="1:19" ht="23.4" customHeight="1" x14ac:dyDescent="0.3">
      <c r="A2" s="3" t="s">
        <v>37</v>
      </c>
      <c r="B2" s="4" t="s">
        <v>38</v>
      </c>
      <c r="D2" s="107"/>
      <c r="E2" s="107"/>
      <c r="F2" s="107"/>
      <c r="G2" s="107"/>
      <c r="H2" s="107"/>
      <c r="I2" s="107"/>
      <c r="J2" s="107"/>
      <c r="K2" s="107"/>
      <c r="L2" s="7"/>
      <c r="M2" s="7"/>
    </row>
    <row r="3" spans="1:19" ht="23.4" customHeight="1" x14ac:dyDescent="0.3">
      <c r="A3" s="3" t="s">
        <v>39</v>
      </c>
      <c r="B3" s="8">
        <v>46169</v>
      </c>
      <c r="D3" s="107"/>
      <c r="E3" s="107"/>
      <c r="F3" s="107"/>
      <c r="G3" s="107"/>
      <c r="H3" s="107"/>
      <c r="I3" s="107"/>
      <c r="J3" s="107"/>
      <c r="K3" s="107"/>
      <c r="L3" s="7"/>
      <c r="M3" s="7"/>
    </row>
    <row r="4" spans="1:19" ht="23.4" customHeight="1" x14ac:dyDescent="0.3">
      <c r="A4" s="3" t="s">
        <v>40</v>
      </c>
      <c r="B4" s="9"/>
      <c r="D4" s="107"/>
      <c r="E4" s="107"/>
      <c r="F4" s="107"/>
      <c r="G4" s="107"/>
      <c r="H4" s="107"/>
      <c r="I4" s="107"/>
      <c r="J4" s="107"/>
      <c r="K4" s="107"/>
      <c r="L4" s="7"/>
      <c r="M4" s="7"/>
    </row>
    <row r="5" spans="1:19" ht="23.4" customHeight="1" x14ac:dyDescent="0.3">
      <c r="A5" s="3" t="s">
        <v>41</v>
      </c>
      <c r="B5" s="9" t="s">
        <v>576</v>
      </c>
      <c r="D5" s="107"/>
      <c r="E5" s="107"/>
      <c r="F5" s="107"/>
      <c r="G5" s="107"/>
      <c r="H5" s="107"/>
      <c r="I5" s="107"/>
      <c r="J5" s="107"/>
      <c r="K5" s="107"/>
      <c r="L5" s="7"/>
      <c r="M5" s="7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1:19" ht="18" x14ac:dyDescent="0.35">
      <c r="A7" s="104" t="s">
        <v>0</v>
      </c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1"/>
      <c r="M7" s="11"/>
      <c r="N7" s="11"/>
    </row>
    <row r="8" spans="1:19" x14ac:dyDescent="0.3">
      <c r="A8" s="105" t="s">
        <v>123</v>
      </c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2"/>
      <c r="M8" s="12"/>
      <c r="N8" s="12"/>
    </row>
    <row r="10" spans="1:19" ht="15" thickBot="1" x14ac:dyDescent="0.35">
      <c r="A10" s="13" t="s">
        <v>1</v>
      </c>
      <c r="B10" s="13" t="s">
        <v>90</v>
      </c>
      <c r="C10" s="13" t="s">
        <v>72</v>
      </c>
      <c r="D10" s="13" t="s">
        <v>91</v>
      </c>
      <c r="E10" s="13" t="s">
        <v>92</v>
      </c>
      <c r="F10" s="13" t="s">
        <v>93</v>
      </c>
      <c r="G10" s="13" t="s">
        <v>73</v>
      </c>
      <c r="H10" s="13" t="s">
        <v>74</v>
      </c>
      <c r="I10" s="13" t="s">
        <v>75</v>
      </c>
      <c r="J10" s="13" t="s">
        <v>83</v>
      </c>
      <c r="K10" s="13" t="s">
        <v>84</v>
      </c>
      <c r="L10" s="13" t="s">
        <v>332</v>
      </c>
      <c r="M10" s="13" t="s">
        <v>3</v>
      </c>
      <c r="N10" s="13" t="s">
        <v>76</v>
      </c>
      <c r="O10" s="13" t="s">
        <v>379</v>
      </c>
      <c r="P10" s="97" t="s">
        <v>556</v>
      </c>
      <c r="Q10" s="97" t="s">
        <v>557</v>
      </c>
      <c r="R10" s="97" t="s">
        <v>558</v>
      </c>
      <c r="S10" s="97" t="s">
        <v>559</v>
      </c>
    </row>
    <row r="11" spans="1:19" ht="15" thickTop="1" x14ac:dyDescent="0.3">
      <c r="A11" s="14" t="s">
        <v>333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5"/>
      <c r="O11" s="15"/>
      <c r="P11" s="3"/>
      <c r="Q11" s="3"/>
      <c r="R11" s="3"/>
      <c r="S11" s="3"/>
    </row>
    <row r="12" spans="1:19" x14ac:dyDescent="0.3">
      <c r="A12" s="5">
        <v>5200</v>
      </c>
      <c r="B12" s="5" t="s">
        <v>99</v>
      </c>
      <c r="C12" s="16">
        <f>IF(P12="MDO",Q12,IFERROR(Structure!E17,0))</f>
        <v>103</v>
      </c>
      <c r="D12" s="17" cm="1">
        <f t="array" ref="D12">IF(P12="MDO",IFERROR(SUMPRODUCT((Import!$S$2:$S$53="5200")*Import!$O$2:$O$53*Import!$P$2:$P$53)/SUMIFS(Import!$O:$O,Import!$S:$S,"5200"),0),IFERROR(Structure!F17,0))</f>
        <v>8</v>
      </c>
      <c r="E12" s="17" cm="1">
        <f t="array" ref="E12">IF(P12="MDO",IFERROR(SUMPRODUCT((Import!$S$2:$S$53="5200")*Import!$O$2:$O$53*Import!$Q$2:$Q$53)/SUMIFS(Import!$O:$O,Import!$S:$S,"5200"),0),IFERROR(Structure!G17,0))</f>
        <v>-2.5</v>
      </c>
      <c r="F12" s="17" cm="1">
        <f t="array" ref="F12">IF(P12="MDO",IFERROR(SUMPRODUCT((Import!$S$2:$S$53="5200")*Import!$O$2:$O$53*Import!$R$2:$R$53)/SUMIFS(Import!$O:$O,Import!$S:$S,"5200"),0),IFERROR(Structure!H17,0))</f>
        <v>3</v>
      </c>
      <c r="G12" s="16">
        <f t="shared" ref="G12:G17" si="0">C12*D12</f>
        <v>824</v>
      </c>
      <c r="H12" s="16">
        <f t="shared" ref="H12:H17" si="1">C12*E12</f>
        <v>-257.5</v>
      </c>
      <c r="I12" s="16">
        <f t="shared" ref="I12:I17" si="2">C12*F12</f>
        <v>309</v>
      </c>
      <c r="J12" s="16">
        <f>IFERROR(Structure!I17,0)</f>
        <v>51.5</v>
      </c>
      <c r="K12" s="16">
        <f>IFERROR(Structure!I17,0)</f>
        <v>51.5</v>
      </c>
      <c r="N12" s="18">
        <v>100</v>
      </c>
      <c r="O12" s="19">
        <f t="shared" ref="O12:O18" si="3">N12-C12</f>
        <v>-3</v>
      </c>
      <c r="P12" s="5" t="s">
        <v>560</v>
      </c>
      <c r="Q12" s="16">
        <f>SUMIFS(Import!$O:$O,Import!$S:$S,"5200")</f>
        <v>102.99987750718819</v>
      </c>
      <c r="R12" s="16">
        <f t="shared" ref="R12:R18" si="4">Q12-C12</f>
        <v>-1.2249281181198057E-4</v>
      </c>
      <c r="S12" s="90">
        <f t="shared" ref="S12:S18" si="5">IFERROR((Q12-C12)/C12,0)</f>
        <v>-1.1892506001163162E-6</v>
      </c>
    </row>
    <row r="13" spans="1:19" x14ac:dyDescent="0.3">
      <c r="A13" s="5">
        <v>5300</v>
      </c>
      <c r="B13" s="5" t="s">
        <v>23</v>
      </c>
      <c r="C13" s="16">
        <f>IF(P13="MDO",Q13,IFERROR(Structure!E44,0))</f>
        <v>1785</v>
      </c>
      <c r="D13" s="17" cm="1">
        <f t="array" ref="D13">IF(P13="MDO",IFERROR(SUMPRODUCT((Import!$S$2:$S$53="5300")*Import!$O$2:$O$53*Import!$P$2:$P$53)/SUMIFS(Import!$O:$O,Import!$S:$S,"5300"),0),IFERROR(Structure!F44,0))</f>
        <v>16.595518207282915</v>
      </c>
      <c r="E13" s="17" cm="1">
        <f t="array" ref="E13">IF(P13="MDO",IFERROR(SUMPRODUCT((Import!$S$2:$S$53="5300")*Import!$O$2:$O$53*Import!$Q$2:$Q$53)/SUMIFS(Import!$O:$O,Import!$S:$S,"5300"),0),IFERROR(Structure!G44,0))</f>
        <v>0</v>
      </c>
      <c r="F13" s="17" cm="1">
        <f t="array" ref="F13">IF(P13="MDO",IFERROR(SUMPRODUCT((Import!$S$2:$S$53="5300")*Import!$O$2:$O$53*Import!$R$2:$R$53)/SUMIFS(Import!$O:$O,Import!$S:$S,"5300"),0),IFERROR(Structure!H44,0))</f>
        <v>2.7512605042016807</v>
      </c>
      <c r="G13" s="16">
        <f t="shared" si="0"/>
        <v>29623.000000000004</v>
      </c>
      <c r="H13" s="16">
        <f t="shared" si="1"/>
        <v>0</v>
      </c>
      <c r="I13" s="16">
        <f t="shared" si="2"/>
        <v>4911</v>
      </c>
      <c r="J13" s="16">
        <f>IFERROR(Structure!I44,0)</f>
        <v>892.5</v>
      </c>
      <c r="K13" s="16">
        <f>IFERROR(Structure!I44,0)</f>
        <v>892.5</v>
      </c>
      <c r="N13" s="18">
        <v>1800</v>
      </c>
      <c r="O13" s="19">
        <f t="shared" si="3"/>
        <v>15</v>
      </c>
      <c r="P13" s="5" t="s">
        <v>560</v>
      </c>
      <c r="Q13" s="16">
        <f>SUMIFS(Import!$O:$O,Import!$S:$S,"5300")</f>
        <v>7672.8447106936674</v>
      </c>
      <c r="R13" s="16">
        <f t="shared" si="4"/>
        <v>5887.8447106936674</v>
      </c>
      <c r="S13" s="90">
        <f t="shared" si="5"/>
        <v>3.2985124429656398</v>
      </c>
    </row>
    <row r="14" spans="1:19" x14ac:dyDescent="0.3">
      <c r="A14" s="5">
        <v>5500</v>
      </c>
      <c r="B14" s="5" t="s">
        <v>100</v>
      </c>
      <c r="C14" s="16">
        <f>IF(P14="MDO",Q14,IFERROR(Structure!E67,0))</f>
        <v>330</v>
      </c>
      <c r="D14" s="17" cm="1">
        <f t="array" ref="D14">IF(P14="MDO",IFERROR(SUMPRODUCT((Import!$S$2:$S$53="5500")*Import!$O$2:$O$53*Import!$P$2:$P$53)/SUMIFS(Import!$O:$O,Import!$S:$S,"5500"),0),IFERROR(Structure!F67,0))</f>
        <v>32.103030303030302</v>
      </c>
      <c r="E14" s="17" cm="1">
        <f t="array" ref="E14">IF(P14="MDO",IFERROR(SUMPRODUCT((Import!$S$2:$S$53="5500")*Import!$O$2:$O$53*Import!$Q$2:$Q$53)/SUMIFS(Import!$O:$O,Import!$S:$S,"5500"),0),IFERROR(Structure!G67,0))</f>
        <v>0.72727272727272729</v>
      </c>
      <c r="F14" s="17" cm="1">
        <f t="array" ref="F14">IF(P14="MDO",IFERROR(SUMPRODUCT((Import!$S$2:$S$53="5500")*Import!$O$2:$O$53*Import!$R$2:$R$53)/SUMIFS(Import!$O:$O,Import!$S:$S,"5500"),0),IFERROR(Structure!H67,0))</f>
        <v>5.9030303030303033</v>
      </c>
      <c r="G14" s="16">
        <f t="shared" si="0"/>
        <v>10594</v>
      </c>
      <c r="H14" s="16">
        <f t="shared" si="1"/>
        <v>240</v>
      </c>
      <c r="I14" s="16">
        <f t="shared" si="2"/>
        <v>1948</v>
      </c>
      <c r="J14" s="16">
        <f>IFERROR(Structure!I67,0)</f>
        <v>165</v>
      </c>
      <c r="K14" s="16">
        <f>IFERROR(Structure!I67,0)</f>
        <v>165</v>
      </c>
      <c r="M14" s="5" t="s">
        <v>101</v>
      </c>
      <c r="N14" s="18">
        <v>330</v>
      </c>
      <c r="O14" s="19">
        <f t="shared" si="3"/>
        <v>0</v>
      </c>
      <c r="P14" s="5" t="s">
        <v>560</v>
      </c>
      <c r="Q14" s="16">
        <f>SUMIFS(Import!$O:$O,Import!$S:$S,"5500")</f>
        <v>263.70814364207632</v>
      </c>
      <c r="R14" s="16">
        <f t="shared" si="4"/>
        <v>-66.291856357923677</v>
      </c>
      <c r="S14" s="90">
        <f t="shared" si="5"/>
        <v>-0.20088441320582934</v>
      </c>
    </row>
    <row r="15" spans="1:19" x14ac:dyDescent="0.3">
      <c r="A15" s="5">
        <v>5600</v>
      </c>
      <c r="B15" s="5" t="s">
        <v>26</v>
      </c>
      <c r="C15" s="16">
        <f>IF(P15="MDO",Q15,IFERROR(Structure!E86,0))</f>
        <v>124</v>
      </c>
      <c r="D15" s="17" cm="1">
        <f t="array" ref="D15">IF(P15="MDO",IFERROR(SUMPRODUCT((Import!$S$2:$S$53="5600")*Import!$O$2:$O$53*Import!$P$2:$P$53)/SUMIFS(Import!$O:$O,Import!$S:$S,"5600"),0),IFERROR(Structure!F86,0))</f>
        <v>9.1612903225806459</v>
      </c>
      <c r="E15" s="17" cm="1">
        <f t="array" ref="E15">IF(P15="MDO",IFERROR(SUMPRODUCT((Import!$S$2:$S$53="5600")*Import!$O$2:$O$53*Import!$Q$2:$Q$53)/SUMIFS(Import!$O:$O,Import!$S:$S,"5600"),0),IFERROR(Structure!G86,0))</f>
        <v>2.2129032258064516</v>
      </c>
      <c r="F15" s="17" cm="1">
        <f t="array" ref="F15">IF(P15="MDO",IFERROR(SUMPRODUCT((Import!$S$2:$S$53="5600")*Import!$O$2:$O$53*Import!$R$2:$R$53)/SUMIFS(Import!$O:$O,Import!$S:$S,"5600"),0),IFERROR(Structure!H86,0))</f>
        <v>4.725806451612903</v>
      </c>
      <c r="G15" s="16">
        <f t="shared" si="0"/>
        <v>1136</v>
      </c>
      <c r="H15" s="16">
        <f t="shared" si="1"/>
        <v>274.39999999999998</v>
      </c>
      <c r="I15" s="16">
        <f t="shared" si="2"/>
        <v>586</v>
      </c>
      <c r="J15" s="16">
        <f>IFERROR(Structure!I86,0)</f>
        <v>30.800000000000004</v>
      </c>
      <c r="K15" s="16">
        <f>IFERROR(Structure!I86,0)</f>
        <v>30.800000000000004</v>
      </c>
      <c r="N15" s="18">
        <v>125</v>
      </c>
      <c r="O15" s="19">
        <f t="shared" si="3"/>
        <v>1</v>
      </c>
      <c r="P15" s="5" t="s">
        <v>560</v>
      </c>
      <c r="Q15" s="16">
        <f>SUMIFS(Import!$O:$O,Import!$S:$S,"5600")</f>
        <v>123.99985253292559</v>
      </c>
      <c r="R15" s="16">
        <f t="shared" si="4"/>
        <v>-1.4746707441304352E-4</v>
      </c>
      <c r="S15" s="90">
        <f t="shared" si="5"/>
        <v>-1.1892506001051896E-6</v>
      </c>
    </row>
    <row r="16" spans="1:19" x14ac:dyDescent="0.3">
      <c r="A16" s="5">
        <v>5700</v>
      </c>
      <c r="B16" s="5" t="s">
        <v>27</v>
      </c>
      <c r="C16" s="16">
        <f>IF(P16="MDO",Q16,IFERROR(Structure!E114,0))</f>
        <v>1158</v>
      </c>
      <c r="D16" s="17" cm="1">
        <f t="array" ref="D16">IF(P16="MDO",IFERROR(SUMPRODUCT((Import!$S$2:$S$53="5700")*Import!$O$2:$O$53*Import!$P$2:$P$53)/SUMIFS(Import!$O:$O,Import!$S:$S,"5700"),0),IFERROR(Structure!F114,0))</f>
        <v>17.26511226252159</v>
      </c>
      <c r="E16" s="17" cm="1">
        <f t="array" ref="E16">IF(P16="MDO",IFERROR(SUMPRODUCT((Import!$S$2:$S$53="5700")*Import!$O$2:$O$53*Import!$Q$2:$Q$53)/SUMIFS(Import!$O:$O,Import!$S:$S,"5700"),0),IFERROR(Structure!G114,0))</f>
        <v>1.4093264248704662</v>
      </c>
      <c r="F16" s="17" cm="1">
        <f t="array" ref="F16">IF(P16="MDO",IFERROR(SUMPRODUCT((Import!$S$2:$S$53="5700")*Import!$O$2:$O$53*Import!$R$2:$R$53)/SUMIFS(Import!$O:$O,Import!$S:$S,"5700"),0),IFERROR(Structure!H114,0))</f>
        <v>2</v>
      </c>
      <c r="G16" s="16">
        <f t="shared" si="0"/>
        <v>19993</v>
      </c>
      <c r="H16" s="16">
        <f t="shared" si="1"/>
        <v>1631.9999999999998</v>
      </c>
      <c r="I16" s="16">
        <f t="shared" si="2"/>
        <v>2316</v>
      </c>
      <c r="J16" s="16">
        <f>IFERROR(Structure!I114,0)</f>
        <v>579</v>
      </c>
      <c r="K16" s="16">
        <f>IFERROR(Structure!I114,0)</f>
        <v>579</v>
      </c>
      <c r="N16" s="18">
        <v>1160</v>
      </c>
      <c r="O16" s="19">
        <f t="shared" si="3"/>
        <v>2</v>
      </c>
      <c r="P16" s="5" t="s">
        <v>560</v>
      </c>
      <c r="Q16" s="16">
        <f>SUMIFS(Import!$O:$O,Import!$S:$S,"5700")</f>
        <v>3099.9379918175346</v>
      </c>
      <c r="R16" s="16">
        <f t="shared" si="4"/>
        <v>1941.9379918175346</v>
      </c>
      <c r="S16" s="90">
        <f t="shared" si="5"/>
        <v>1.6769758133139332</v>
      </c>
    </row>
    <row r="17" spans="1:19" x14ac:dyDescent="0.3">
      <c r="A17" s="5">
        <v>3200</v>
      </c>
      <c r="B17" s="5" t="s">
        <v>15</v>
      </c>
      <c r="C17" s="16">
        <f>IF(P17="MDO",Q17,IFERROR(Structure!E134,0))</f>
        <v>970</v>
      </c>
      <c r="D17" s="17" cm="1">
        <f t="array" ref="D17">IF(P17="MDO",IFERROR(SUMPRODUCT((Import!$S$2:$S$53="3200")*Import!$O$2:$O$53*Import!$P$2:$P$53)/SUMIFS(Import!$O:$O,Import!$S:$S,"3200"),0),IFERROR(Structure!F134,0))</f>
        <v>16.020618556701031</v>
      </c>
      <c r="E17" s="17" cm="1">
        <f t="array" ref="E17">IF(P17="MDO",IFERROR(SUMPRODUCT((Import!$S$2:$S$53="3200")*Import!$O$2:$O$53*Import!$Q$2:$Q$53)/SUMIFS(Import!$O:$O,Import!$S:$S,"3200"),0),IFERROR(Structure!G134,0))</f>
        <v>4.0206185567010309</v>
      </c>
      <c r="F17" s="17" cm="1">
        <f t="array" ref="F17">IF(P17="MDO",IFERROR(SUMPRODUCT((Import!$S$2:$S$53="3200")*Import!$O$2:$O$53*Import!$R$2:$R$53)/SUMIFS(Import!$O:$O,Import!$S:$S,"3200"),0),IFERROR(Structure!H134,0))</f>
        <v>0.52319587628865982</v>
      </c>
      <c r="G17" s="16">
        <f t="shared" si="0"/>
        <v>15540</v>
      </c>
      <c r="H17" s="16">
        <f t="shared" si="1"/>
        <v>3900</v>
      </c>
      <c r="I17" s="16">
        <f t="shared" si="2"/>
        <v>507.5</v>
      </c>
      <c r="J17" s="16">
        <f>IFERROR(Structure!I134,0)</f>
        <v>485</v>
      </c>
      <c r="K17" s="16">
        <f>IFERROR(Structure!I134,0)</f>
        <v>485</v>
      </c>
      <c r="N17" s="18">
        <v>970</v>
      </c>
      <c r="O17" s="19">
        <f t="shared" si="3"/>
        <v>0</v>
      </c>
      <c r="P17" s="5" t="s">
        <v>560</v>
      </c>
      <c r="Q17" s="16">
        <f>SUMIFS(Import!$O:$O,Import!$S:$S,"3200")</f>
        <v>679.45135739189709</v>
      </c>
      <c r="R17" s="16">
        <f t="shared" si="4"/>
        <v>-290.54864260810291</v>
      </c>
      <c r="S17" s="90">
        <f t="shared" si="5"/>
        <v>-0.29953468310113701</v>
      </c>
    </row>
    <row r="18" spans="1:19" ht="15" thickBot="1" x14ac:dyDescent="0.35">
      <c r="A18" s="20"/>
      <c r="B18" s="20" t="s">
        <v>334</v>
      </c>
      <c r="C18" s="21">
        <f>SUM(C12:C17)</f>
        <v>4470</v>
      </c>
      <c r="D18" s="22">
        <f>IFERROR(SUM(G12:G17)/C18,0)</f>
        <v>17.384787472035793</v>
      </c>
      <c r="E18" s="22">
        <f>IFERROR(SUM(H12:H17)/C18,0)</f>
        <v>1.295055928411633</v>
      </c>
      <c r="F18" s="22">
        <f>IFERROR(SUM(I12:I17)/C18,0)</f>
        <v>2.366331096196868</v>
      </c>
      <c r="G18" s="21">
        <f>SUM(G12:G17)</f>
        <v>77710</v>
      </c>
      <c r="H18" s="21">
        <f>SUM(H12:H17)</f>
        <v>5788.9</v>
      </c>
      <c r="I18" s="21">
        <f>SUM(I12:I17)</f>
        <v>10577.5</v>
      </c>
      <c r="J18" s="21">
        <f>SUM(J12:J17)</f>
        <v>2203.8000000000002</v>
      </c>
      <c r="K18" s="21">
        <f>SUM(K12:K17)</f>
        <v>2203.8000000000002</v>
      </c>
      <c r="L18" s="20"/>
      <c r="M18" s="20"/>
      <c r="N18" s="21">
        <f>SUM(N12:N17)</f>
        <v>4485</v>
      </c>
      <c r="O18" s="23">
        <f t="shared" si="3"/>
        <v>15</v>
      </c>
      <c r="P18" s="20"/>
      <c r="Q18" s="21">
        <f>SUM(Q12:Q17)</f>
        <v>11942.941933585289</v>
      </c>
      <c r="R18" s="21">
        <f t="shared" si="4"/>
        <v>7472.941933585289</v>
      </c>
      <c r="S18" s="92">
        <f t="shared" si="5"/>
        <v>1.6717990902875366</v>
      </c>
    </row>
    <row r="19" spans="1:19" ht="15" thickTop="1" x14ac:dyDescent="0.3">
      <c r="A19" s="14" t="s">
        <v>335</v>
      </c>
      <c r="B19" s="14"/>
      <c r="C19" s="24"/>
      <c r="D19" s="25"/>
      <c r="E19" s="25"/>
      <c r="F19" s="25"/>
      <c r="G19" s="24"/>
      <c r="H19" s="24"/>
      <c r="I19" s="24"/>
      <c r="J19" s="24"/>
      <c r="K19" s="24"/>
      <c r="L19" s="14"/>
      <c r="M19" s="14"/>
      <c r="N19" s="26"/>
      <c r="O19" s="27"/>
      <c r="P19" s="3"/>
      <c r="Q19" s="71"/>
      <c r="R19" s="71"/>
      <c r="S19" s="96"/>
    </row>
    <row r="20" spans="1:19" x14ac:dyDescent="0.3">
      <c r="A20" s="5">
        <v>2100</v>
      </c>
      <c r="B20" s="5" t="s">
        <v>4</v>
      </c>
      <c r="C20" s="16">
        <f>IF(P20="MDO",Q20,IFERROR(Mechanical!E18,0))</f>
        <v>78</v>
      </c>
      <c r="D20" s="17" cm="1">
        <f t="array" ref="D20">IF(P20="MDO",IFERROR(SUMPRODUCT((Import!$S$2:$S$53="2100")*Import!$O$2:$O$53*Import!$P$2:$P$53)/SUMIFS(Import!$O:$O,Import!$S:$S,"2100"),0),IFERROR(Mechanical!F18,0))</f>
        <v>17.743589743589745</v>
      </c>
      <c r="E20" s="17" cm="1">
        <f t="array" ref="E20">IF(P20="MDO",IFERROR(SUMPRODUCT((Import!$S$2:$S$53="2100")*Import!$O$2:$O$53*Import!$Q$2:$Q$53)/SUMIFS(Import!$O:$O,Import!$S:$S,"2100"),0),IFERROR(Mechanical!G18,0))</f>
        <v>0.42307692307692307</v>
      </c>
      <c r="F20" s="17" cm="1">
        <f t="array" ref="F20">IF(P20="MDO",IFERROR(SUMPRODUCT((Import!$S$2:$S$53="2100")*Import!$O$2:$O$53*Import!$R$2:$R$53)/SUMIFS(Import!$O:$O,Import!$S:$S,"2100"),0),IFERROR(Mechanical!H18,0))</f>
        <v>2.5576923076923075</v>
      </c>
      <c r="G20" s="16">
        <f t="shared" ref="G20:G27" si="6">C20*D20</f>
        <v>1384</v>
      </c>
      <c r="H20" s="16">
        <f t="shared" ref="H20:H27" si="7">C20*E20</f>
        <v>33</v>
      </c>
      <c r="I20" s="16">
        <f t="shared" ref="I20:I27" si="8">C20*F20</f>
        <v>199.49999999999997</v>
      </c>
      <c r="J20" s="16">
        <f>IFERROR(Mechanical!I18,0)</f>
        <v>39</v>
      </c>
      <c r="K20" s="16">
        <f>IFERROR(Mechanical!I18,0)</f>
        <v>39</v>
      </c>
      <c r="N20" s="18">
        <v>80</v>
      </c>
      <c r="O20" s="19">
        <f t="shared" ref="O20:O28" si="9">N20-C20</f>
        <v>2</v>
      </c>
      <c r="P20" s="5" t="s">
        <v>560</v>
      </c>
      <c r="Q20" s="16">
        <f>SUMIFS(Import!$O:$O,Import!$S:$S,"2100")</f>
        <v>201.59976024707902</v>
      </c>
      <c r="R20" s="16">
        <f t="shared" ref="R20:R28" si="10">Q20-C20</f>
        <v>123.59976024707902</v>
      </c>
      <c r="S20" s="90">
        <f t="shared" ref="S20:S28" si="11">IFERROR((Q20-C20)/C20,0)</f>
        <v>1.5846123108599874</v>
      </c>
    </row>
    <row r="21" spans="1:19" x14ac:dyDescent="0.3">
      <c r="A21" s="5">
        <v>2700</v>
      </c>
      <c r="B21" s="5" t="s">
        <v>10</v>
      </c>
      <c r="C21" s="16">
        <f>IF(P21="MDO",Q21,IFERROR(Mechanical!E40,0))</f>
        <v>220</v>
      </c>
      <c r="D21" s="17" cm="1">
        <f t="array" ref="D21">IF(P21="MDO",IFERROR(SUMPRODUCT((Import!$S$2:$S$53="2700")*Import!$O$2:$O$53*Import!$P$2:$P$53)/SUMIFS(Import!$O:$O,Import!$S:$S,"2700"),0),IFERROR(Mechanical!F40,0))</f>
        <v>19.645454545454545</v>
      </c>
      <c r="E21" s="17" cm="1">
        <f t="array" ref="E21">IF(P21="MDO",IFERROR(SUMPRODUCT((Import!$S$2:$S$53="2700")*Import!$O$2:$O$53*Import!$Q$2:$Q$53)/SUMIFS(Import!$O:$O,Import!$S:$S,"2700"),0),IFERROR(Mechanical!G40,0))</f>
        <v>3.7454545454545456</v>
      </c>
      <c r="F21" s="17" cm="1">
        <f t="array" ref="F21">IF(P21="MDO",IFERROR(SUMPRODUCT((Import!$S$2:$S$53="2700")*Import!$O$2:$O$53*Import!$R$2:$R$53)/SUMIFS(Import!$O:$O,Import!$S:$S,"2700"),0),IFERROR(Mechanical!H40,0))</f>
        <v>3.9295454545454547</v>
      </c>
      <c r="G21" s="16">
        <f t="shared" si="6"/>
        <v>4322</v>
      </c>
      <c r="H21" s="16">
        <f t="shared" si="7"/>
        <v>824</v>
      </c>
      <c r="I21" s="16">
        <f t="shared" si="8"/>
        <v>864.5</v>
      </c>
      <c r="J21" s="16">
        <f>IFERROR(Mechanical!I40,0)</f>
        <v>102.8</v>
      </c>
      <c r="K21" s="16">
        <f>IFERROR(Mechanical!I40,0)</f>
        <v>102.8</v>
      </c>
      <c r="N21" s="18">
        <v>220</v>
      </c>
      <c r="O21" s="19">
        <f t="shared" si="9"/>
        <v>0</v>
      </c>
      <c r="P21" s="5" t="s">
        <v>560</v>
      </c>
      <c r="Q21" s="16">
        <f>SUMIFS(Import!$O:$O,Import!$S:$S,"2700")</f>
        <v>71.311686535297653</v>
      </c>
      <c r="R21" s="16">
        <f t="shared" si="10"/>
        <v>-148.68831346470233</v>
      </c>
      <c r="S21" s="90">
        <f t="shared" si="11"/>
        <v>-0.67585597029410149</v>
      </c>
    </row>
    <row r="22" spans="1:19" x14ac:dyDescent="0.3">
      <c r="A22" s="5">
        <v>2800</v>
      </c>
      <c r="B22" s="5" t="s">
        <v>336</v>
      </c>
      <c r="C22" s="16">
        <f>IF(P22="MDO",Q22,IFERROR(Mechanical!E62,0))</f>
        <v>220</v>
      </c>
      <c r="D22" s="17" cm="1">
        <f t="array" ref="D22">IF(P22="MDO",IFERROR(SUMPRODUCT((Import!$S$2:$S$53="2800")*Import!$O$2:$O$53*Import!$P$2:$P$53)/SUMIFS(Import!$O:$O,Import!$S:$S,"2800"),0),IFERROR(Mechanical!F62,0))</f>
        <v>18.045454545454547</v>
      </c>
      <c r="E22" s="17" cm="1">
        <f t="array" ref="E22">IF(P22="MDO",IFERROR(SUMPRODUCT((Import!$S$2:$S$53="2800")*Import!$O$2:$O$53*Import!$Q$2:$Q$53)/SUMIFS(Import!$O:$O,Import!$S:$S,"2800"),0),IFERROR(Mechanical!G62,0))</f>
        <v>0</v>
      </c>
      <c r="F22" s="17" cm="1">
        <f t="array" ref="F22">IF(P22="MDO",IFERROR(SUMPRODUCT((Import!$S$2:$S$53="2800")*Import!$O$2:$O$53*Import!$R$2:$R$53)/SUMIFS(Import!$O:$O,Import!$S:$S,"2800"),0),IFERROR(Mechanical!H62,0))</f>
        <v>2.0327272727272727</v>
      </c>
      <c r="G22" s="16">
        <f t="shared" si="6"/>
        <v>3970.0000000000005</v>
      </c>
      <c r="H22" s="16">
        <f t="shared" si="7"/>
        <v>0</v>
      </c>
      <c r="I22" s="16">
        <f t="shared" si="8"/>
        <v>447.2</v>
      </c>
      <c r="J22" s="16">
        <f>IFERROR(Mechanical!I62,0)</f>
        <v>110</v>
      </c>
      <c r="K22" s="16">
        <f>IFERROR(Mechanical!I62,0)</f>
        <v>110</v>
      </c>
      <c r="M22" s="5" t="s">
        <v>337</v>
      </c>
      <c r="N22" s="18">
        <v>220</v>
      </c>
      <c r="O22" s="19">
        <f t="shared" si="9"/>
        <v>0</v>
      </c>
      <c r="P22" s="5" t="s">
        <v>560</v>
      </c>
      <c r="Q22" s="16">
        <f>SUMIFS(Import!$O:$O,Import!$S:$S,"2800")</f>
        <v>0</v>
      </c>
      <c r="R22" s="16">
        <f t="shared" si="10"/>
        <v>-220</v>
      </c>
      <c r="S22" s="90">
        <f t="shared" si="11"/>
        <v>-1</v>
      </c>
    </row>
    <row r="23" spans="1:19" x14ac:dyDescent="0.3">
      <c r="A23" s="5">
        <v>2900</v>
      </c>
      <c r="B23" s="5" t="s">
        <v>12</v>
      </c>
      <c r="C23" s="16">
        <f>IF(P23="MDO",Q23,IFERROR(Mechanical!E82,0))</f>
        <v>90</v>
      </c>
      <c r="D23" s="17" cm="1">
        <f t="array" ref="D23">IF(P23="MDO",IFERROR(SUMPRODUCT((Import!$S$2:$S$53="2900")*Import!$O$2:$O$53*Import!$P$2:$P$53)/SUMIFS(Import!$O:$O,Import!$S:$S,"2900"),0),IFERROR(Mechanical!F82,0))</f>
        <v>20.133333333333333</v>
      </c>
      <c r="E23" s="17" cm="1">
        <f t="array" ref="E23">IF(P23="MDO",IFERROR(SUMPRODUCT((Import!$S$2:$S$53="2900")*Import!$O$2:$O$53*Import!$Q$2:$Q$53)/SUMIFS(Import!$O:$O,Import!$S:$S,"2900"),0),IFERROR(Mechanical!G82,0))</f>
        <v>1.4222222222222223</v>
      </c>
      <c r="F23" s="17" cm="1">
        <f t="array" ref="F23">IF(P23="MDO",IFERROR(SUMPRODUCT((Import!$S$2:$S$53="2900")*Import!$O$2:$O$53*Import!$R$2:$R$53)/SUMIFS(Import!$O:$O,Import!$S:$S,"2900"),0),IFERROR(Mechanical!H82,0))</f>
        <v>2.8444444444444446</v>
      </c>
      <c r="G23" s="16">
        <f t="shared" si="6"/>
        <v>1812</v>
      </c>
      <c r="H23" s="16">
        <f t="shared" si="7"/>
        <v>128</v>
      </c>
      <c r="I23" s="16">
        <f t="shared" si="8"/>
        <v>256</v>
      </c>
      <c r="J23" s="16">
        <f>IFERROR(Mechanical!I82,0)</f>
        <v>45</v>
      </c>
      <c r="K23" s="16">
        <f>IFERROR(Mechanical!I82,0)</f>
        <v>45</v>
      </c>
      <c r="N23" s="18">
        <v>90</v>
      </c>
      <c r="O23" s="19">
        <f t="shared" si="9"/>
        <v>0</v>
      </c>
      <c r="P23" s="5" t="s">
        <v>560</v>
      </c>
      <c r="Q23" s="16">
        <f>SUMIFS(Import!$O:$O,Import!$S:$S,"2900")</f>
        <v>108.39483849255457</v>
      </c>
      <c r="R23" s="16">
        <f t="shared" si="10"/>
        <v>18.39483849255457</v>
      </c>
      <c r="S23" s="90">
        <f t="shared" si="11"/>
        <v>0.20438709436171745</v>
      </c>
    </row>
    <row r="24" spans="1:19" x14ac:dyDescent="0.3">
      <c r="A24" s="5">
        <v>3000</v>
      </c>
      <c r="B24" s="5" t="s">
        <v>13</v>
      </c>
      <c r="C24" s="16">
        <f>IF(P24="MDO",Q24,IFERROR(Mechanical!E102,0))</f>
        <v>67</v>
      </c>
      <c r="D24" s="17" cm="1">
        <f t="array" ref="D24">IF(P24="MDO",IFERROR(SUMPRODUCT((Import!$S$2:$S$53="3000")*Import!$O$2:$O$53*Import!$P$2:$P$53)/SUMIFS(Import!$O:$O,Import!$S:$S,"3000"),0),IFERROR(Mechanical!F102,0))</f>
        <v>14.388059701492537</v>
      </c>
      <c r="E24" s="17" cm="1">
        <f t="array" ref="E24">IF(P24="MDO",IFERROR(SUMPRODUCT((Import!$S$2:$S$53="3000")*Import!$O$2:$O$53*Import!$Q$2:$Q$53)/SUMIFS(Import!$O:$O,Import!$S:$S,"3000"),0),IFERROR(Mechanical!G102,0))</f>
        <v>0.94029850746268662</v>
      </c>
      <c r="F24" s="17" cm="1">
        <f t="array" ref="F24">IF(P24="MDO",IFERROR(SUMPRODUCT((Import!$S$2:$S$53="3000")*Import!$O$2:$O$53*Import!$R$2:$R$53)/SUMIFS(Import!$O:$O,Import!$S:$S,"3000"),0),IFERROR(Mechanical!H102,0))</f>
        <v>3.8955223880597014</v>
      </c>
      <c r="G24" s="16">
        <f t="shared" si="6"/>
        <v>964</v>
      </c>
      <c r="H24" s="16">
        <f t="shared" si="7"/>
        <v>63</v>
      </c>
      <c r="I24" s="16">
        <f t="shared" si="8"/>
        <v>261</v>
      </c>
      <c r="J24" s="16">
        <f>IFERROR(Mechanical!I102,0)</f>
        <v>33.5</v>
      </c>
      <c r="K24" s="16">
        <f>IFERROR(Mechanical!I102,0)</f>
        <v>33.5</v>
      </c>
      <c r="N24" s="18">
        <v>70</v>
      </c>
      <c r="O24" s="19">
        <f t="shared" si="9"/>
        <v>3</v>
      </c>
      <c r="P24" s="5" t="s">
        <v>560</v>
      </c>
      <c r="Q24" s="16">
        <f>SUMIFS(Import!$O:$O,Import!$S:$S,"3000")</f>
        <v>66.999920320209796</v>
      </c>
      <c r="R24" s="16">
        <f t="shared" si="10"/>
        <v>-7.9679790204068013E-5</v>
      </c>
      <c r="S24" s="90">
        <f t="shared" si="11"/>
        <v>-1.1892506000607165E-6</v>
      </c>
    </row>
    <row r="25" spans="1:19" x14ac:dyDescent="0.3">
      <c r="A25" s="5">
        <v>3500</v>
      </c>
      <c r="B25" s="5" t="s">
        <v>18</v>
      </c>
      <c r="C25" s="16">
        <f>IF(P25="MDO",Q25,IFERROR(Mechanical!E121,0))</f>
        <v>48</v>
      </c>
      <c r="D25" s="17" cm="1">
        <f t="array" ref="D25">IF(P25="MDO",IFERROR(SUMPRODUCT((Import!$S$2:$S$53="3500")*Import!$O$2:$O$53*Import!$P$2:$P$53)/SUMIFS(Import!$O:$O,Import!$S:$S,"3500"),0),IFERROR(Mechanical!F121,0))</f>
        <v>9.5416666666666661</v>
      </c>
      <c r="E25" s="17" cm="1">
        <f t="array" ref="E25">IF(P25="MDO",IFERROR(SUMPRODUCT((Import!$S$2:$S$53="3500")*Import!$O$2:$O$53*Import!$Q$2:$Q$53)/SUMIFS(Import!$O:$O,Import!$S:$S,"3500"),0),IFERROR(Mechanical!G121,0))</f>
        <v>0</v>
      </c>
      <c r="F25" s="17" cm="1">
        <f t="array" ref="F25">IF(P25="MDO",IFERROR(SUMPRODUCT((Import!$S$2:$S$53="3500")*Import!$O$2:$O$53*Import!$R$2:$R$53)/SUMIFS(Import!$O:$O,Import!$S:$S,"3500"),0),IFERROR(Mechanical!H121,0))</f>
        <v>3</v>
      </c>
      <c r="G25" s="16">
        <f t="shared" si="6"/>
        <v>458</v>
      </c>
      <c r="H25" s="16">
        <f t="shared" si="7"/>
        <v>0</v>
      </c>
      <c r="I25" s="16">
        <f t="shared" si="8"/>
        <v>144</v>
      </c>
      <c r="J25" s="16">
        <f>IFERROR(Mechanical!I121,0)</f>
        <v>17.399999999999999</v>
      </c>
      <c r="K25" s="16">
        <f>IFERROR(Mechanical!I121,0)</f>
        <v>17.399999999999999</v>
      </c>
      <c r="N25" s="18">
        <v>50</v>
      </c>
      <c r="O25" s="19">
        <f t="shared" si="9"/>
        <v>2</v>
      </c>
      <c r="P25" s="5" t="s">
        <v>560</v>
      </c>
      <c r="Q25" s="16">
        <f>SUMIFS(Import!$O:$O,Import!$S:$S,"3500")</f>
        <v>47.999942915971189</v>
      </c>
      <c r="R25" s="16">
        <f t="shared" si="10"/>
        <v>-5.708402881055008E-5</v>
      </c>
      <c r="S25" s="90">
        <f t="shared" si="11"/>
        <v>-1.1892506002197933E-6</v>
      </c>
    </row>
    <row r="26" spans="1:19" x14ac:dyDescent="0.3">
      <c r="A26" s="5">
        <v>3600</v>
      </c>
      <c r="B26" s="5" t="s">
        <v>19</v>
      </c>
      <c r="C26" s="16">
        <f>IF(P26="MDO",Q26,IFERROR(Mechanical!E140,0))</f>
        <v>58</v>
      </c>
      <c r="D26" s="17" cm="1">
        <f t="array" ref="D26">IF(P26="MDO",IFERROR(SUMPRODUCT((Import!$S$2:$S$53="3600")*Import!$O$2:$O$53*Import!$P$2:$P$53)/SUMIFS(Import!$O:$O,Import!$S:$S,"3600"),0),IFERROR(Mechanical!F140,0))</f>
        <v>25</v>
      </c>
      <c r="E26" s="17" cm="1">
        <f t="array" ref="E26">IF(P26="MDO",IFERROR(SUMPRODUCT((Import!$S$2:$S$53="3600")*Import!$O$2:$O$53*Import!$Q$2:$Q$53)/SUMIFS(Import!$O:$O,Import!$S:$S,"3600"),0),IFERROR(Mechanical!G140,0))</f>
        <v>0</v>
      </c>
      <c r="F26" s="17" cm="1">
        <f t="array" ref="F26">IF(P26="MDO",IFERROR(SUMPRODUCT((Import!$S$2:$S$53="3600")*Import!$O$2:$O$53*Import!$R$2:$R$53)/SUMIFS(Import!$O:$O,Import!$S:$S,"3600"),0),IFERROR(Mechanical!H140,0))</f>
        <v>2.5</v>
      </c>
      <c r="G26" s="16">
        <f t="shared" si="6"/>
        <v>1450</v>
      </c>
      <c r="H26" s="16">
        <f t="shared" si="7"/>
        <v>0</v>
      </c>
      <c r="I26" s="16">
        <f t="shared" si="8"/>
        <v>145</v>
      </c>
      <c r="J26" s="16">
        <f>IFERROR(Mechanical!I140,0)</f>
        <v>29</v>
      </c>
      <c r="K26" s="16">
        <f>IFERROR(Mechanical!I140,0)</f>
        <v>29</v>
      </c>
      <c r="N26" s="18">
        <v>60</v>
      </c>
      <c r="O26" s="19">
        <f t="shared" si="9"/>
        <v>2</v>
      </c>
      <c r="P26" s="5" t="s">
        <v>560</v>
      </c>
      <c r="Q26" s="16">
        <f>SUMIFS(Import!$O:$O,Import!$S:$S,"3600")</f>
        <v>57.999931023465194</v>
      </c>
      <c r="R26" s="16">
        <f t="shared" si="10"/>
        <v>-6.8976534805642586E-5</v>
      </c>
      <c r="S26" s="90">
        <f t="shared" si="11"/>
        <v>-1.1892506000972859E-6</v>
      </c>
    </row>
    <row r="27" spans="1:19" x14ac:dyDescent="0.3">
      <c r="A27" s="5">
        <v>3800</v>
      </c>
      <c r="B27" s="5" t="s">
        <v>120</v>
      </c>
      <c r="C27" s="16">
        <f>IF(P27="MDO",Q27,IFERROR(Mechanical!E159,0))</f>
        <v>46</v>
      </c>
      <c r="D27" s="17" cm="1">
        <f t="array" ref="D27">IF(P27="MDO",IFERROR(SUMPRODUCT((Import!$S$2:$S$53="3800")*Import!$O$2:$O$53*Import!$P$2:$P$53)/SUMIFS(Import!$O:$O,Import!$S:$S,"3800"),0),IFERROR(Mechanical!F159,0))</f>
        <v>22.086956521739129</v>
      </c>
      <c r="E27" s="17" cm="1">
        <f t="array" ref="E27">IF(P27="MDO",IFERROR(SUMPRODUCT((Import!$S$2:$S$53="3800")*Import!$O$2:$O$53*Import!$Q$2:$Q$53)/SUMIFS(Import!$O:$O,Import!$S:$S,"3800"),0),IFERROR(Mechanical!G159,0))</f>
        <v>0</v>
      </c>
      <c r="F27" s="17" cm="1">
        <f t="array" ref="F27">IF(P27="MDO",IFERROR(SUMPRODUCT((Import!$S$2:$S$53="3800")*Import!$O$2:$O$53*Import!$R$2:$R$53)/SUMIFS(Import!$O:$O,Import!$S:$S,"3800"),0),IFERROR(Mechanical!H159,0))</f>
        <v>1.9565217391304348</v>
      </c>
      <c r="G27" s="16">
        <f t="shared" si="6"/>
        <v>1015.9999999999999</v>
      </c>
      <c r="H27" s="16">
        <f t="shared" si="7"/>
        <v>0</v>
      </c>
      <c r="I27" s="16">
        <f t="shared" si="8"/>
        <v>90</v>
      </c>
      <c r="J27" s="16">
        <f>IFERROR(Mechanical!I159,0)</f>
        <v>23</v>
      </c>
      <c r="K27" s="16">
        <f>IFERROR(Mechanical!I159,0)</f>
        <v>23</v>
      </c>
      <c r="N27" s="18">
        <v>45</v>
      </c>
      <c r="O27" s="19">
        <f t="shared" si="9"/>
        <v>-1</v>
      </c>
      <c r="P27" s="5" t="s">
        <v>560</v>
      </c>
      <c r="Q27" s="16">
        <f>SUMIFS(Import!$O:$O,Import!$S:$S,"3800")</f>
        <v>45.999945294472397</v>
      </c>
      <c r="R27" s="16">
        <f t="shared" si="10"/>
        <v>-5.4705527603005066E-5</v>
      </c>
      <c r="S27" s="90">
        <f t="shared" si="11"/>
        <v>-1.1892506000653276E-6</v>
      </c>
    </row>
    <row r="28" spans="1:19" ht="15" thickBot="1" x14ac:dyDescent="0.35">
      <c r="A28" s="20"/>
      <c r="B28" s="20" t="s">
        <v>338</v>
      </c>
      <c r="C28" s="21">
        <f>SUM(C20:C27)</f>
        <v>827</v>
      </c>
      <c r="D28" s="22">
        <f>IFERROR(SUM(G20:G27)/C28,0)</f>
        <v>18.592503022974608</v>
      </c>
      <c r="E28" s="22">
        <f>IFERROR(SUM(H20:H27)/C28,0)</f>
        <v>1.2672309552599759</v>
      </c>
      <c r="F28" s="22">
        <f>IFERROR(SUM(I20:I27)/C28,0)</f>
        <v>2.9107617896009672</v>
      </c>
      <c r="G28" s="21">
        <f>SUM(G20:G27)</f>
        <v>15376</v>
      </c>
      <c r="H28" s="21">
        <f>SUM(H20:H27)</f>
        <v>1048</v>
      </c>
      <c r="I28" s="21">
        <f>SUM(I20:I27)</f>
        <v>2407.1999999999998</v>
      </c>
      <c r="J28" s="21">
        <f>SUM(J20:J27)</f>
        <v>399.7</v>
      </c>
      <c r="K28" s="21">
        <f>SUM(K20:K27)</f>
        <v>399.7</v>
      </c>
      <c r="L28" s="20"/>
      <c r="M28" s="20"/>
      <c r="N28" s="21">
        <f>SUM(N20:N27)</f>
        <v>835</v>
      </c>
      <c r="O28" s="23">
        <f t="shared" si="9"/>
        <v>8</v>
      </c>
      <c r="P28" s="20"/>
      <c r="Q28" s="21">
        <f>SUM(Q20:Q27)</f>
        <v>600.30602482904987</v>
      </c>
      <c r="R28" s="21">
        <f t="shared" si="10"/>
        <v>-226.69397517095013</v>
      </c>
      <c r="S28" s="92">
        <f t="shared" si="11"/>
        <v>-0.27411605220187441</v>
      </c>
    </row>
    <row r="29" spans="1:19" ht="15" thickTop="1" x14ac:dyDescent="0.3">
      <c r="A29" s="14" t="s">
        <v>339</v>
      </c>
      <c r="B29" s="14"/>
      <c r="C29" s="24"/>
      <c r="D29" s="25"/>
      <c r="E29" s="25"/>
      <c r="F29" s="25"/>
      <c r="G29" s="24"/>
      <c r="H29" s="24"/>
      <c r="I29" s="24"/>
      <c r="J29" s="24"/>
      <c r="K29" s="24"/>
      <c r="L29" s="14"/>
      <c r="M29" s="14"/>
      <c r="N29" s="26"/>
      <c r="O29" s="27"/>
      <c r="P29" s="3"/>
      <c r="Q29" s="71"/>
      <c r="R29" s="71"/>
      <c r="S29" s="96"/>
    </row>
    <row r="30" spans="1:19" x14ac:dyDescent="0.3">
      <c r="A30" s="5" t="s">
        <v>124</v>
      </c>
      <c r="B30" s="5" t="s">
        <v>95</v>
      </c>
      <c r="C30" s="16">
        <f>IF(P30="MDO",Q30,IFERROR(Electrical!E18,0))</f>
        <v>386</v>
      </c>
      <c r="D30" s="17" cm="1">
        <f t="array" ref="D30">IF(P30="MDO",IFERROR(SUMPRODUCT((Import!$S$2:$S$53="2400LV")*Import!$O$2:$O$53*Import!$P$2:$P$53)/SUMIFS(Import!$O:$O,Import!$S:$S,"2400LV"),0),IFERROR(Electrical!F18,0))</f>
        <v>12.160621761658032</v>
      </c>
      <c r="E30" s="17" cm="1">
        <f t="array" ref="E30">IF(P30="MDO",IFERROR(SUMPRODUCT((Import!$S$2:$S$53="2400LV")*Import!$O$2:$O$53*Import!$Q$2:$Q$53)/SUMIFS(Import!$O:$O,Import!$S:$S,"2400LV"),0),IFERROR(Electrical!G18,0))</f>
        <v>0</v>
      </c>
      <c r="F30" s="17" cm="1">
        <f t="array" ref="F30">IF(P30="MDO",IFERROR(SUMPRODUCT((Import!$S$2:$S$53="2400LV")*Import!$O$2:$O$53*Import!$R$2:$R$53)/SUMIFS(Import!$O:$O,Import!$S:$S,"2400LV"),0),IFERROR(Electrical!H18,0))</f>
        <v>2.5984455958549222</v>
      </c>
      <c r="G30" s="16">
        <f>C30*D30</f>
        <v>4694</v>
      </c>
      <c r="H30" s="16">
        <f>C30*E30</f>
        <v>0</v>
      </c>
      <c r="I30" s="16">
        <f>C30*F30</f>
        <v>1003</v>
      </c>
      <c r="J30" s="16">
        <f>IFERROR(Electrical!I18,0)</f>
        <v>157</v>
      </c>
      <c r="K30" s="16">
        <f>IFERROR(Electrical!I18,0)</f>
        <v>157</v>
      </c>
      <c r="N30" s="18">
        <v>400</v>
      </c>
      <c r="O30" s="19">
        <f>N30-C30</f>
        <v>14</v>
      </c>
      <c r="P30" s="5" t="s">
        <v>560</v>
      </c>
      <c r="Q30" s="16">
        <f>SUMIFS(Import!$O:$O,Import!$S:$S,"2400LV")</f>
        <v>381.92508383756336</v>
      </c>
      <c r="R30" s="16">
        <f>Q30-C30</f>
        <v>-4.0749161624366366</v>
      </c>
      <c r="S30" s="90">
        <f>IFERROR((Q30-C30)/C30,0)</f>
        <v>-1.0556777622892841E-2</v>
      </c>
    </row>
    <row r="31" spans="1:19" x14ac:dyDescent="0.3">
      <c r="A31" s="5" t="s">
        <v>125</v>
      </c>
      <c r="B31" s="5" t="s">
        <v>96</v>
      </c>
      <c r="C31" s="16">
        <f>IF(P31="MDO",Q31,IFERROR(Electrical!E39,0))</f>
        <v>580</v>
      </c>
      <c r="D31" s="17" cm="1">
        <f t="array" ref="D31">IF(P31="MDO",IFERROR(SUMPRODUCT((Import!$S$2:$S$53="2400HV")*Import!$O$2:$O$53*Import!$P$2:$P$53)/SUMIFS(Import!$O:$O,Import!$S:$S,"2400HV"),0),IFERROR(Electrical!F39,0))</f>
        <v>18.448275862068964</v>
      </c>
      <c r="E31" s="17" cm="1">
        <f t="array" ref="E31">IF(P31="MDO",IFERROR(SUMPRODUCT((Import!$S$2:$S$53="2400HV")*Import!$O$2:$O$53*Import!$Q$2:$Q$53)/SUMIFS(Import!$O:$O,Import!$S:$S,"2400HV"),0),IFERROR(Electrical!G39,0))</f>
        <v>1.1724137931034482</v>
      </c>
      <c r="F31" s="17" cm="1">
        <f t="array" ref="F31">IF(P31="MDO",IFERROR(SUMPRODUCT((Import!$S$2:$S$53="2400HV")*Import!$O$2:$O$53*Import!$R$2:$R$53)/SUMIFS(Import!$O:$O,Import!$S:$S,"2400HV"),0),IFERROR(Electrical!H39,0))</f>
        <v>2.0301724137931036</v>
      </c>
      <c r="G31" s="16">
        <f>C31*D31</f>
        <v>10700</v>
      </c>
      <c r="H31" s="16">
        <f>C31*E31</f>
        <v>679.99999999999989</v>
      </c>
      <c r="I31" s="16">
        <f>C31*F31</f>
        <v>1177.5000000000002</v>
      </c>
      <c r="J31" s="16">
        <f>IFERROR(Electrical!I39,0)</f>
        <v>290</v>
      </c>
      <c r="K31" s="16">
        <f>IFERROR(Electrical!I39,0)</f>
        <v>290</v>
      </c>
      <c r="M31" s="5" t="s">
        <v>97</v>
      </c>
      <c r="N31" s="18">
        <v>600</v>
      </c>
      <c r="O31" s="19">
        <f>N31-C31</f>
        <v>20</v>
      </c>
      <c r="P31" s="5" t="s">
        <v>560</v>
      </c>
      <c r="Q31" s="16">
        <f>SUMIFS(Import!$O:$O,Import!$S:$S,"2400HV")</f>
        <v>79.366319999999988</v>
      </c>
      <c r="R31" s="16">
        <f>Q31-C31</f>
        <v>-500.63368000000003</v>
      </c>
      <c r="S31" s="90">
        <f>IFERROR((Q31-C31)/C31,0)</f>
        <v>-0.86316151724137935</v>
      </c>
    </row>
    <row r="32" spans="1:19" x14ac:dyDescent="0.3">
      <c r="A32" s="5">
        <v>3300</v>
      </c>
      <c r="B32" s="5" t="s">
        <v>16</v>
      </c>
      <c r="C32" s="16">
        <f>IF(P32="MDO",Q32,IFERROR(Electrical!E60,0))</f>
        <v>28.5</v>
      </c>
      <c r="D32" s="17" cm="1">
        <f t="array" ref="D32">IF(P32="MDO",IFERROR(SUMPRODUCT((Import!$S$2:$S$53="3300")*Import!$O$2:$O$53*Import!$P$2:$P$53)/SUMIFS(Import!$O:$O,Import!$S:$S,"3300"),0),IFERROR(Electrical!F60,0))</f>
        <v>12.473684210526315</v>
      </c>
      <c r="E32" s="17" cm="1">
        <f t="array" ref="E32">IF(P32="MDO",IFERROR(SUMPRODUCT((Import!$S$2:$S$53="3300")*Import!$O$2:$O$53*Import!$Q$2:$Q$53)/SUMIFS(Import!$O:$O,Import!$S:$S,"3300"),0),IFERROR(Electrical!G60,0))</f>
        <v>0.73684210526315785</v>
      </c>
      <c r="F32" s="17" cm="1">
        <f t="array" ref="F32">IF(P32="MDO",IFERROR(SUMPRODUCT((Import!$S$2:$S$53="3300")*Import!$O$2:$O$53*Import!$R$2:$R$53)/SUMIFS(Import!$O:$O,Import!$S:$S,"3300"),0),IFERROR(Electrical!H60,0))</f>
        <v>4.2719298245614032</v>
      </c>
      <c r="G32" s="16">
        <f>C32*D32</f>
        <v>355.5</v>
      </c>
      <c r="H32" s="16">
        <f>C32*E32</f>
        <v>21</v>
      </c>
      <c r="I32" s="16">
        <f>C32*F32</f>
        <v>121.74999999999999</v>
      </c>
      <c r="J32" s="16">
        <f>IFERROR(Electrical!I60,0)</f>
        <v>10.874999999999998</v>
      </c>
      <c r="K32" s="16">
        <f>IFERROR(Electrical!I60,0)</f>
        <v>10.874999999999998</v>
      </c>
      <c r="N32" s="18">
        <v>30</v>
      </c>
      <c r="O32" s="19">
        <f>N32-C32</f>
        <v>1.5</v>
      </c>
      <c r="P32" s="5" t="s">
        <v>560</v>
      </c>
      <c r="Q32" s="16">
        <f>SUMIFS(Import!$O:$O,Import!$S:$S,"3300")</f>
        <v>28.499966106357899</v>
      </c>
      <c r="R32" s="16">
        <f>Q32-C32</f>
        <v>-3.389364210093504E-5</v>
      </c>
      <c r="S32" s="90">
        <f>IFERROR((Q32-C32)/C32,0)</f>
        <v>-1.1892506000328085E-6</v>
      </c>
    </row>
    <row r="33" spans="1:19" ht="15" thickBot="1" x14ac:dyDescent="0.35">
      <c r="A33" s="20"/>
      <c r="B33" s="20" t="s">
        <v>340</v>
      </c>
      <c r="C33" s="21">
        <f>SUM(C30:C32)</f>
        <v>994.5</v>
      </c>
      <c r="D33" s="22">
        <f>IFERROR(SUM(G30:G32)/C33,0)</f>
        <v>15.836601307189543</v>
      </c>
      <c r="E33" s="22">
        <f>IFERROR(SUM(H30:H32)/C33,0)</f>
        <v>0.70487682252388129</v>
      </c>
      <c r="F33" s="22">
        <f>IFERROR(SUM(I30:I32)/C33,0)</f>
        <v>2.3149824032176975</v>
      </c>
      <c r="G33" s="21">
        <f>SUM(G30:G32)</f>
        <v>15749.5</v>
      </c>
      <c r="H33" s="21">
        <f>SUM(H30:H32)</f>
        <v>700.99999999999989</v>
      </c>
      <c r="I33" s="21">
        <f>SUM(I30:I32)</f>
        <v>2302.25</v>
      </c>
      <c r="J33" s="21">
        <f>SUM(J30:J32)</f>
        <v>457.875</v>
      </c>
      <c r="K33" s="21">
        <f>SUM(K30:K32)</f>
        <v>457.875</v>
      </c>
      <c r="L33" s="20"/>
      <c r="M33" s="20"/>
      <c r="N33" s="21">
        <f>SUM(N30:N32)</f>
        <v>1030</v>
      </c>
      <c r="O33" s="23">
        <f>N33-C33</f>
        <v>35.5</v>
      </c>
      <c r="P33" s="20"/>
      <c r="Q33" s="21">
        <f>SUM(Q30:Q32)</f>
        <v>489.79136994392121</v>
      </c>
      <c r="R33" s="21">
        <f>Q33-C33</f>
        <v>-504.70863005607879</v>
      </c>
      <c r="S33" s="92">
        <f>IFERROR((Q33-C33)/C33,0)</f>
        <v>-0.50749987939273888</v>
      </c>
    </row>
    <row r="34" spans="1:19" ht="15" thickTop="1" x14ac:dyDescent="0.3">
      <c r="A34" s="14" t="s">
        <v>341</v>
      </c>
      <c r="B34" s="14"/>
      <c r="C34" s="24"/>
      <c r="D34" s="25"/>
      <c r="E34" s="25"/>
      <c r="F34" s="25"/>
      <c r="G34" s="24"/>
      <c r="H34" s="24"/>
      <c r="I34" s="24"/>
      <c r="J34" s="24"/>
      <c r="K34" s="24"/>
      <c r="L34" s="14"/>
      <c r="M34" s="14"/>
      <c r="N34" s="26"/>
      <c r="O34" s="27"/>
      <c r="P34" s="3"/>
      <c r="Q34" s="71"/>
      <c r="R34" s="71"/>
      <c r="S34" s="96"/>
    </row>
    <row r="35" spans="1:19" x14ac:dyDescent="0.3">
      <c r="A35" s="5">
        <v>2200</v>
      </c>
      <c r="B35" s="5" t="s">
        <v>5</v>
      </c>
      <c r="C35" s="16">
        <f>IF(P35="MDO",Q35,IFERROR(Avionics!E16,0))</f>
        <v>16</v>
      </c>
      <c r="D35" s="17" cm="1">
        <f t="array" ref="D35">IF(P35="MDO",IFERROR(SUMPRODUCT((Import!$S$2:$S$53="2200")*Import!$O$2:$O$53*Import!$P$2:$P$53)/SUMIFS(Import!$O:$O,Import!$S:$S,"2200"),0),IFERROR(Avionics!F16,0))</f>
        <v>11.75</v>
      </c>
      <c r="E35" s="17" cm="1">
        <f t="array" ref="E35">IF(P35="MDO",IFERROR(SUMPRODUCT((Import!$S$2:$S$53="2200")*Import!$O$2:$O$53*Import!$Q$2:$Q$53)/SUMIFS(Import!$O:$O,Import!$S:$S,"2200"),0),IFERROR(Avionics!G16,0))</f>
        <v>0</v>
      </c>
      <c r="F35" s="17" cm="1">
        <f t="array" ref="F35">IF(P35="MDO",IFERROR(SUMPRODUCT((Import!$S$2:$S$53="2200")*Import!$O$2:$O$53*Import!$R$2:$R$53)/SUMIFS(Import!$O:$O,Import!$S:$S,"2200"),0),IFERROR(Avionics!H16,0))</f>
        <v>4</v>
      </c>
      <c r="G35" s="16">
        <f>C35*D35</f>
        <v>188</v>
      </c>
      <c r="H35" s="16">
        <f>C35*E35</f>
        <v>0</v>
      </c>
      <c r="I35" s="16">
        <f>C35*F35</f>
        <v>64</v>
      </c>
      <c r="J35" s="16">
        <f>IFERROR(Avionics!I16,0)</f>
        <v>4.4000000000000004</v>
      </c>
      <c r="K35" s="16">
        <f>IFERROR(Avionics!I16,0)</f>
        <v>4.4000000000000004</v>
      </c>
      <c r="N35" s="18">
        <v>15</v>
      </c>
      <c r="O35" s="19">
        <f>N35-C35</f>
        <v>-1</v>
      </c>
      <c r="P35" s="5" t="s">
        <v>560</v>
      </c>
      <c r="Q35" s="16">
        <f>SUMIFS(Import!$O:$O,Import!$S:$S,"2200")</f>
        <v>15.9999809719904</v>
      </c>
      <c r="R35" s="16">
        <f>Q35-C35</f>
        <v>-1.902800959996398E-5</v>
      </c>
      <c r="S35" s="90">
        <f>IFERROR((Q35-C35)/C35,0)</f>
        <v>-1.1892505999977487E-6</v>
      </c>
    </row>
    <row r="36" spans="1:19" x14ac:dyDescent="0.3">
      <c r="A36" s="5">
        <v>2300</v>
      </c>
      <c r="B36" s="5" t="s">
        <v>6</v>
      </c>
      <c r="C36" s="16">
        <f>IF(P36="MDO",Q36,IFERROR(Avionics!E35,0))</f>
        <v>37</v>
      </c>
      <c r="D36" s="17" cm="1">
        <f t="array" ref="D36">IF(P36="MDO",IFERROR(SUMPRODUCT((Import!$S$2:$S$53="2300")*Import!$O$2:$O$53*Import!$P$2:$P$53)/SUMIFS(Import!$O:$O,Import!$S:$S,"2300"),0),IFERROR(Avionics!F35,0))</f>
        <v>13.810810810810811</v>
      </c>
      <c r="E36" s="17" cm="1">
        <f t="array" ref="E36">IF(P36="MDO",IFERROR(SUMPRODUCT((Import!$S$2:$S$53="2300")*Import!$O$2:$O$53*Import!$Q$2:$Q$53)/SUMIFS(Import!$O:$O,Import!$S:$S,"2300"),0),IFERROR(Avionics!G35,0))</f>
        <v>0</v>
      </c>
      <c r="F36" s="17" cm="1">
        <f t="array" ref="F36">IF(P36="MDO",IFERROR(SUMPRODUCT((Import!$S$2:$S$53="2300")*Import!$O$2:$O$53*Import!$R$2:$R$53)/SUMIFS(Import!$O:$O,Import!$S:$S,"2300"),0),IFERROR(Avionics!H35,0))</f>
        <v>5.3918918918918921</v>
      </c>
      <c r="G36" s="16">
        <f>C36*D36</f>
        <v>511</v>
      </c>
      <c r="H36" s="16">
        <f>C36*E36</f>
        <v>0</v>
      </c>
      <c r="I36" s="16">
        <f>C36*F36</f>
        <v>199.5</v>
      </c>
      <c r="J36" s="16">
        <f>IFERROR(Avionics!I35,0)</f>
        <v>15.5</v>
      </c>
      <c r="K36" s="16">
        <f>IFERROR(Avionics!I35,0)</f>
        <v>15.5</v>
      </c>
      <c r="N36" s="18">
        <v>35</v>
      </c>
      <c r="O36" s="19">
        <f>N36-C36</f>
        <v>-2</v>
      </c>
      <c r="P36" s="5" t="s">
        <v>560</v>
      </c>
      <c r="Q36" s="16">
        <f>SUMIFS(Import!$O:$O,Import!$S:$S,"2300")</f>
        <v>1082.1894589979918</v>
      </c>
      <c r="R36" s="16">
        <f>Q36-C36</f>
        <v>1045.1894589979918</v>
      </c>
      <c r="S36" s="90">
        <f>IFERROR((Q36-C36)/C36,0)</f>
        <v>28.248363756702481</v>
      </c>
    </row>
    <row r="37" spans="1:19" x14ac:dyDescent="0.3">
      <c r="A37" s="5">
        <v>3100</v>
      </c>
      <c r="B37" s="5" t="s">
        <v>342</v>
      </c>
      <c r="C37" s="16">
        <f>IF(P37="MDO",Q37,IFERROR(Avionics!E56,0))</f>
        <v>61</v>
      </c>
      <c r="D37" s="17" cm="1">
        <f t="array" ref="D37">IF(P37="MDO",IFERROR(SUMPRODUCT((Import!$S$2:$S$53="3100")*Import!$O$2:$O$53*Import!$P$2:$P$53)/SUMIFS(Import!$O:$O,Import!$S:$S,"3100"),0),IFERROR(Avionics!F56,0))</f>
        <v>12.409836065573771</v>
      </c>
      <c r="E37" s="17" cm="1">
        <f t="array" ref="E37">IF(P37="MDO",IFERROR(SUMPRODUCT((Import!$S$2:$S$53="3100")*Import!$O$2:$O$53*Import!$Q$2:$Q$53)/SUMIFS(Import!$O:$O,Import!$S:$S,"3100"),0),IFERROR(Avionics!G56,0))</f>
        <v>0.26229508196721313</v>
      </c>
      <c r="F37" s="17" cm="1">
        <f t="array" ref="F37">IF(P37="MDO",IFERROR(SUMPRODUCT((Import!$S$2:$S$53="3100")*Import!$O$2:$O$53*Import!$R$2:$R$53)/SUMIFS(Import!$O:$O,Import!$S:$S,"3100"),0),IFERROR(Avionics!H56,0))</f>
        <v>4.0081967213114753</v>
      </c>
      <c r="G37" s="16">
        <f>C37*D37</f>
        <v>757</v>
      </c>
      <c r="H37" s="16">
        <f>C37*E37</f>
        <v>16</v>
      </c>
      <c r="I37" s="16">
        <f>C37*F37</f>
        <v>244.5</v>
      </c>
      <c r="J37" s="16">
        <f>IFERROR(Avionics!I56,0)</f>
        <v>11.450000000000001</v>
      </c>
      <c r="K37" s="16">
        <f>IFERROR(Avionics!I56,0)</f>
        <v>11.450000000000001</v>
      </c>
      <c r="N37" s="18">
        <v>60</v>
      </c>
      <c r="O37" s="19">
        <f>N37-C37</f>
        <v>-1</v>
      </c>
      <c r="P37" s="5" t="s">
        <v>560</v>
      </c>
      <c r="Q37" s="16">
        <f>SUMIFS(Import!$O:$O,Import!$S:$S,"3100")</f>
        <v>133.68559286762977</v>
      </c>
      <c r="R37" s="16">
        <f>Q37-C37</f>
        <v>72.685592867629765</v>
      </c>
      <c r="S37" s="90">
        <f>IFERROR((Q37-C37)/C37,0)</f>
        <v>1.1915670961906519</v>
      </c>
    </row>
    <row r="38" spans="1:19" x14ac:dyDescent="0.3">
      <c r="A38" s="5">
        <v>3400</v>
      </c>
      <c r="B38" s="5" t="s">
        <v>17</v>
      </c>
      <c r="C38" s="16">
        <f>IF(P38="MDO",Q38,IFERROR(Avionics!E77,0))</f>
        <v>90</v>
      </c>
      <c r="D38" s="17" cm="1">
        <f t="array" ref="D38">IF(P38="MDO",IFERROR(SUMPRODUCT((Import!$S$2:$S$53="3400")*Import!$O$2:$O$53*Import!$P$2:$P$53)/SUMIFS(Import!$O:$O,Import!$S:$S,"3400"),0),IFERROR(Avionics!F77,0))</f>
        <v>4.8666666666666663</v>
      </c>
      <c r="E38" s="17" cm="1">
        <f t="array" ref="E38">IF(P38="MDO",IFERROR(SUMPRODUCT((Import!$S$2:$S$53="3400")*Import!$O$2:$O$53*Import!$Q$2:$Q$53)/SUMIFS(Import!$O:$O,Import!$S:$S,"3400"),0),IFERROR(Avionics!G77,0))</f>
        <v>0</v>
      </c>
      <c r="F38" s="17" cm="1">
        <f t="array" ref="F38">IF(P38="MDO",IFERROR(SUMPRODUCT((Import!$S$2:$S$53="3400")*Import!$O$2:$O$53*Import!$R$2:$R$53)/SUMIFS(Import!$O:$O,Import!$S:$S,"3400"),0),IFERROR(Avionics!H77,0))</f>
        <v>3.6666666666666665</v>
      </c>
      <c r="G38" s="16">
        <f>C38*D38</f>
        <v>437.99999999999994</v>
      </c>
      <c r="H38" s="16">
        <f>C38*E38</f>
        <v>0</v>
      </c>
      <c r="I38" s="16">
        <f>C38*F38</f>
        <v>330</v>
      </c>
      <c r="J38" s="16">
        <f>IFERROR(Avionics!I77,0)</f>
        <v>31.8</v>
      </c>
      <c r="K38" s="16">
        <f>IFERROR(Avionics!I77,0)</f>
        <v>31.8</v>
      </c>
      <c r="N38" s="18">
        <v>90</v>
      </c>
      <c r="O38" s="19">
        <f>N38-C38</f>
        <v>0</v>
      </c>
      <c r="P38" s="5" t="s">
        <v>560</v>
      </c>
      <c r="Q38" s="16">
        <f>SUMIFS(Import!$O:$O,Import!$S:$S,"3400")</f>
        <v>89.999892967446002</v>
      </c>
      <c r="R38" s="16">
        <f>Q38-C38</f>
        <v>-1.0703255399846512E-4</v>
      </c>
      <c r="S38" s="90">
        <f>IFERROR((Q38-C38)/C38,0)</f>
        <v>-1.1892505999829458E-6</v>
      </c>
    </row>
    <row r="39" spans="1:19" ht="15" thickBot="1" x14ac:dyDescent="0.35">
      <c r="A39" s="20"/>
      <c r="B39" s="20" t="s">
        <v>343</v>
      </c>
      <c r="C39" s="21">
        <f>SUM(C35:C38)</f>
        <v>204</v>
      </c>
      <c r="D39" s="22">
        <f>IFERROR(SUM(G35:G38)/C39,0)</f>
        <v>9.2843137254901968</v>
      </c>
      <c r="E39" s="22">
        <f>IFERROR(SUM(H35:H38)/C39,0)</f>
        <v>7.8431372549019607E-2</v>
      </c>
      <c r="F39" s="22">
        <f>IFERROR(SUM(I35:I38)/C39,0)</f>
        <v>4.1078431372549016</v>
      </c>
      <c r="G39" s="21">
        <f>SUM(G35:G38)</f>
        <v>1894</v>
      </c>
      <c r="H39" s="21">
        <f>SUM(H35:H38)</f>
        <v>16</v>
      </c>
      <c r="I39" s="21">
        <f>SUM(I35:I38)</f>
        <v>838</v>
      </c>
      <c r="J39" s="21">
        <f>SUM(J35:J38)</f>
        <v>63.150000000000006</v>
      </c>
      <c r="K39" s="21">
        <f>SUM(K35:K38)</f>
        <v>63.150000000000006</v>
      </c>
      <c r="L39" s="20"/>
      <c r="M39" s="20"/>
      <c r="N39" s="21">
        <f>SUM(N35:N38)</f>
        <v>200</v>
      </c>
      <c r="O39" s="23">
        <f>N39-C39</f>
        <v>-4</v>
      </c>
      <c r="P39" s="20"/>
      <c r="Q39" s="21">
        <f>SUM(Q35:Q38)</f>
        <v>1321.874925805058</v>
      </c>
      <c r="R39" s="21">
        <f>Q39-C39</f>
        <v>1117.874925805058</v>
      </c>
      <c r="S39" s="92">
        <f>IFERROR((Q39-C39)/C39,0)</f>
        <v>5.4797790480640094</v>
      </c>
    </row>
    <row r="40" spans="1:19" ht="15" thickTop="1" x14ac:dyDescent="0.3">
      <c r="A40" s="14" t="s">
        <v>344</v>
      </c>
      <c r="B40" s="14"/>
      <c r="C40" s="24"/>
      <c r="D40" s="25"/>
      <c r="E40" s="25"/>
      <c r="F40" s="25"/>
      <c r="G40" s="24"/>
      <c r="H40" s="24"/>
      <c r="I40" s="24"/>
      <c r="J40" s="24"/>
      <c r="K40" s="24"/>
      <c r="L40" s="14"/>
      <c r="M40" s="14"/>
      <c r="N40" s="26"/>
      <c r="O40" s="27"/>
      <c r="P40" s="3"/>
      <c r="Q40" s="71"/>
      <c r="R40" s="71"/>
      <c r="S40" s="96"/>
    </row>
    <row r="41" spans="1:19" x14ac:dyDescent="0.3">
      <c r="A41" s="5">
        <v>7100</v>
      </c>
      <c r="B41" s="5" t="s">
        <v>481</v>
      </c>
      <c r="C41" s="16">
        <f>IF(P41="MDO",Q41,IFERROR(Powerplant!E35,0))</f>
        <v>1440</v>
      </c>
      <c r="D41" s="17" cm="1">
        <f t="array" ref="D41">IF(P41="MDO",IFERROR(SUMPRODUCT((Import!$S$2:$S$53="7100")*Import!$O$2:$O$53*Import!$P$2:$P$53)/SUMIFS(Import!$O:$O,Import!$S:$S,"7100"),0),IFERROR(Powerplant!F35,0))</f>
        <v>28.119444444444444</v>
      </c>
      <c r="E41" s="17" cm="1">
        <f t="array" ref="E41">IF(P41="MDO",IFERROR(SUMPRODUCT((Import!$S$2:$S$53="7100")*Import!$O$2:$O$53*Import!$Q$2:$Q$53)/SUMIFS(Import!$O:$O,Import!$S:$S,"7100"),0),IFERROR(Powerplant!G35,0))</f>
        <v>0</v>
      </c>
      <c r="F41" s="17" cm="1">
        <f t="array" ref="F41">IF(P41="MDO",IFERROR(SUMPRODUCT((Import!$S$2:$S$53="7100")*Import!$O$2:$O$53*Import!$R$2:$R$53)/SUMIFS(Import!$O:$O,Import!$S:$S,"7100"),0),IFERROR(Powerplant!H35,0))</f>
        <v>3.3843749999999999</v>
      </c>
      <c r="G41" s="16">
        <f>C41*D41</f>
        <v>40492</v>
      </c>
      <c r="H41" s="16">
        <f>C41*E41</f>
        <v>0</v>
      </c>
      <c r="I41" s="16">
        <f>C41*F41</f>
        <v>4873.5</v>
      </c>
      <c r="J41" s="16">
        <f>IFERROR(Powerplant!I35,0)</f>
        <v>720</v>
      </c>
      <c r="K41" s="16">
        <f>IFERROR(Powerplant!I35,0)</f>
        <v>720</v>
      </c>
      <c r="M41" s="5" t="s">
        <v>103</v>
      </c>
      <c r="N41" s="18">
        <v>850</v>
      </c>
      <c r="O41" s="19">
        <f>N41-C41</f>
        <v>-590</v>
      </c>
      <c r="P41" s="5" t="s">
        <v>560</v>
      </c>
      <c r="Q41" s="16">
        <f>SUMIFS(Import!$O:$O,Import!$S:$S,"7100")</f>
        <v>873.02951999999982</v>
      </c>
      <c r="R41" s="16">
        <f>Q41-C41</f>
        <v>-566.97048000000018</v>
      </c>
      <c r="S41" s="90">
        <f>IFERROR((Q41-C41)/C41,0)</f>
        <v>-0.39372950000000012</v>
      </c>
    </row>
    <row r="42" spans="1:19" x14ac:dyDescent="0.3">
      <c r="A42" s="5">
        <v>7300</v>
      </c>
      <c r="B42" s="5" t="s">
        <v>29</v>
      </c>
      <c r="C42" s="16">
        <f>IF(P42="MDO",Q42,IFERROR(Powerplant!E56,0))</f>
        <v>75</v>
      </c>
      <c r="D42" s="17" cm="1">
        <f t="array" ref="D42">IF(P42="MDO",IFERROR(SUMPRODUCT((Import!$S$2:$S$53="7300")*Import!$O$2:$O$53*Import!$P$2:$P$53)/SUMIFS(Import!$O:$O,Import!$S:$S,"7300"),0),IFERROR(Powerplant!F56,0))</f>
        <v>27.84</v>
      </c>
      <c r="E42" s="17" cm="1">
        <f t="array" ref="E42">IF(P42="MDO",IFERROR(SUMPRODUCT((Import!$S$2:$S$53="7300")*Import!$O$2:$O$53*Import!$Q$2:$Q$53)/SUMIFS(Import!$O:$O,Import!$S:$S,"7300"),0),IFERROR(Powerplant!G56,0))</f>
        <v>1.6</v>
      </c>
      <c r="F42" s="17" cm="1">
        <f t="array" ref="F42">IF(P42="MDO",IFERROR(SUMPRODUCT((Import!$S$2:$S$53="7300")*Import!$O$2:$O$53*Import!$R$2:$R$53)/SUMIFS(Import!$O:$O,Import!$S:$S,"7300"),0),IFERROR(Powerplant!H56,0))</f>
        <v>3.2933333333333334</v>
      </c>
      <c r="G42" s="16">
        <f>C42*D42</f>
        <v>2088</v>
      </c>
      <c r="H42" s="16">
        <f>C42*E42</f>
        <v>120</v>
      </c>
      <c r="I42" s="16">
        <f>C42*F42</f>
        <v>247</v>
      </c>
      <c r="J42" s="16">
        <f>IFERROR(Powerplant!I56,0)</f>
        <v>37.5</v>
      </c>
      <c r="K42" s="16">
        <f>IFERROR(Powerplant!I56,0)</f>
        <v>37.5</v>
      </c>
      <c r="N42" s="18">
        <v>75</v>
      </c>
      <c r="O42" s="19">
        <f>N42-C42</f>
        <v>0</v>
      </c>
      <c r="P42" s="5" t="s">
        <v>560</v>
      </c>
      <c r="Q42" s="16">
        <f>SUMIFS(Import!$O:$O,Import!$S:$S,"7300")</f>
        <v>0</v>
      </c>
      <c r="R42" s="16">
        <f>Q42-C42</f>
        <v>-75</v>
      </c>
      <c r="S42" s="90">
        <f>IFERROR((Q42-C42)/C42,0)</f>
        <v>-1</v>
      </c>
    </row>
    <row r="43" spans="1:19" x14ac:dyDescent="0.3">
      <c r="A43" s="5">
        <v>7500</v>
      </c>
      <c r="B43" s="5" t="s">
        <v>121</v>
      </c>
      <c r="C43" s="16">
        <f>IF(P43="MDO",Q43,IFERROR(Powerplant!E75,0))</f>
        <v>62</v>
      </c>
      <c r="D43" s="17" cm="1">
        <f t="array" ref="D43">IF(P43="MDO",IFERROR(SUMPRODUCT((Import!$S$2:$S$53="7500")*Import!$O$2:$O$53*Import!$P$2:$P$53)/SUMIFS(Import!$O:$O,Import!$S:$S,"7500"),0),IFERROR(Powerplant!F75,0))</f>
        <v>20</v>
      </c>
      <c r="E43" s="17" cm="1">
        <f t="array" ref="E43">IF(P43="MDO",IFERROR(SUMPRODUCT((Import!$S$2:$S$53="7500")*Import!$O$2:$O$53*Import!$Q$2:$Q$53)/SUMIFS(Import!$O:$O,Import!$S:$S,"7500"),0),IFERROR(Powerplant!G75,0))</f>
        <v>0</v>
      </c>
      <c r="F43" s="17" cm="1">
        <f t="array" ref="F43">IF(P43="MDO",IFERROR(SUMPRODUCT((Import!$S$2:$S$53="7500")*Import!$O$2:$O$53*Import!$R$2:$R$53)/SUMIFS(Import!$O:$O,Import!$S:$S,"7500"),0),IFERROR(Powerplant!H75,0))</f>
        <v>3.5806451612903225</v>
      </c>
      <c r="G43" s="16">
        <f>C43*D43</f>
        <v>1240</v>
      </c>
      <c r="H43" s="16">
        <f>C43*E43</f>
        <v>0</v>
      </c>
      <c r="I43" s="16">
        <f>C43*F43</f>
        <v>222</v>
      </c>
      <c r="J43" s="16">
        <f>IFERROR(Powerplant!I75,0)</f>
        <v>31</v>
      </c>
      <c r="K43" s="16">
        <f>IFERROR(Powerplant!I75,0)</f>
        <v>31</v>
      </c>
      <c r="M43" s="5" t="s">
        <v>122</v>
      </c>
      <c r="N43" s="18">
        <v>60</v>
      </c>
      <c r="O43" s="19">
        <f>N43-C43</f>
        <v>-2</v>
      </c>
      <c r="P43" s="5" t="s">
        <v>560</v>
      </c>
      <c r="Q43" s="16">
        <f>SUMIFS(Import!$O:$O,Import!$S:$S,"7500")</f>
        <v>0</v>
      </c>
      <c r="R43" s="16">
        <f>Q43-C43</f>
        <v>-62</v>
      </c>
      <c r="S43" s="90">
        <f>IFERROR((Q43-C43)/C43,0)</f>
        <v>-1</v>
      </c>
    </row>
    <row r="44" spans="1:19" x14ac:dyDescent="0.3">
      <c r="A44" s="5">
        <v>8000</v>
      </c>
      <c r="B44" s="5" t="s">
        <v>33</v>
      </c>
      <c r="C44" s="16">
        <f>IF(P44="MDO",Q44,IFERROR(Powerplant!E94,0))</f>
        <v>26</v>
      </c>
      <c r="D44" s="17" cm="1">
        <f t="array" ref="D44">IF(P44="MDO",IFERROR(SUMPRODUCT((Import!$S$2:$S$53="8000")*Import!$O$2:$O$53*Import!$P$2:$P$53)/SUMIFS(Import!$O:$O,Import!$S:$S,"8000"),0),IFERROR(Powerplant!F94,0))</f>
        <v>27.923076923076923</v>
      </c>
      <c r="E44" s="17" cm="1">
        <f t="array" ref="E44">IF(P44="MDO",IFERROR(SUMPRODUCT((Import!$S$2:$S$53="8000")*Import!$O$2:$O$53*Import!$Q$2:$Q$53)/SUMIFS(Import!$O:$O,Import!$S:$S,"8000"),0),IFERROR(Powerplant!G94,0))</f>
        <v>0.92307692307692313</v>
      </c>
      <c r="F44" s="17" cm="1">
        <f t="array" ref="F44">IF(P44="MDO",IFERROR(SUMPRODUCT((Import!$S$2:$S$53="8000")*Import!$O$2:$O$53*Import!$R$2:$R$53)/SUMIFS(Import!$O:$O,Import!$S:$S,"8000"),0),IFERROR(Powerplant!H94,0))</f>
        <v>3.3461538461538463</v>
      </c>
      <c r="G44" s="16">
        <f>C44*D44</f>
        <v>726</v>
      </c>
      <c r="H44" s="16">
        <f>C44*E44</f>
        <v>24</v>
      </c>
      <c r="I44" s="16">
        <f>C44*F44</f>
        <v>87</v>
      </c>
      <c r="J44" s="16">
        <f>IFERROR(Powerplant!I94,0)</f>
        <v>13</v>
      </c>
      <c r="K44" s="16">
        <f>IFERROR(Powerplant!I94,0)</f>
        <v>13</v>
      </c>
      <c r="N44" s="18">
        <v>25</v>
      </c>
      <c r="O44" s="19">
        <f>N44-C44</f>
        <v>-1</v>
      </c>
      <c r="P44" s="5" t="s">
        <v>560</v>
      </c>
      <c r="Q44" s="16">
        <f>SUMIFS(Import!$O:$O,Import!$S:$S,"8000")</f>
        <v>0</v>
      </c>
      <c r="R44" s="16">
        <f>Q44-C44</f>
        <v>-26</v>
      </c>
      <c r="S44" s="90">
        <f>IFERROR((Q44-C44)/C44,0)</f>
        <v>-1</v>
      </c>
    </row>
    <row r="45" spans="1:19" ht="15" thickBot="1" x14ac:dyDescent="0.35">
      <c r="A45" s="20"/>
      <c r="B45" s="20" t="s">
        <v>345</v>
      </c>
      <c r="C45" s="21">
        <f>SUM(C41:C44)</f>
        <v>1603</v>
      </c>
      <c r="D45" s="22">
        <f>IFERROR(SUM(G41:G44)/C45,0)</f>
        <v>27.789145352464129</v>
      </c>
      <c r="E45" s="22">
        <f>IFERROR(SUM(H41:H44)/C45,0)</f>
        <v>8.9831565814098568E-2</v>
      </c>
      <c r="F45" s="22">
        <f>IFERROR(SUM(I41:I44)/C45,0)</f>
        <v>3.3870867124142232</v>
      </c>
      <c r="G45" s="21">
        <f>SUM(G41:G44)</f>
        <v>44546</v>
      </c>
      <c r="H45" s="21">
        <f>SUM(H41:H44)</f>
        <v>144</v>
      </c>
      <c r="I45" s="21">
        <f>SUM(I41:I44)</f>
        <v>5429.5</v>
      </c>
      <c r="J45" s="21">
        <f>SUM(J41:J44)</f>
        <v>801.5</v>
      </c>
      <c r="K45" s="21">
        <f>SUM(K41:K44)</f>
        <v>801.5</v>
      </c>
      <c r="L45" s="20"/>
      <c r="M45" s="20"/>
      <c r="N45" s="21">
        <f>SUM(N41:N44)</f>
        <v>1010</v>
      </c>
      <c r="O45" s="23">
        <f>N45-C45</f>
        <v>-593</v>
      </c>
      <c r="P45" s="20"/>
      <c r="Q45" s="21">
        <f>SUM(Q41:Q44)</f>
        <v>873.02951999999982</v>
      </c>
      <c r="R45" s="21">
        <f>Q45-C45</f>
        <v>-729.97048000000018</v>
      </c>
      <c r="S45" s="92">
        <f>IFERROR((Q45-C45)/C45,0)</f>
        <v>-0.45537771678103567</v>
      </c>
    </row>
    <row r="46" spans="1:19" ht="15" thickTop="1" x14ac:dyDescent="0.3">
      <c r="A46" s="14" t="s">
        <v>346</v>
      </c>
      <c r="B46" s="14"/>
      <c r="C46" s="24"/>
      <c r="D46" s="25"/>
      <c r="E46" s="25"/>
      <c r="F46" s="25"/>
      <c r="G46" s="24"/>
      <c r="H46" s="24"/>
      <c r="I46" s="24"/>
      <c r="J46" s="24"/>
      <c r="K46" s="24"/>
      <c r="L46" s="14"/>
      <c r="M46" s="14"/>
      <c r="N46" s="26"/>
      <c r="O46" s="27"/>
      <c r="P46" s="3"/>
      <c r="Q46" s="71"/>
      <c r="R46" s="71"/>
      <c r="S46" s="96"/>
    </row>
    <row r="47" spans="1:19" x14ac:dyDescent="0.3">
      <c r="A47" s="5">
        <v>2500</v>
      </c>
      <c r="B47" s="5" t="s">
        <v>98</v>
      </c>
      <c r="C47" s="16">
        <f>IF(P47="MDO",Q47,IFERROR(Interior!E21,0))</f>
        <v>695</v>
      </c>
      <c r="D47" s="17" cm="1">
        <f t="array" ref="D47">IF(P47="MDO",IFERROR(SUMPRODUCT((Import!$S$2:$S$53="2500")*Import!$O$2:$O$53*Import!$P$2:$P$53)/SUMIFS(Import!$O:$O,Import!$S:$S,"2500"),0),IFERROR(Interior!F21,0))</f>
        <v>14.03956834532374</v>
      </c>
      <c r="E47" s="17" cm="1">
        <f t="array" ref="E47">IF(P47="MDO",IFERROR(SUMPRODUCT((Import!$S$2:$S$53="2500")*Import!$O$2:$O$53*Import!$Q$2:$Q$53)/SUMIFS(Import!$O:$O,Import!$S:$S,"2500"),0),IFERROR(Interior!G21,0))</f>
        <v>0.63669064748201443</v>
      </c>
      <c r="F47" s="17" cm="1">
        <f t="array" ref="F47">IF(P47="MDO",IFERROR(SUMPRODUCT((Import!$S$2:$S$53="2500")*Import!$O$2:$O$53*Import!$R$2:$R$53)/SUMIFS(Import!$O:$O,Import!$S:$S,"2500"),0),IFERROR(Interior!H21,0))</f>
        <v>3.0949640287769786</v>
      </c>
      <c r="G47" s="16">
        <f>C47*D47</f>
        <v>9757.5</v>
      </c>
      <c r="H47" s="16">
        <f>C47*E47</f>
        <v>442.5</v>
      </c>
      <c r="I47" s="16">
        <f>C47*F47</f>
        <v>2151</v>
      </c>
      <c r="J47" s="16">
        <f>IFERROR(Interior!I21,0)</f>
        <v>259</v>
      </c>
      <c r="K47" s="16">
        <f>IFERROR(Interior!I21,0)</f>
        <v>259</v>
      </c>
      <c r="N47" s="18">
        <v>700</v>
      </c>
      <c r="O47" s="19">
        <f>N47-C47</f>
        <v>5</v>
      </c>
      <c r="P47" s="5" t="s">
        <v>560</v>
      </c>
      <c r="Q47" s="16">
        <f>SUMIFS(Import!$O:$O,Import!$S:$S,"2500")</f>
        <v>217.59974121906944</v>
      </c>
      <c r="R47" s="16">
        <f>Q47-C47</f>
        <v>-477.40025878093059</v>
      </c>
      <c r="S47" s="90">
        <f>IFERROR((Q47-C47)/C47,0)</f>
        <v>-0.68690684716680661</v>
      </c>
    </row>
    <row r="48" spans="1:19" x14ac:dyDescent="0.3">
      <c r="A48" s="5">
        <v>2600</v>
      </c>
      <c r="B48" s="5" t="s">
        <v>9</v>
      </c>
      <c r="C48" s="16">
        <f>IF(P48="MDO",Q48,IFERROR(Interior!E41,0))</f>
        <v>60</v>
      </c>
      <c r="D48" s="17" cm="1">
        <f t="array" ref="D48">IF(P48="MDO",IFERROR(SUMPRODUCT((Import!$S$2:$S$53="2600")*Import!$O$2:$O$53*Import!$P$2:$P$53)/SUMIFS(Import!$O:$O,Import!$S:$S,"2600"),0),IFERROR(Interior!F41,0))</f>
        <v>20.166666666666668</v>
      </c>
      <c r="E48" s="17" cm="1">
        <f t="array" ref="E48">IF(P48="MDO",IFERROR(SUMPRODUCT((Import!$S$2:$S$53="2600")*Import!$O$2:$O$53*Import!$Q$2:$Q$53)/SUMIFS(Import!$O:$O,Import!$S:$S,"2600"),0),IFERROR(Interior!G41,0))</f>
        <v>2</v>
      </c>
      <c r="F48" s="17" cm="1">
        <f t="array" ref="F48">IF(P48="MDO",IFERROR(SUMPRODUCT((Import!$S$2:$S$53="2600")*Import!$O$2:$O$53*Import!$R$2:$R$53)/SUMIFS(Import!$O:$O,Import!$S:$S,"2600"),0),IFERROR(Interior!H41,0))</f>
        <v>2.5833333333333335</v>
      </c>
      <c r="G48" s="16">
        <f>C48*D48</f>
        <v>1210</v>
      </c>
      <c r="H48" s="16">
        <f>C48*E48</f>
        <v>120</v>
      </c>
      <c r="I48" s="16">
        <f>C48*F48</f>
        <v>155</v>
      </c>
      <c r="J48" s="16">
        <f>IFERROR(Interior!I41,0)</f>
        <v>16.5</v>
      </c>
      <c r="K48" s="16">
        <f>IFERROR(Interior!I41,0)</f>
        <v>16.5</v>
      </c>
      <c r="N48" s="18">
        <v>60</v>
      </c>
      <c r="O48" s="19">
        <f>N48-C48</f>
        <v>0</v>
      </c>
      <c r="P48" s="5" t="s">
        <v>560</v>
      </c>
      <c r="Q48" s="16">
        <f>SUMIFS(Import!$O:$O,Import!$S:$S,"2600")</f>
        <v>59.999928644964001</v>
      </c>
      <c r="R48" s="16">
        <f>Q48-C48</f>
        <v>-7.1355035998976746E-5</v>
      </c>
      <c r="S48" s="90">
        <f>IFERROR((Q48-C48)/C48,0)</f>
        <v>-1.1892505999829458E-6</v>
      </c>
    </row>
    <row r="49" spans="1:19" ht="15" thickBot="1" x14ac:dyDescent="0.35">
      <c r="A49" s="28"/>
      <c r="B49" s="28" t="s">
        <v>347</v>
      </c>
      <c r="C49" s="29">
        <f>SUM(C47:C48)</f>
        <v>755</v>
      </c>
      <c r="D49" s="30">
        <f>IFERROR(SUM(G47:G48)/C49,0)</f>
        <v>14.526490066225165</v>
      </c>
      <c r="E49" s="30">
        <f>IFERROR(SUM(H47:H48)/C49,0)</f>
        <v>0.74503311258278149</v>
      </c>
      <c r="F49" s="30">
        <f>IFERROR(SUM(I47:I48)/C49,0)</f>
        <v>3.0543046357615893</v>
      </c>
      <c r="G49" s="29">
        <f>SUM(G47:G48)</f>
        <v>10967.5</v>
      </c>
      <c r="H49" s="29">
        <f>SUM(H47:H48)</f>
        <v>562.5</v>
      </c>
      <c r="I49" s="29">
        <f>SUM(I47:I48)</f>
        <v>2306</v>
      </c>
      <c r="J49" s="29">
        <f>SUM(J47:J48)</f>
        <v>275.5</v>
      </c>
      <c r="K49" s="29">
        <f>SUM(K47:K48)</f>
        <v>275.5</v>
      </c>
      <c r="L49" s="28"/>
      <c r="M49" s="28"/>
      <c r="N49" s="29">
        <f>SUM(N47:N48)</f>
        <v>760</v>
      </c>
      <c r="O49" s="31">
        <f>N49-C49</f>
        <v>5</v>
      </c>
      <c r="P49" s="20"/>
      <c r="Q49" s="21">
        <f>SUM(Q47:Q48)</f>
        <v>277.59966986403344</v>
      </c>
      <c r="R49" s="21">
        <f>Q49-C49</f>
        <v>-477.40033013596656</v>
      </c>
      <c r="S49" s="92">
        <f>IFERROR((Q49-C49)/C49,0)</f>
        <v>-0.6323183180608829</v>
      </c>
    </row>
    <row r="50" spans="1:19" ht="15.6" thickTop="1" thickBot="1" x14ac:dyDescent="0.35">
      <c r="C50" s="16"/>
      <c r="D50" s="17"/>
      <c r="E50" s="17"/>
      <c r="F50" s="17"/>
      <c r="G50" s="16"/>
      <c r="H50" s="16"/>
      <c r="I50" s="16"/>
      <c r="J50" s="16"/>
      <c r="K50" s="16"/>
      <c r="N50" s="16"/>
      <c r="O50" s="19"/>
      <c r="Q50" s="16"/>
      <c r="R50" s="16"/>
      <c r="S50" s="90"/>
    </row>
    <row r="51" spans="1:19" ht="16.8" thickTop="1" thickBot="1" x14ac:dyDescent="0.35">
      <c r="A51" s="32" t="s">
        <v>348</v>
      </c>
      <c r="B51" s="32" t="s">
        <v>349</v>
      </c>
      <c r="C51" s="33">
        <f>C18+C28+C33+C39+C45+C49</f>
        <v>8853.5</v>
      </c>
      <c r="D51" s="34">
        <f>IFERROR((G18+G28+G33+G39+G45+G49)/C51,0)</f>
        <v>18.777093804710002</v>
      </c>
      <c r="E51" s="34">
        <f>IFERROR((H18+H28+H33+H39+H45+H49)/C51,0)</f>
        <v>0.9330095442480375</v>
      </c>
      <c r="F51" s="34">
        <f>IFERROR((I18+I28+I33+I39+I45+I49)/C51,0)</f>
        <v>2.6950302140396456</v>
      </c>
      <c r="G51" s="33">
        <f>G18+G28+G33+G39+G45+G49</f>
        <v>166243</v>
      </c>
      <c r="H51" s="33">
        <f>H18+H28+H33+H39+H45+H49</f>
        <v>8260.4</v>
      </c>
      <c r="I51" s="33">
        <f>I18+I28+I33+I39+I45+I49</f>
        <v>23860.45</v>
      </c>
      <c r="J51" s="33">
        <f>J18+J28+J33+J39+J45+J49</f>
        <v>4201.5249999999996</v>
      </c>
      <c r="K51" s="33">
        <f>K18+K28+K33+K39+K45+K49</f>
        <v>4201.5249999999996</v>
      </c>
      <c r="L51" s="35"/>
      <c r="M51" s="35"/>
      <c r="N51" s="33">
        <f>N18+N28+N33+N39+N45+N49</f>
        <v>8320</v>
      </c>
      <c r="O51" s="36">
        <f>N51-C51</f>
        <v>-533.5</v>
      </c>
      <c r="P51" s="20"/>
      <c r="Q51" s="21">
        <f>Q18+Q28+Q33+Q39+Q45+Q49</f>
        <v>15505.543444027351</v>
      </c>
      <c r="R51" s="21">
        <f>Q51-C51</f>
        <v>6652.0434440273511</v>
      </c>
      <c r="S51" s="92">
        <f>IFERROR((Q51-C51)/C51,0)</f>
        <v>0.75134618444991819</v>
      </c>
    </row>
    <row r="52" spans="1:19" ht="15" thickTop="1" x14ac:dyDescent="0.3"/>
    <row r="53" spans="1:19" ht="18" x14ac:dyDescent="0.35">
      <c r="A53" s="37" t="s">
        <v>350</v>
      </c>
      <c r="B53" s="38"/>
      <c r="C53" s="39" t="s">
        <v>351</v>
      </c>
      <c r="D53" s="39" t="s">
        <v>352</v>
      </c>
      <c r="E53" s="39" t="s">
        <v>353</v>
      </c>
      <c r="F53" s="39" t="s">
        <v>354</v>
      </c>
      <c r="G53" s="39" t="s">
        <v>3</v>
      </c>
    </row>
    <row r="54" spans="1:19" x14ac:dyDescent="0.3">
      <c r="A54" s="40" t="s">
        <v>355</v>
      </c>
      <c r="C54" s="41">
        <f>C51</f>
        <v>8853.5</v>
      </c>
      <c r="D54" s="18">
        <v>24500</v>
      </c>
      <c r="E54" s="42">
        <f>D54-C54</f>
        <v>15646.5</v>
      </c>
      <c r="F54" s="43">
        <f>IFERROR((D54-C54)/D54,0)</f>
        <v>0.63863265306122452</v>
      </c>
      <c r="G54" s="5" t="s">
        <v>356</v>
      </c>
    </row>
    <row r="55" spans="1:19" x14ac:dyDescent="0.3">
      <c r="A55" s="5" t="s">
        <v>411</v>
      </c>
      <c r="B55" s="5" t="s">
        <v>357</v>
      </c>
      <c r="C55" s="18">
        <v>450</v>
      </c>
      <c r="D55" s="16"/>
      <c r="E55" s="19"/>
      <c r="G55" s="5" t="s">
        <v>358</v>
      </c>
    </row>
    <row r="56" spans="1:19" x14ac:dyDescent="0.3">
      <c r="A56" s="44" t="s">
        <v>359</v>
      </c>
      <c r="B56" s="45"/>
      <c r="C56" s="46">
        <f>C54+C55</f>
        <v>9303.5</v>
      </c>
      <c r="D56" s="47">
        <v>24950</v>
      </c>
      <c r="E56" s="48">
        <f>D56-C56</f>
        <v>15646.5</v>
      </c>
      <c r="F56" s="49">
        <f>IFERROR((D56-C56)/D56,0)</f>
        <v>0.62711422845691378</v>
      </c>
      <c r="G56" s="45"/>
    </row>
    <row r="57" spans="1:19" x14ac:dyDescent="0.3">
      <c r="A57" s="5" t="s">
        <v>412</v>
      </c>
      <c r="B57" s="5" t="s">
        <v>360</v>
      </c>
      <c r="C57" s="18">
        <v>1300</v>
      </c>
      <c r="D57" s="16"/>
      <c r="E57" s="19"/>
      <c r="G57" s="5" t="s">
        <v>361</v>
      </c>
    </row>
    <row r="58" spans="1:19" x14ac:dyDescent="0.3">
      <c r="A58" s="44" t="s">
        <v>362</v>
      </c>
      <c r="B58" s="45"/>
      <c r="C58" s="46">
        <f>C56+C57</f>
        <v>10603.5</v>
      </c>
      <c r="D58" s="47">
        <v>28500</v>
      </c>
      <c r="E58" s="48">
        <f>D58-C58</f>
        <v>17896.5</v>
      </c>
      <c r="F58" s="49">
        <f>IFERROR((D58-C58)/D58,0)</f>
        <v>0.62794736842105259</v>
      </c>
      <c r="G58" s="45" t="s">
        <v>363</v>
      </c>
    </row>
    <row r="59" spans="1:19" x14ac:dyDescent="0.3">
      <c r="A59" s="5" t="s">
        <v>413</v>
      </c>
      <c r="B59" s="5" t="s">
        <v>364</v>
      </c>
      <c r="C59" s="18">
        <v>8000</v>
      </c>
      <c r="D59" s="16"/>
      <c r="E59" s="19"/>
      <c r="G59" s="5" t="s">
        <v>365</v>
      </c>
    </row>
    <row r="60" spans="1:19" x14ac:dyDescent="0.3">
      <c r="A60" s="44" t="s">
        <v>366</v>
      </c>
      <c r="B60" s="45"/>
      <c r="C60" s="46">
        <f>C58+C59</f>
        <v>18603.5</v>
      </c>
      <c r="D60" s="47">
        <v>37500</v>
      </c>
      <c r="E60" s="48">
        <f>D60-C60</f>
        <v>18896.5</v>
      </c>
      <c r="F60" s="49">
        <f>IFERROR((D60-C60)/D60,0)</f>
        <v>0.50390666666666661</v>
      </c>
      <c r="G60" s="45" t="s">
        <v>367</v>
      </c>
    </row>
    <row r="61" spans="1:19" x14ac:dyDescent="0.3">
      <c r="A61" s="5" t="s">
        <v>414</v>
      </c>
      <c r="C61" s="18">
        <v>5500</v>
      </c>
      <c r="D61" s="16"/>
      <c r="E61" s="19"/>
      <c r="G61" s="5" t="s">
        <v>368</v>
      </c>
    </row>
    <row r="62" spans="1:19" x14ac:dyDescent="0.3">
      <c r="A62" s="44" t="s">
        <v>369</v>
      </c>
      <c r="B62" s="45"/>
      <c r="C62" s="46">
        <f>C60-C61</f>
        <v>13103.5</v>
      </c>
      <c r="D62" s="47">
        <v>33000</v>
      </c>
      <c r="E62" s="48">
        <f>D62-C62</f>
        <v>19896.5</v>
      </c>
      <c r="F62" s="49">
        <f>IFERROR((D62-C62)/D62,0)</f>
        <v>0.60292424242424247</v>
      </c>
      <c r="G62" s="45" t="s">
        <v>370</v>
      </c>
    </row>
    <row r="64" spans="1:19" ht="15.6" x14ac:dyDescent="0.3">
      <c r="A64" s="100" t="s">
        <v>561</v>
      </c>
      <c r="B64" s="101"/>
      <c r="C64" s="101"/>
      <c r="D64" s="101"/>
      <c r="E64" s="101"/>
      <c r="F64" s="101"/>
      <c r="G64" s="102"/>
    </row>
    <row r="65" spans="1:7" x14ac:dyDescent="0.3">
      <c r="A65" s="103" t="s">
        <v>562</v>
      </c>
      <c r="B65" s="101"/>
      <c r="C65" s="101"/>
      <c r="D65" s="101"/>
      <c r="E65" s="101"/>
      <c r="F65" s="101"/>
      <c r="G65" s="102"/>
    </row>
    <row r="67" spans="1:7" x14ac:dyDescent="0.3">
      <c r="A67" s="86" t="s">
        <v>549</v>
      </c>
      <c r="B67" s="86" t="s">
        <v>563</v>
      </c>
      <c r="C67" s="86" t="s">
        <v>564</v>
      </c>
      <c r="D67" s="86" t="s">
        <v>565</v>
      </c>
      <c r="E67" s="86" t="s">
        <v>566</v>
      </c>
      <c r="F67" s="86" t="s">
        <v>37</v>
      </c>
    </row>
    <row r="68" spans="1:7" x14ac:dyDescent="0.3">
      <c r="A68" s="5" t="s">
        <v>407</v>
      </c>
      <c r="B68" s="16">
        <f>C18</f>
        <v>4470</v>
      </c>
      <c r="C68" s="16">
        <f>Q18</f>
        <v>11942.941933585289</v>
      </c>
      <c r="D68" s="16">
        <f t="shared" ref="D68:D73" si="12">MAX(0, C68-B68)</f>
        <v>7472.941933585289</v>
      </c>
      <c r="E68" s="43">
        <f t="shared" ref="E68:E74" si="13">IFERROR(D68/C68,0)</f>
        <v>0.62572036062323055</v>
      </c>
      <c r="F68" s="5" t="str">
        <f t="shared" ref="F68:F74" si="14">IF(C68=0,"no MDO data",IF(D68=0,"✓ closed",IF(E68&lt;0.05,"near closure",IF(E68&lt;0.2,"normal gap","wide gap — investigate"))))</f>
        <v>wide gap — investigate</v>
      </c>
    </row>
    <row r="69" spans="1:7" x14ac:dyDescent="0.3">
      <c r="A69" s="5" t="s">
        <v>408</v>
      </c>
      <c r="B69" s="16">
        <f>C28</f>
        <v>827</v>
      </c>
      <c r="C69" s="16">
        <f>Q28</f>
        <v>600.30602482904987</v>
      </c>
      <c r="D69" s="16">
        <f t="shared" si="12"/>
        <v>0</v>
      </c>
      <c r="E69" s="43">
        <f t="shared" si="13"/>
        <v>0</v>
      </c>
      <c r="F69" s="5" t="str">
        <f t="shared" si="14"/>
        <v>✓ closed</v>
      </c>
    </row>
    <row r="70" spans="1:7" x14ac:dyDescent="0.3">
      <c r="A70" s="5" t="s">
        <v>113</v>
      </c>
      <c r="B70" s="16">
        <f>C33</f>
        <v>994.5</v>
      </c>
      <c r="C70" s="16">
        <f>Q33</f>
        <v>489.79136994392121</v>
      </c>
      <c r="D70" s="16">
        <f t="shared" si="12"/>
        <v>0</v>
      </c>
      <c r="E70" s="43">
        <f t="shared" si="13"/>
        <v>0</v>
      </c>
      <c r="F70" s="5" t="str">
        <f t="shared" si="14"/>
        <v>✓ closed</v>
      </c>
    </row>
    <row r="71" spans="1:7" x14ac:dyDescent="0.3">
      <c r="A71" s="5" t="s">
        <v>112</v>
      </c>
      <c r="B71" s="16">
        <f>C39</f>
        <v>204</v>
      </c>
      <c r="C71" s="16">
        <f>Q39</f>
        <v>1321.874925805058</v>
      </c>
      <c r="D71" s="16">
        <f t="shared" si="12"/>
        <v>1117.874925805058</v>
      </c>
      <c r="E71" s="43">
        <f t="shared" si="13"/>
        <v>0.84567375020313784</v>
      </c>
      <c r="F71" s="5" t="str">
        <f t="shared" si="14"/>
        <v>wide gap — investigate</v>
      </c>
    </row>
    <row r="72" spans="1:7" x14ac:dyDescent="0.3">
      <c r="A72" s="5" t="s">
        <v>409</v>
      </c>
      <c r="B72" s="16">
        <f>C45</f>
        <v>1603</v>
      </c>
      <c r="C72" s="16">
        <f>Q45</f>
        <v>873.02951999999982</v>
      </c>
      <c r="D72" s="16">
        <f t="shared" si="12"/>
        <v>0</v>
      </c>
      <c r="E72" s="43">
        <f t="shared" si="13"/>
        <v>0</v>
      </c>
      <c r="F72" s="5" t="str">
        <f t="shared" si="14"/>
        <v>✓ closed</v>
      </c>
    </row>
    <row r="73" spans="1:7" ht="15" thickBot="1" x14ac:dyDescent="0.35">
      <c r="A73" s="5" t="s">
        <v>410</v>
      </c>
      <c r="B73" s="16">
        <f>C49</f>
        <v>755</v>
      </c>
      <c r="C73" s="16">
        <f>Q49</f>
        <v>277.59966986403344</v>
      </c>
      <c r="D73" s="16">
        <f t="shared" si="12"/>
        <v>0</v>
      </c>
      <c r="E73" s="43">
        <f t="shared" si="13"/>
        <v>0</v>
      </c>
      <c r="F73" s="5" t="str">
        <f t="shared" si="14"/>
        <v>✓ closed</v>
      </c>
    </row>
    <row r="74" spans="1:7" ht="15" thickTop="1" x14ac:dyDescent="0.3">
      <c r="A74" s="91" t="s">
        <v>81</v>
      </c>
      <c r="B74" s="93">
        <f>SUM(B68:B73)</f>
        <v>8853.5</v>
      </c>
      <c r="C74" s="93">
        <f>SUM(C68:C73)</f>
        <v>15505.543444027351</v>
      </c>
      <c r="D74" s="93">
        <f>SUM(D68:D73)</f>
        <v>8590.8168593903465</v>
      </c>
      <c r="E74" s="94">
        <f t="shared" si="13"/>
        <v>0.55404809837216518</v>
      </c>
      <c r="F74" s="91" t="str">
        <f t="shared" si="14"/>
        <v>wide gap — investigate</v>
      </c>
    </row>
  </sheetData>
  <mergeCells count="9">
    <mergeCell ref="A64:G64"/>
    <mergeCell ref="A65:G65"/>
    <mergeCell ref="A7:K7"/>
    <mergeCell ref="A8:K8"/>
    <mergeCell ref="D1:K1"/>
    <mergeCell ref="D2:K2"/>
    <mergeCell ref="D3:K3"/>
    <mergeCell ref="D4:K4"/>
    <mergeCell ref="D5:K5"/>
  </mergeCells>
  <conditionalFormatting sqref="E54 O12:O49">
    <cfRule type="cellIs" dxfId="56" priority="1" operator="lessThan">
      <formula>0</formula>
    </cfRule>
  </conditionalFormatting>
  <conditionalFormatting sqref="E54 O12:O49">
    <cfRule type="cellIs" dxfId="55" priority="2" operator="greaterThan">
      <formula>0</formula>
    </cfRule>
  </conditionalFormatting>
  <conditionalFormatting sqref="E56">
    <cfRule type="cellIs" dxfId="54" priority="3" operator="lessThan">
      <formula>0</formula>
    </cfRule>
  </conditionalFormatting>
  <conditionalFormatting sqref="E56">
    <cfRule type="cellIs" dxfId="53" priority="4" operator="greaterThan">
      <formula>0</formula>
    </cfRule>
  </conditionalFormatting>
  <conditionalFormatting sqref="E58">
    <cfRule type="cellIs" dxfId="52" priority="5" operator="lessThan">
      <formula>0</formula>
    </cfRule>
  </conditionalFormatting>
  <conditionalFormatting sqref="E58">
    <cfRule type="cellIs" dxfId="51" priority="6" operator="greaterThan">
      <formula>0</formula>
    </cfRule>
  </conditionalFormatting>
  <conditionalFormatting sqref="E60">
    <cfRule type="cellIs" dxfId="50" priority="7" operator="lessThan">
      <formula>0</formula>
    </cfRule>
  </conditionalFormatting>
  <conditionalFormatting sqref="E60">
    <cfRule type="cellIs" dxfId="49" priority="8" operator="greaterThan">
      <formula>0</formula>
    </cfRule>
  </conditionalFormatting>
  <conditionalFormatting sqref="E62">
    <cfRule type="cellIs" dxfId="48" priority="9" operator="lessThan">
      <formula>0</formula>
    </cfRule>
  </conditionalFormatting>
  <conditionalFormatting sqref="E62">
    <cfRule type="cellIs" dxfId="47" priority="10" operator="greaterThan">
      <formula>0</formula>
    </cfRule>
  </conditionalFormatting>
  <conditionalFormatting sqref="F54">
    <cfRule type="cellIs" dxfId="46" priority="11" operator="lessThan">
      <formula>0</formula>
    </cfRule>
  </conditionalFormatting>
  <conditionalFormatting sqref="F54">
    <cfRule type="cellIs" dxfId="45" priority="12" operator="greaterThan">
      <formula>0</formula>
    </cfRule>
  </conditionalFormatting>
  <conditionalFormatting sqref="F56">
    <cfRule type="cellIs" dxfId="44" priority="13" operator="lessThan">
      <formula>0</formula>
    </cfRule>
  </conditionalFormatting>
  <conditionalFormatting sqref="F56">
    <cfRule type="cellIs" dxfId="43" priority="14" operator="greaterThan">
      <formula>0</formula>
    </cfRule>
  </conditionalFormatting>
  <conditionalFormatting sqref="F58">
    <cfRule type="cellIs" dxfId="42" priority="15" operator="lessThan">
      <formula>0</formula>
    </cfRule>
  </conditionalFormatting>
  <conditionalFormatting sqref="F58">
    <cfRule type="cellIs" dxfId="41" priority="16" operator="greaterThan">
      <formula>0</formula>
    </cfRule>
  </conditionalFormatting>
  <conditionalFormatting sqref="F60">
    <cfRule type="cellIs" dxfId="40" priority="17" operator="lessThan">
      <formula>0</formula>
    </cfRule>
  </conditionalFormatting>
  <conditionalFormatting sqref="F60">
    <cfRule type="cellIs" dxfId="39" priority="18" operator="greaterThan">
      <formula>0</formula>
    </cfRule>
  </conditionalFormatting>
  <conditionalFormatting sqref="F62">
    <cfRule type="cellIs" dxfId="38" priority="19" operator="lessThan">
      <formula>0</formula>
    </cfRule>
  </conditionalFormatting>
  <conditionalFormatting sqref="F62">
    <cfRule type="cellIs" dxfId="37" priority="20" operator="greaterThan">
      <formula>0</formula>
    </cfRule>
  </conditionalFormatting>
  <conditionalFormatting sqref="O51">
    <cfRule type="cellIs" dxfId="36" priority="23" operator="lessThan">
      <formula>0</formula>
    </cfRule>
  </conditionalFormatting>
  <conditionalFormatting sqref="O51">
    <cfRule type="cellIs" dxfId="35" priority="24" operator="greaterThan">
      <formula>0</formula>
    </cfRule>
  </conditionalFormatting>
  <dataValidations count="2">
    <dataValidation type="list" allowBlank="1" showInputMessage="1" showErrorMessage="1" sqref="B2" xr:uid="{EEC28524-8CA8-4167-964C-05EDFB513CD9}">
      <formula1>"Draft,Released,Frozen,Archived"</formula1>
    </dataValidation>
    <dataValidation type="list" allowBlank="1" showInputMessage="1" showErrorMessage="1" sqref="P12:P17 P20:P27 P30:P32 P35:P38 P41:P44 P47:P48" xr:uid="{CCD1776B-0EF8-445D-A5A8-8C703A716A2D}">
      <formula1>"Bottom-up,MDO"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workbookViewId="0">
      <pane ySplit="4" topLeftCell="A5" activePane="bottomLeft" state="frozen"/>
      <selection pane="bottomLeft" activeCell="F42" sqref="F42"/>
    </sheetView>
  </sheetViews>
  <sheetFormatPr defaultRowHeight="14.4" x14ac:dyDescent="0.3"/>
  <cols>
    <col min="1" max="1" width="9.21875" style="5" customWidth="1"/>
    <col min="2" max="2" width="33.33203125" style="5" customWidth="1"/>
    <col min="3" max="3" width="20.33203125" style="5" customWidth="1"/>
    <col min="4" max="4" width="18.5546875" style="5" customWidth="1"/>
    <col min="5" max="5" width="24.109375" style="5" customWidth="1"/>
    <col min="6" max="6" width="51.88671875" style="5" customWidth="1"/>
    <col min="7" max="16384" width="8.88671875" style="5"/>
  </cols>
  <sheetData>
    <row r="1" spans="1:6" ht="18" x14ac:dyDescent="0.35">
      <c r="A1" s="11" t="s">
        <v>45</v>
      </c>
    </row>
    <row r="2" spans="1:6" x14ac:dyDescent="0.3">
      <c r="A2" s="12" t="s">
        <v>46</v>
      </c>
    </row>
    <row r="4" spans="1:6" x14ac:dyDescent="0.3">
      <c r="A4" s="50" t="s">
        <v>1</v>
      </c>
      <c r="B4" s="51" t="s">
        <v>47</v>
      </c>
      <c r="C4" s="52" t="s">
        <v>77</v>
      </c>
      <c r="D4" s="52" t="s">
        <v>78</v>
      </c>
      <c r="E4" s="52" t="s">
        <v>48</v>
      </c>
      <c r="F4" s="53" t="s">
        <v>3</v>
      </c>
    </row>
    <row r="5" spans="1:6" x14ac:dyDescent="0.3">
      <c r="A5" s="54">
        <v>21</v>
      </c>
      <c r="B5" s="55" t="s">
        <v>4</v>
      </c>
      <c r="C5" s="56">
        <v>187.39269999999999</v>
      </c>
      <c r="D5" s="57">
        <f>'Roll Up'!D15</f>
        <v>9.1612903225806459</v>
      </c>
      <c r="E5" s="58">
        <f t="shared" ref="E5:E34" si="0">D5-C5</f>
        <v>-178.23140967741935</v>
      </c>
      <c r="F5" s="59"/>
    </row>
    <row r="6" spans="1:6" x14ac:dyDescent="0.3">
      <c r="A6" s="54">
        <v>22</v>
      </c>
      <c r="B6" s="55" t="s">
        <v>5</v>
      </c>
      <c r="C6" s="56">
        <v>41.887779999999999</v>
      </c>
      <c r="D6" s="57">
        <f>'Roll Up'!D20</f>
        <v>17.743589743589745</v>
      </c>
      <c r="E6" s="58">
        <f t="shared" si="0"/>
        <v>-24.144190256410255</v>
      </c>
      <c r="F6" s="59"/>
    </row>
    <row r="7" spans="1:6" x14ac:dyDescent="0.3">
      <c r="A7" s="54">
        <v>23</v>
      </c>
      <c r="B7" s="55" t="s">
        <v>6</v>
      </c>
      <c r="C7" s="56">
        <v>55.115499999999997</v>
      </c>
      <c r="D7" s="57">
        <f>'Roll Up'!D26</f>
        <v>25</v>
      </c>
      <c r="E7" s="58">
        <f t="shared" si="0"/>
        <v>-30.115499999999997</v>
      </c>
      <c r="F7" s="59"/>
    </row>
    <row r="8" spans="1:6" x14ac:dyDescent="0.3">
      <c r="A8" s="54">
        <v>24</v>
      </c>
      <c r="B8" s="55" t="s">
        <v>7</v>
      </c>
      <c r="C8" s="56">
        <v>374.78539999999998</v>
      </c>
      <c r="D8" s="57">
        <f>'Roll Up'!D34</f>
        <v>0</v>
      </c>
      <c r="E8" s="58">
        <f t="shared" si="0"/>
        <v>-374.78539999999998</v>
      </c>
      <c r="F8" s="59"/>
    </row>
    <row r="9" spans="1:6" x14ac:dyDescent="0.3">
      <c r="A9" s="54">
        <v>25</v>
      </c>
      <c r="B9" s="55" t="s">
        <v>8</v>
      </c>
      <c r="C9" s="56">
        <v>1807.7883999999999</v>
      </c>
      <c r="D9" s="57">
        <f>'Roll Up'!D42</f>
        <v>27.84</v>
      </c>
      <c r="E9" s="58">
        <f t="shared" si="0"/>
        <v>-1779.9484</v>
      </c>
      <c r="F9" s="59"/>
    </row>
    <row r="10" spans="1:6" x14ac:dyDescent="0.3">
      <c r="A10" s="54">
        <v>26</v>
      </c>
      <c r="B10" s="55" t="s">
        <v>9</v>
      </c>
      <c r="C10" s="56">
        <v>77.161699999999996</v>
      </c>
      <c r="D10" s="57">
        <f>'Roll Up'!D47</f>
        <v>14.03956834532374</v>
      </c>
      <c r="E10" s="58">
        <f t="shared" si="0"/>
        <v>-63.122131654676252</v>
      </c>
      <c r="F10" s="59"/>
    </row>
    <row r="11" spans="1:6" x14ac:dyDescent="0.3">
      <c r="A11" s="54">
        <v>27</v>
      </c>
      <c r="B11" s="55" t="s">
        <v>10</v>
      </c>
      <c r="C11" s="56">
        <v>749.57079999999996</v>
      </c>
      <c r="D11" s="57">
        <f>'Roll Up'!D58</f>
        <v>28500</v>
      </c>
      <c r="E11" s="58">
        <f t="shared" si="0"/>
        <v>27750.429199999999</v>
      </c>
      <c r="F11" s="59"/>
    </row>
    <row r="12" spans="1:6" x14ac:dyDescent="0.3">
      <c r="A12" s="54">
        <v>28</v>
      </c>
      <c r="B12" s="55" t="s">
        <v>11</v>
      </c>
      <c r="C12" s="56">
        <v>13889.105999999998</v>
      </c>
      <c r="D12" s="57">
        <f>'Roll Up'!D65</f>
        <v>0</v>
      </c>
      <c r="E12" s="58">
        <f t="shared" si="0"/>
        <v>-13889.105999999998</v>
      </c>
      <c r="F12" s="59"/>
    </row>
    <row r="13" spans="1:6" x14ac:dyDescent="0.3">
      <c r="A13" s="54">
        <v>29</v>
      </c>
      <c r="B13" s="55" t="s">
        <v>12</v>
      </c>
      <c r="C13" s="56">
        <v>114.64023999999999</v>
      </c>
      <c r="D13" s="57">
        <f>'Roll Up'!D71</f>
        <v>1117.874925805058</v>
      </c>
      <c r="E13" s="58">
        <f t="shared" si="0"/>
        <v>1003.234685805058</v>
      </c>
      <c r="F13" s="59"/>
    </row>
    <row r="14" spans="1:6" x14ac:dyDescent="0.3">
      <c r="A14" s="54">
        <v>30</v>
      </c>
      <c r="B14" s="55" t="s">
        <v>13</v>
      </c>
      <c r="C14" s="56">
        <v>105.82175999999998</v>
      </c>
      <c r="D14" s="57">
        <f>'Roll Up'!D76</f>
        <v>0</v>
      </c>
      <c r="E14" s="58">
        <f t="shared" si="0"/>
        <v>-105.82175999999998</v>
      </c>
      <c r="F14" s="59"/>
    </row>
    <row r="15" spans="1:6" x14ac:dyDescent="0.3">
      <c r="A15" s="54">
        <v>31</v>
      </c>
      <c r="B15" s="55" t="s">
        <v>14</v>
      </c>
      <c r="C15" s="56">
        <v>101.41251999999999</v>
      </c>
      <c r="D15" s="57">
        <f>'Roll Up'!D80</f>
        <v>0</v>
      </c>
      <c r="E15" s="58">
        <f t="shared" si="0"/>
        <v>-101.41251999999999</v>
      </c>
      <c r="F15" s="59"/>
    </row>
    <row r="16" spans="1:6" x14ac:dyDescent="0.3">
      <c r="A16" s="54">
        <v>32</v>
      </c>
      <c r="B16" s="55" t="s">
        <v>15</v>
      </c>
      <c r="C16" s="56">
        <v>2425.0819999999999</v>
      </c>
      <c r="D16" s="57">
        <f>'Roll Up'!D87</f>
        <v>0</v>
      </c>
      <c r="E16" s="58">
        <f t="shared" si="0"/>
        <v>-2425.0819999999999</v>
      </c>
      <c r="F16" s="59"/>
    </row>
    <row r="17" spans="1:6" x14ac:dyDescent="0.3">
      <c r="A17" s="54">
        <v>33</v>
      </c>
      <c r="B17" s="55" t="s">
        <v>16</v>
      </c>
      <c r="C17" s="56">
        <v>74.957079999999991</v>
      </c>
      <c r="D17" s="57">
        <f>'Roll Up'!D92</f>
        <v>0</v>
      </c>
      <c r="E17" s="58">
        <f t="shared" si="0"/>
        <v>-74.957079999999991</v>
      </c>
      <c r="F17" s="59"/>
    </row>
    <row r="18" spans="1:6" x14ac:dyDescent="0.3">
      <c r="A18" s="54">
        <v>34</v>
      </c>
      <c r="B18" s="55" t="s">
        <v>17</v>
      </c>
      <c r="C18" s="56">
        <v>138.89105999999998</v>
      </c>
      <c r="D18" s="57">
        <f>'Roll Up'!D99</f>
        <v>0</v>
      </c>
      <c r="E18" s="58">
        <f t="shared" si="0"/>
        <v>-138.89105999999998</v>
      </c>
      <c r="F18" s="59"/>
    </row>
    <row r="19" spans="1:6" x14ac:dyDescent="0.3">
      <c r="A19" s="54">
        <v>35</v>
      </c>
      <c r="B19" s="55" t="s">
        <v>18</v>
      </c>
      <c r="C19" s="56">
        <v>132.27719999999999</v>
      </c>
      <c r="D19" s="57">
        <f>'Roll Up'!D103</f>
        <v>0</v>
      </c>
      <c r="E19" s="58">
        <f t="shared" si="0"/>
        <v>-132.27719999999999</v>
      </c>
      <c r="F19" s="59"/>
    </row>
    <row r="20" spans="1:6" x14ac:dyDescent="0.3">
      <c r="A20" s="54">
        <v>36</v>
      </c>
      <c r="B20" s="55" t="s">
        <v>19</v>
      </c>
      <c r="C20" s="56">
        <v>209.43889999999999</v>
      </c>
      <c r="D20" s="57">
        <f>'Roll Up'!D107</f>
        <v>0</v>
      </c>
      <c r="E20" s="58">
        <f t="shared" si="0"/>
        <v>-209.43889999999999</v>
      </c>
      <c r="F20" s="59"/>
    </row>
    <row r="21" spans="1:6" x14ac:dyDescent="0.3">
      <c r="A21" s="54">
        <v>38</v>
      </c>
      <c r="B21" s="55" t="s">
        <v>20</v>
      </c>
      <c r="C21" s="56">
        <v>308.64679999999998</v>
      </c>
      <c r="D21" s="57">
        <f>'Roll Up'!D111</f>
        <v>0</v>
      </c>
      <c r="E21" s="58">
        <f t="shared" si="0"/>
        <v>-308.64679999999998</v>
      </c>
      <c r="F21" s="59"/>
    </row>
    <row r="22" spans="1:6" x14ac:dyDescent="0.3">
      <c r="A22" s="54">
        <v>49</v>
      </c>
      <c r="B22" s="55" t="s">
        <v>21</v>
      </c>
      <c r="C22" s="56">
        <v>396.83159999999998</v>
      </c>
      <c r="D22" s="57">
        <f>'Roll Up'!D116</f>
        <v>0</v>
      </c>
      <c r="E22" s="58">
        <f t="shared" si="0"/>
        <v>-396.83159999999998</v>
      </c>
      <c r="F22" s="59"/>
    </row>
    <row r="23" spans="1:6" x14ac:dyDescent="0.3">
      <c r="A23" s="54">
        <v>52</v>
      </c>
      <c r="B23" s="55" t="s">
        <v>22</v>
      </c>
      <c r="C23" s="56">
        <v>595.24739999999997</v>
      </c>
      <c r="D23" s="57">
        <f>'Roll Up'!D124</f>
        <v>0</v>
      </c>
      <c r="E23" s="58">
        <f t="shared" si="0"/>
        <v>-595.24739999999997</v>
      </c>
      <c r="F23" s="59"/>
    </row>
    <row r="24" spans="1:6" x14ac:dyDescent="0.3">
      <c r="A24" s="54">
        <v>53</v>
      </c>
      <c r="B24" s="55" t="s">
        <v>23</v>
      </c>
      <c r="C24" s="56">
        <v>4938.3487999999998</v>
      </c>
      <c r="D24" s="57">
        <f>'Roll Up'!D130</f>
        <v>0</v>
      </c>
      <c r="E24" s="58">
        <f t="shared" si="0"/>
        <v>-4938.3487999999998</v>
      </c>
      <c r="F24" s="59"/>
    </row>
    <row r="25" spans="1:6" x14ac:dyDescent="0.3">
      <c r="A25" s="54">
        <v>54</v>
      </c>
      <c r="B25" s="55" t="s">
        <v>24</v>
      </c>
      <c r="C25" s="56">
        <v>1245.6102999999998</v>
      </c>
      <c r="D25" s="57">
        <f>'Roll Up'!D136</f>
        <v>0</v>
      </c>
      <c r="E25" s="58">
        <f t="shared" si="0"/>
        <v>-1245.6102999999998</v>
      </c>
      <c r="F25" s="59"/>
    </row>
    <row r="26" spans="1:6" x14ac:dyDescent="0.3">
      <c r="A26" s="54">
        <v>55</v>
      </c>
      <c r="B26" s="55" t="s">
        <v>25</v>
      </c>
      <c r="C26" s="56">
        <v>1300.7257999999999</v>
      </c>
      <c r="D26" s="57">
        <f>'Roll Up'!D140</f>
        <v>0</v>
      </c>
      <c r="E26" s="58">
        <f t="shared" si="0"/>
        <v>-1300.7257999999999</v>
      </c>
      <c r="F26" s="59"/>
    </row>
    <row r="27" spans="1:6" x14ac:dyDescent="0.3">
      <c r="A27" s="54">
        <v>56</v>
      </c>
      <c r="B27" s="55" t="s">
        <v>26</v>
      </c>
      <c r="C27" s="56">
        <v>485.01639999999998</v>
      </c>
      <c r="D27" s="57">
        <f>'Roll Up'!D144</f>
        <v>0</v>
      </c>
      <c r="E27" s="58">
        <f t="shared" si="0"/>
        <v>-485.01639999999998</v>
      </c>
      <c r="F27" s="59"/>
    </row>
    <row r="28" spans="1:6" x14ac:dyDescent="0.3">
      <c r="A28" s="54">
        <v>57</v>
      </c>
      <c r="B28" s="55" t="s">
        <v>27</v>
      </c>
      <c r="C28" s="56">
        <v>3615.5767999999998</v>
      </c>
      <c r="D28" s="57">
        <f>'Roll Up'!D152</f>
        <v>0</v>
      </c>
      <c r="E28" s="58">
        <f t="shared" si="0"/>
        <v>-3615.5767999999998</v>
      </c>
      <c r="F28" s="59"/>
    </row>
    <row r="29" spans="1:6" x14ac:dyDescent="0.3">
      <c r="A29" s="54">
        <v>71</v>
      </c>
      <c r="B29" s="55" t="s">
        <v>28</v>
      </c>
      <c r="C29" s="56">
        <v>3483.2995999999998</v>
      </c>
      <c r="D29" s="57">
        <f>'Roll Up'!D158</f>
        <v>0</v>
      </c>
      <c r="E29" s="58">
        <f t="shared" si="0"/>
        <v>-3483.2995999999998</v>
      </c>
      <c r="F29" s="59"/>
    </row>
    <row r="30" spans="1:6" x14ac:dyDescent="0.3">
      <c r="A30" s="54">
        <v>73</v>
      </c>
      <c r="B30" s="55" t="s">
        <v>29</v>
      </c>
      <c r="C30" s="56">
        <v>85.98017999999999</v>
      </c>
      <c r="D30" s="57">
        <f>'Roll Up'!D164</f>
        <v>0</v>
      </c>
      <c r="E30" s="58">
        <f t="shared" si="0"/>
        <v>-85.98017999999999</v>
      </c>
      <c r="F30" s="59"/>
    </row>
    <row r="31" spans="1:6" x14ac:dyDescent="0.3">
      <c r="A31" s="54">
        <v>75</v>
      </c>
      <c r="B31" s="55" t="s">
        <v>30</v>
      </c>
      <c r="C31" s="56">
        <v>59.524739999999994</v>
      </c>
      <c r="D31" s="57">
        <f>'Roll Up'!D168</f>
        <v>0</v>
      </c>
      <c r="E31" s="58">
        <f t="shared" si="0"/>
        <v>-59.524739999999994</v>
      </c>
      <c r="F31" s="59"/>
    </row>
    <row r="32" spans="1:6" x14ac:dyDescent="0.3">
      <c r="A32" s="54">
        <v>78</v>
      </c>
      <c r="B32" s="55" t="s">
        <v>31</v>
      </c>
      <c r="C32" s="56">
        <v>540.13189999999997</v>
      </c>
      <c r="D32" s="57">
        <f>'Roll Up'!D174</f>
        <v>0</v>
      </c>
      <c r="E32" s="58">
        <f t="shared" si="0"/>
        <v>-540.13189999999997</v>
      </c>
      <c r="F32" s="59"/>
    </row>
    <row r="33" spans="1:6" x14ac:dyDescent="0.3">
      <c r="A33" s="54">
        <v>79</v>
      </c>
      <c r="B33" s="55" t="s">
        <v>32</v>
      </c>
      <c r="C33" s="56">
        <v>85.98017999999999</v>
      </c>
      <c r="D33" s="57">
        <f>'Roll Up'!D179</f>
        <v>0</v>
      </c>
      <c r="E33" s="58">
        <f t="shared" si="0"/>
        <v>-85.98017999999999</v>
      </c>
      <c r="F33" s="59"/>
    </row>
    <row r="34" spans="1:6" x14ac:dyDescent="0.3">
      <c r="A34" s="60">
        <v>80</v>
      </c>
      <c r="B34" s="61" t="s">
        <v>33</v>
      </c>
      <c r="C34" s="62">
        <v>44.092399999999998</v>
      </c>
      <c r="D34" s="63">
        <f>'Roll Up'!D183</f>
        <v>0</v>
      </c>
      <c r="E34" s="64">
        <f t="shared" si="0"/>
        <v>-44.092399999999998</v>
      </c>
      <c r="F34" s="65"/>
    </row>
    <row r="37" spans="1:6" ht="15.6" x14ac:dyDescent="0.3">
      <c r="A37" s="66" t="s">
        <v>70</v>
      </c>
      <c r="B37" s="51" t="s">
        <v>47</v>
      </c>
      <c r="C37" s="52" t="s">
        <v>77</v>
      </c>
      <c r="D37" s="52" t="s">
        <v>78</v>
      </c>
      <c r="E37" s="52" t="s">
        <v>48</v>
      </c>
      <c r="F37" s="53" t="s">
        <v>3</v>
      </c>
    </row>
    <row r="38" spans="1:6" x14ac:dyDescent="0.3">
      <c r="A38" s="67" t="s">
        <v>49</v>
      </c>
      <c r="B38" s="55" t="s">
        <v>50</v>
      </c>
      <c r="C38" s="56">
        <v>23589.433999999997</v>
      </c>
      <c r="D38" s="57">
        <f>'Roll Up'!D187-'Roll Up'!D65</f>
        <v>0</v>
      </c>
      <c r="E38" s="68">
        <f>IF(C38="","",D38-C38)</f>
        <v>-23589.433999999997</v>
      </c>
      <c r="F38" s="59" t="s">
        <v>51</v>
      </c>
    </row>
    <row r="39" spans="1:6" x14ac:dyDescent="0.3">
      <c r="A39" s="67" t="s">
        <v>52</v>
      </c>
      <c r="B39" s="55" t="s">
        <v>53</v>
      </c>
      <c r="C39" s="56">
        <v>24300</v>
      </c>
      <c r="D39" s="58">
        <f>D38</f>
        <v>0</v>
      </c>
      <c r="E39" s="68">
        <f>IF(C39="","",D39-C39)</f>
        <v>-24300</v>
      </c>
      <c r="F39" s="59" t="s">
        <v>54</v>
      </c>
    </row>
    <row r="40" spans="1:6" x14ac:dyDescent="0.3">
      <c r="A40" s="67" t="s">
        <v>55</v>
      </c>
      <c r="B40" s="55" t="s">
        <v>56</v>
      </c>
      <c r="C40" s="56">
        <v>28660.059999999998</v>
      </c>
      <c r="D40" s="58">
        <f>D39</f>
        <v>0</v>
      </c>
      <c r="E40" s="68">
        <f>IF(C40="","",D40-C40)</f>
        <v>-28660.059999999998</v>
      </c>
      <c r="F40" s="59" t="s">
        <v>57</v>
      </c>
    </row>
    <row r="41" spans="1:6" x14ac:dyDescent="0.3">
      <c r="A41" s="67" t="s">
        <v>58</v>
      </c>
      <c r="B41" s="55" t="s">
        <v>59</v>
      </c>
      <c r="C41" s="56">
        <v>29100.983999999997</v>
      </c>
      <c r="D41" s="68"/>
      <c r="E41" s="68" t="str">
        <f>IF(OR(C41="",D41=""),"",D41-C41)</f>
        <v/>
      </c>
      <c r="F41" s="59" t="s">
        <v>60</v>
      </c>
    </row>
    <row r="42" spans="1:6" x14ac:dyDescent="0.3">
      <c r="A42" s="67" t="s">
        <v>61</v>
      </c>
      <c r="B42" s="55" t="s">
        <v>62</v>
      </c>
      <c r="C42" s="56">
        <v>37699.001999999993</v>
      </c>
      <c r="D42" s="68"/>
      <c r="E42" s="68" t="str">
        <f>IF(OR(C42="",D42=""),"",D42-C42)</f>
        <v/>
      </c>
      <c r="F42" s="59" t="s">
        <v>63</v>
      </c>
    </row>
    <row r="43" spans="1:6" x14ac:dyDescent="0.3">
      <c r="A43" s="67" t="s">
        <v>64</v>
      </c>
      <c r="B43" s="55" t="s">
        <v>65</v>
      </c>
      <c r="C43" s="56">
        <v>40565.007999999994</v>
      </c>
      <c r="D43" s="57">
        <f>'Roll Up'!D187</f>
        <v>0</v>
      </c>
      <c r="E43" s="68">
        <f>IF(C43="","",D43-C43)</f>
        <v>-40565.007999999994</v>
      </c>
      <c r="F43" s="59" t="s">
        <v>66</v>
      </c>
    </row>
    <row r="44" spans="1:6" x14ac:dyDescent="0.3">
      <c r="A44" s="69" t="s">
        <v>67</v>
      </c>
      <c r="B44" s="61" t="s">
        <v>68</v>
      </c>
      <c r="C44" s="62">
        <v>40785.469999999994</v>
      </c>
      <c r="D44" s="70"/>
      <c r="E44" s="70" t="str">
        <f>IF(OR(C44="",D44=""),"",D44-C44)</f>
        <v/>
      </c>
      <c r="F44" s="65" t="s">
        <v>69</v>
      </c>
    </row>
  </sheetData>
  <conditionalFormatting sqref="E5:E34">
    <cfRule type="cellIs" dxfId="34" priority="1" operator="greaterThan">
      <formula>0</formula>
    </cfRule>
  </conditionalFormatting>
  <conditionalFormatting sqref="E5:E34">
    <cfRule type="cellIs" dxfId="33" priority="2" operator="lessThan">
      <formula>0</formula>
    </cfRule>
  </conditionalFormatting>
  <conditionalFormatting sqref="E38:E44">
    <cfRule type="cellIs" dxfId="32" priority="3" operator="greaterThan">
      <formula>0</formula>
    </cfRule>
  </conditionalFormatting>
  <conditionalFormatting sqref="E38:E44">
    <cfRule type="cellIs" dxfId="31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P50"/>
  <sheetViews>
    <sheetView zoomScale="66" workbookViewId="0">
      <pane ySplit="1" topLeftCell="A2" activePane="bottomLeft" state="frozen"/>
      <selection pane="bottomLeft" activeCell="P13" sqref="P13"/>
    </sheetView>
  </sheetViews>
  <sheetFormatPr defaultRowHeight="14.4" x14ac:dyDescent="0.3"/>
  <cols>
    <col min="1" max="1" width="16.6640625" style="5" customWidth="1"/>
    <col min="2" max="2" width="33.33203125" style="5" customWidth="1"/>
    <col min="3" max="11" width="16.6640625" style="5" customWidth="1"/>
    <col min="12" max="12" width="37" style="5" customWidth="1"/>
    <col min="13" max="13" width="8.88671875" style="5"/>
    <col min="14" max="14" width="74.109375" style="5" customWidth="1"/>
    <col min="15" max="16384" width="8.88671875" style="5"/>
  </cols>
  <sheetData>
    <row r="1" spans="1:16" x14ac:dyDescent="0.3">
      <c r="A1" s="13" t="s">
        <v>42</v>
      </c>
      <c r="B1" s="13" t="s">
        <v>393</v>
      </c>
      <c r="C1" s="13" t="s">
        <v>394</v>
      </c>
      <c r="D1" s="13" t="s">
        <v>395</v>
      </c>
      <c r="E1" s="13" t="s">
        <v>396</v>
      </c>
      <c r="F1" s="13" t="s">
        <v>397</v>
      </c>
      <c r="G1" s="13" t="s">
        <v>398</v>
      </c>
      <c r="H1" s="13" t="s">
        <v>399</v>
      </c>
      <c r="I1" s="13" t="s">
        <v>400</v>
      </c>
      <c r="J1" s="13" t="s">
        <v>401</v>
      </c>
      <c r="K1" s="13" t="s">
        <v>402</v>
      </c>
      <c r="L1" s="13" t="s">
        <v>403</v>
      </c>
      <c r="M1" s="13" t="s">
        <v>404</v>
      </c>
      <c r="N1" s="13" t="s">
        <v>405</v>
      </c>
      <c r="O1" s="13" t="s">
        <v>406</v>
      </c>
      <c r="P1" s="13" t="s">
        <v>43</v>
      </c>
    </row>
    <row r="2" spans="1:16" x14ac:dyDescent="0.3">
      <c r="A2" s="5">
        <f>'Roll Up'!A12</f>
        <v>5200</v>
      </c>
      <c r="B2" s="5" t="str">
        <f>'Roll Up'!B12</f>
        <v>Door</v>
      </c>
      <c r="C2" s="5" t="s">
        <v>407</v>
      </c>
      <c r="D2" s="16">
        <f>'Roll Up'!C12</f>
        <v>103</v>
      </c>
      <c r="E2" s="16">
        <f>'Roll Up'!N12</f>
        <v>100</v>
      </c>
      <c r="F2" s="16">
        <f>'Roll Up'!O12</f>
        <v>-3</v>
      </c>
      <c r="G2" s="17">
        <f>'Roll Up'!D12</f>
        <v>8</v>
      </c>
      <c r="H2" s="17">
        <f>'Roll Up'!E12</f>
        <v>-2.5</v>
      </c>
      <c r="I2" s="17">
        <f>'Roll Up'!F12</f>
        <v>3</v>
      </c>
      <c r="J2" s="16">
        <f>'Roll Up'!G12</f>
        <v>824</v>
      </c>
      <c r="K2" s="16">
        <f>'Roll Up'!H12</f>
        <v>-257.5</v>
      </c>
      <c r="L2" s="16">
        <f>'Roll Up'!I12</f>
        <v>309</v>
      </c>
      <c r="M2" s="16">
        <f>'Roll Up'!J12</f>
        <v>51.5</v>
      </c>
      <c r="N2" s="16">
        <f>'Roll Up'!K12</f>
        <v>51.5</v>
      </c>
      <c r="O2" s="5">
        <f>'Roll Up'!L12</f>
        <v>0</v>
      </c>
      <c r="P2" s="5">
        <f>'Roll Up'!M12</f>
        <v>0</v>
      </c>
    </row>
    <row r="3" spans="1:16" x14ac:dyDescent="0.3">
      <c r="A3" s="5">
        <f>'Roll Up'!A13</f>
        <v>5300</v>
      </c>
      <c r="B3" s="5" t="str">
        <f>'Roll Up'!B13</f>
        <v>Fuselage</v>
      </c>
      <c r="C3" s="5" t="s">
        <v>407</v>
      </c>
      <c r="D3" s="16">
        <f>'Roll Up'!C13</f>
        <v>1785</v>
      </c>
      <c r="E3" s="16">
        <f>'Roll Up'!N13</f>
        <v>1800</v>
      </c>
      <c r="F3" s="16">
        <f>'Roll Up'!O13</f>
        <v>15</v>
      </c>
      <c r="G3" s="17">
        <f>'Roll Up'!D13</f>
        <v>16.595518207282915</v>
      </c>
      <c r="H3" s="17">
        <f>'Roll Up'!E13</f>
        <v>0</v>
      </c>
      <c r="I3" s="17">
        <f>'Roll Up'!F13</f>
        <v>2.7512605042016807</v>
      </c>
      <c r="J3" s="16">
        <f>'Roll Up'!G13</f>
        <v>29623.000000000004</v>
      </c>
      <c r="K3" s="16">
        <f>'Roll Up'!H13</f>
        <v>0</v>
      </c>
      <c r="L3" s="16">
        <f>'Roll Up'!I13</f>
        <v>4911</v>
      </c>
      <c r="M3" s="16">
        <f>'Roll Up'!J13</f>
        <v>892.5</v>
      </c>
      <c r="N3" s="16">
        <f>'Roll Up'!K13</f>
        <v>892.5</v>
      </c>
      <c r="O3" s="5">
        <f>'Roll Up'!L13</f>
        <v>0</v>
      </c>
      <c r="P3" s="5">
        <f>'Roll Up'!M13</f>
        <v>0</v>
      </c>
    </row>
    <row r="4" spans="1:16" x14ac:dyDescent="0.3">
      <c r="A4" s="5">
        <f>'Roll Up'!A14</f>
        <v>5500</v>
      </c>
      <c r="B4" s="5" t="str">
        <f>'Roll Up'!B14</f>
        <v>V-Tail</v>
      </c>
      <c r="C4" s="5" t="s">
        <v>407</v>
      </c>
      <c r="D4" s="16">
        <f>'Roll Up'!C14</f>
        <v>330</v>
      </c>
      <c r="E4" s="16">
        <f>'Roll Up'!N14</f>
        <v>330</v>
      </c>
      <c r="F4" s="16">
        <f>'Roll Up'!O14</f>
        <v>0</v>
      </c>
      <c r="G4" s="17">
        <f>'Roll Up'!D14</f>
        <v>32.103030303030302</v>
      </c>
      <c r="H4" s="17">
        <f>'Roll Up'!E14</f>
        <v>0.72727272727272729</v>
      </c>
      <c r="I4" s="17">
        <f>'Roll Up'!F14</f>
        <v>5.9030303030303033</v>
      </c>
      <c r="J4" s="16">
        <f>'Roll Up'!G14</f>
        <v>10594</v>
      </c>
      <c r="K4" s="16">
        <f>'Roll Up'!H14</f>
        <v>240</v>
      </c>
      <c r="L4" s="16">
        <f>'Roll Up'!I14</f>
        <v>1948</v>
      </c>
      <c r="M4" s="16">
        <f>'Roll Up'!J14</f>
        <v>165</v>
      </c>
      <c r="N4" s="16">
        <f>'Roll Up'!K14</f>
        <v>165</v>
      </c>
      <c r="O4" s="5">
        <f>'Roll Up'!L14</f>
        <v>0</v>
      </c>
      <c r="P4" s="5" t="str">
        <f>'Roll Up'!M14</f>
        <v>Combined HTP+VTP ruddervators</v>
      </c>
    </row>
    <row r="5" spans="1:16" x14ac:dyDescent="0.3">
      <c r="A5" s="5">
        <f>'Roll Up'!A15</f>
        <v>5600</v>
      </c>
      <c r="B5" s="5" t="str">
        <f>'Roll Up'!B15</f>
        <v>Windows</v>
      </c>
      <c r="C5" s="5" t="s">
        <v>407</v>
      </c>
      <c r="D5" s="16">
        <f>'Roll Up'!C15</f>
        <v>124</v>
      </c>
      <c r="E5" s="16">
        <f>'Roll Up'!N15</f>
        <v>125</v>
      </c>
      <c r="F5" s="16">
        <f>'Roll Up'!O15</f>
        <v>1</v>
      </c>
      <c r="G5" s="17">
        <f>'Roll Up'!D15</f>
        <v>9.1612903225806459</v>
      </c>
      <c r="H5" s="17">
        <f>'Roll Up'!E15</f>
        <v>2.2129032258064516</v>
      </c>
      <c r="I5" s="17">
        <f>'Roll Up'!F15</f>
        <v>4.725806451612903</v>
      </c>
      <c r="J5" s="16">
        <f>'Roll Up'!G15</f>
        <v>1136</v>
      </c>
      <c r="K5" s="16">
        <f>'Roll Up'!H15</f>
        <v>274.39999999999998</v>
      </c>
      <c r="L5" s="16">
        <f>'Roll Up'!I15</f>
        <v>586</v>
      </c>
      <c r="M5" s="16">
        <f>'Roll Up'!J15</f>
        <v>30.800000000000004</v>
      </c>
      <c r="N5" s="16">
        <f>'Roll Up'!K15</f>
        <v>30.800000000000004</v>
      </c>
      <c r="O5" s="5">
        <f>'Roll Up'!L15</f>
        <v>0</v>
      </c>
      <c r="P5" s="5">
        <f>'Roll Up'!M15</f>
        <v>0</v>
      </c>
    </row>
    <row r="6" spans="1:16" x14ac:dyDescent="0.3">
      <c r="A6" s="5">
        <f>'Roll Up'!A16</f>
        <v>5700</v>
      </c>
      <c r="B6" s="5" t="str">
        <f>'Roll Up'!B16</f>
        <v>Wings</v>
      </c>
      <c r="C6" s="5" t="s">
        <v>407</v>
      </c>
      <c r="D6" s="16">
        <f>'Roll Up'!C16</f>
        <v>1158</v>
      </c>
      <c r="E6" s="16">
        <f>'Roll Up'!N16</f>
        <v>1160</v>
      </c>
      <c r="F6" s="16">
        <f>'Roll Up'!O16</f>
        <v>2</v>
      </c>
      <c r="G6" s="17">
        <f>'Roll Up'!D16</f>
        <v>17.26511226252159</v>
      </c>
      <c r="H6" s="17">
        <f>'Roll Up'!E16</f>
        <v>1.4093264248704662</v>
      </c>
      <c r="I6" s="17">
        <f>'Roll Up'!F16</f>
        <v>2</v>
      </c>
      <c r="J6" s="16">
        <f>'Roll Up'!G16</f>
        <v>19993</v>
      </c>
      <c r="K6" s="16">
        <f>'Roll Up'!H16</f>
        <v>1631.9999999999998</v>
      </c>
      <c r="L6" s="16">
        <f>'Roll Up'!I16</f>
        <v>2316</v>
      </c>
      <c r="M6" s="16">
        <f>'Roll Up'!J16</f>
        <v>579</v>
      </c>
      <c r="N6" s="16">
        <f>'Roll Up'!K16</f>
        <v>579</v>
      </c>
      <c r="O6" s="5">
        <f>'Roll Up'!L16</f>
        <v>0</v>
      </c>
      <c r="P6" s="5">
        <f>'Roll Up'!M16</f>
        <v>0</v>
      </c>
    </row>
    <row r="7" spans="1:16" x14ac:dyDescent="0.3">
      <c r="A7" s="5">
        <f>'Roll Up'!A17</f>
        <v>3200</v>
      </c>
      <c r="B7" s="5" t="str">
        <f>'Roll Up'!B17</f>
        <v>Landing Gear</v>
      </c>
      <c r="C7" s="5" t="s">
        <v>407</v>
      </c>
      <c r="D7" s="16">
        <f>'Roll Up'!C17</f>
        <v>970</v>
      </c>
      <c r="E7" s="16">
        <f>'Roll Up'!N17</f>
        <v>970</v>
      </c>
      <c r="F7" s="16">
        <f>'Roll Up'!O17</f>
        <v>0</v>
      </c>
      <c r="G7" s="17">
        <f>'Roll Up'!D17</f>
        <v>16.020618556701031</v>
      </c>
      <c r="H7" s="17">
        <f>'Roll Up'!E17</f>
        <v>4.0206185567010309</v>
      </c>
      <c r="I7" s="17">
        <f>'Roll Up'!F17</f>
        <v>0.52319587628865982</v>
      </c>
      <c r="J7" s="16">
        <f>'Roll Up'!G17</f>
        <v>15540</v>
      </c>
      <c r="K7" s="16">
        <f>'Roll Up'!H17</f>
        <v>3900</v>
      </c>
      <c r="L7" s="16">
        <f>'Roll Up'!I17</f>
        <v>507.5</v>
      </c>
      <c r="M7" s="16">
        <f>'Roll Up'!J17</f>
        <v>485</v>
      </c>
      <c r="N7" s="16">
        <f>'Roll Up'!K17</f>
        <v>485</v>
      </c>
      <c r="O7" s="5">
        <f>'Roll Up'!L17</f>
        <v>0</v>
      </c>
      <c r="P7" s="5">
        <f>'Roll Up'!M17</f>
        <v>0</v>
      </c>
    </row>
    <row r="8" spans="1:16" x14ac:dyDescent="0.3">
      <c r="A8" s="5">
        <f>'Roll Up'!A20</f>
        <v>2100</v>
      </c>
      <c r="B8" s="5" t="str">
        <f>'Roll Up'!B20</f>
        <v>Air Conditioning</v>
      </c>
      <c r="C8" s="5" t="s">
        <v>408</v>
      </c>
      <c r="D8" s="16">
        <f>'Roll Up'!C20</f>
        <v>78</v>
      </c>
      <c r="E8" s="16">
        <f>'Roll Up'!N20</f>
        <v>80</v>
      </c>
      <c r="F8" s="16">
        <f>'Roll Up'!O20</f>
        <v>2</v>
      </c>
      <c r="G8" s="17">
        <f>'Roll Up'!D20</f>
        <v>17.743589743589745</v>
      </c>
      <c r="H8" s="17">
        <f>'Roll Up'!E20</f>
        <v>0.42307692307692307</v>
      </c>
      <c r="I8" s="17">
        <f>'Roll Up'!F20</f>
        <v>2.5576923076923075</v>
      </c>
      <c r="J8" s="16">
        <f>'Roll Up'!G20</f>
        <v>1384</v>
      </c>
      <c r="K8" s="16">
        <f>'Roll Up'!H20</f>
        <v>33</v>
      </c>
      <c r="L8" s="16">
        <f>'Roll Up'!I20</f>
        <v>199.49999999999997</v>
      </c>
      <c r="M8" s="16">
        <f>'Roll Up'!J20</f>
        <v>39</v>
      </c>
      <c r="N8" s="16">
        <f>'Roll Up'!K20</f>
        <v>39</v>
      </c>
      <c r="O8" s="5">
        <f>'Roll Up'!L20</f>
        <v>0</v>
      </c>
      <c r="P8" s="5">
        <f>'Roll Up'!M20</f>
        <v>0</v>
      </c>
    </row>
    <row r="9" spans="1:16" x14ac:dyDescent="0.3">
      <c r="A9" s="5">
        <f>'Roll Up'!A21</f>
        <v>2700</v>
      </c>
      <c r="B9" s="5" t="str">
        <f>'Roll Up'!B21</f>
        <v>Flight Controls</v>
      </c>
      <c r="C9" s="5" t="s">
        <v>408</v>
      </c>
      <c r="D9" s="16">
        <f>'Roll Up'!C21</f>
        <v>220</v>
      </c>
      <c r="E9" s="16">
        <f>'Roll Up'!N21</f>
        <v>220</v>
      </c>
      <c r="F9" s="16">
        <f>'Roll Up'!O21</f>
        <v>0</v>
      </c>
      <c r="G9" s="17">
        <f>'Roll Up'!D21</f>
        <v>19.645454545454545</v>
      </c>
      <c r="H9" s="17">
        <f>'Roll Up'!E21</f>
        <v>3.7454545454545456</v>
      </c>
      <c r="I9" s="17">
        <f>'Roll Up'!F21</f>
        <v>3.9295454545454547</v>
      </c>
      <c r="J9" s="16">
        <f>'Roll Up'!G21</f>
        <v>4322</v>
      </c>
      <c r="K9" s="16">
        <f>'Roll Up'!H21</f>
        <v>824</v>
      </c>
      <c r="L9" s="16">
        <f>'Roll Up'!I21</f>
        <v>864.5</v>
      </c>
      <c r="M9" s="16">
        <f>'Roll Up'!J21</f>
        <v>102.8</v>
      </c>
      <c r="N9" s="16">
        <f>'Roll Up'!K21</f>
        <v>102.8</v>
      </c>
      <c r="O9" s="5">
        <f>'Roll Up'!L21</f>
        <v>0</v>
      </c>
      <c r="P9" s="5">
        <f>'Roll Up'!M21</f>
        <v>0</v>
      </c>
    </row>
    <row r="10" spans="1:16" x14ac:dyDescent="0.3">
      <c r="A10" s="5">
        <f>'Roll Up'!A22</f>
        <v>2800</v>
      </c>
      <c r="B10" s="5" t="str">
        <f>'Roll Up'!B22</f>
        <v>Fuel System</v>
      </c>
      <c r="C10" s="5" t="s">
        <v>408</v>
      </c>
      <c r="D10" s="16">
        <f>'Roll Up'!C22</f>
        <v>220</v>
      </c>
      <c r="E10" s="16">
        <f>'Roll Up'!N22</f>
        <v>220</v>
      </c>
      <c r="F10" s="16">
        <f>'Roll Up'!O22</f>
        <v>0</v>
      </c>
      <c r="G10" s="17">
        <f>'Roll Up'!D22</f>
        <v>18.045454545454547</v>
      </c>
      <c r="H10" s="17">
        <f>'Roll Up'!E22</f>
        <v>0</v>
      </c>
      <c r="I10" s="17">
        <f>'Roll Up'!F22</f>
        <v>2.0327272727272727</v>
      </c>
      <c r="J10" s="16">
        <f>'Roll Up'!G22</f>
        <v>3970.0000000000005</v>
      </c>
      <c r="K10" s="16">
        <f>'Roll Up'!H22</f>
        <v>0</v>
      </c>
      <c r="L10" s="16">
        <f>'Roll Up'!I22</f>
        <v>447.2</v>
      </c>
      <c r="M10" s="16">
        <f>'Roll Up'!J22</f>
        <v>110</v>
      </c>
      <c r="N10" s="16">
        <f>'Roll Up'!K22</f>
        <v>110</v>
      </c>
      <c r="O10" s="5">
        <f>'Roll Up'!L22</f>
        <v>0</v>
      </c>
      <c r="P10" s="5" t="str">
        <f>'Roll Up'!M22</f>
        <v>Plumbing/pumps only (fuel mass in Fuel block below)</v>
      </c>
    </row>
    <row r="11" spans="1:16" x14ac:dyDescent="0.3">
      <c r="A11" s="5">
        <f>'Roll Up'!A23</f>
        <v>2900</v>
      </c>
      <c r="B11" s="5" t="str">
        <f>'Roll Up'!B23</f>
        <v>Hydraulic Power</v>
      </c>
      <c r="C11" s="5" t="s">
        <v>408</v>
      </c>
      <c r="D11" s="16">
        <f>'Roll Up'!C23</f>
        <v>90</v>
      </c>
      <c r="E11" s="16">
        <f>'Roll Up'!N23</f>
        <v>90</v>
      </c>
      <c r="F11" s="16">
        <f>'Roll Up'!O23</f>
        <v>0</v>
      </c>
      <c r="G11" s="17">
        <f>'Roll Up'!D23</f>
        <v>20.133333333333333</v>
      </c>
      <c r="H11" s="17">
        <f>'Roll Up'!E23</f>
        <v>1.4222222222222223</v>
      </c>
      <c r="I11" s="17">
        <f>'Roll Up'!F23</f>
        <v>2.8444444444444446</v>
      </c>
      <c r="J11" s="16">
        <f>'Roll Up'!G23</f>
        <v>1812</v>
      </c>
      <c r="K11" s="16">
        <f>'Roll Up'!H23</f>
        <v>128</v>
      </c>
      <c r="L11" s="16">
        <f>'Roll Up'!I23</f>
        <v>256</v>
      </c>
      <c r="M11" s="16">
        <f>'Roll Up'!J23</f>
        <v>45</v>
      </c>
      <c r="N11" s="16">
        <f>'Roll Up'!K23</f>
        <v>45</v>
      </c>
      <c r="O11" s="5">
        <f>'Roll Up'!L23</f>
        <v>0</v>
      </c>
      <c r="P11" s="5">
        <f>'Roll Up'!M23</f>
        <v>0</v>
      </c>
    </row>
    <row r="12" spans="1:16" x14ac:dyDescent="0.3">
      <c r="A12" s="5">
        <f>'Roll Up'!A24</f>
        <v>3000</v>
      </c>
      <c r="B12" s="5" t="str">
        <f>'Roll Up'!B24</f>
        <v>Ice &amp; Rain Protection</v>
      </c>
      <c r="C12" s="5" t="s">
        <v>408</v>
      </c>
      <c r="D12" s="16">
        <f>'Roll Up'!C24</f>
        <v>67</v>
      </c>
      <c r="E12" s="16">
        <f>'Roll Up'!N24</f>
        <v>70</v>
      </c>
      <c r="F12" s="16">
        <f>'Roll Up'!O24</f>
        <v>3</v>
      </c>
      <c r="G12" s="17">
        <f>'Roll Up'!D24</f>
        <v>14.388059701492537</v>
      </c>
      <c r="H12" s="17">
        <f>'Roll Up'!E24</f>
        <v>0.94029850746268662</v>
      </c>
      <c r="I12" s="17">
        <f>'Roll Up'!F24</f>
        <v>3.8955223880597014</v>
      </c>
      <c r="J12" s="16">
        <f>'Roll Up'!G24</f>
        <v>964</v>
      </c>
      <c r="K12" s="16">
        <f>'Roll Up'!H24</f>
        <v>63</v>
      </c>
      <c r="L12" s="16">
        <f>'Roll Up'!I24</f>
        <v>261</v>
      </c>
      <c r="M12" s="16">
        <f>'Roll Up'!J24</f>
        <v>33.5</v>
      </c>
      <c r="N12" s="16">
        <f>'Roll Up'!K24</f>
        <v>33.5</v>
      </c>
      <c r="O12" s="5">
        <f>'Roll Up'!L24</f>
        <v>0</v>
      </c>
      <c r="P12" s="5">
        <f>'Roll Up'!M24</f>
        <v>0</v>
      </c>
    </row>
    <row r="13" spans="1:16" x14ac:dyDescent="0.3">
      <c r="A13" s="5">
        <f>'Roll Up'!A25</f>
        <v>3500</v>
      </c>
      <c r="B13" s="5" t="str">
        <f>'Roll Up'!B25</f>
        <v>Oxygen</v>
      </c>
      <c r="C13" s="5" t="s">
        <v>408</v>
      </c>
      <c r="D13" s="16">
        <f>'Roll Up'!C25</f>
        <v>48</v>
      </c>
      <c r="E13" s="16">
        <f>'Roll Up'!N25</f>
        <v>50</v>
      </c>
      <c r="F13" s="16">
        <f>'Roll Up'!O25</f>
        <v>2</v>
      </c>
      <c r="G13" s="17">
        <f>'Roll Up'!D25</f>
        <v>9.5416666666666661</v>
      </c>
      <c r="H13" s="17">
        <f>'Roll Up'!E25</f>
        <v>0</v>
      </c>
      <c r="I13" s="17">
        <f>'Roll Up'!F25</f>
        <v>3</v>
      </c>
      <c r="J13" s="16">
        <f>'Roll Up'!G25</f>
        <v>458</v>
      </c>
      <c r="K13" s="16">
        <f>'Roll Up'!H25</f>
        <v>0</v>
      </c>
      <c r="L13" s="16">
        <f>'Roll Up'!I25</f>
        <v>144</v>
      </c>
      <c r="M13" s="16">
        <f>'Roll Up'!J25</f>
        <v>17.399999999999999</v>
      </c>
      <c r="N13" s="16">
        <f>'Roll Up'!K25</f>
        <v>17.399999999999999</v>
      </c>
      <c r="O13" s="5">
        <f>'Roll Up'!L25</f>
        <v>0</v>
      </c>
      <c r="P13" s="5">
        <f>'Roll Up'!M25</f>
        <v>0</v>
      </c>
    </row>
    <row r="14" spans="1:16" x14ac:dyDescent="0.3">
      <c r="A14" s="5">
        <f>'Roll Up'!A26</f>
        <v>3600</v>
      </c>
      <c r="B14" s="5" t="str">
        <f>'Roll Up'!B26</f>
        <v>Pneumatic</v>
      </c>
      <c r="C14" s="5" t="s">
        <v>408</v>
      </c>
      <c r="D14" s="16">
        <f>'Roll Up'!C26</f>
        <v>58</v>
      </c>
      <c r="E14" s="16">
        <f>'Roll Up'!N26</f>
        <v>60</v>
      </c>
      <c r="F14" s="16">
        <f>'Roll Up'!O26</f>
        <v>2</v>
      </c>
      <c r="G14" s="17">
        <f>'Roll Up'!D26</f>
        <v>25</v>
      </c>
      <c r="H14" s="17">
        <f>'Roll Up'!E26</f>
        <v>0</v>
      </c>
      <c r="I14" s="17">
        <f>'Roll Up'!F26</f>
        <v>2.5</v>
      </c>
      <c r="J14" s="16">
        <f>'Roll Up'!G26</f>
        <v>1450</v>
      </c>
      <c r="K14" s="16">
        <f>'Roll Up'!H26</f>
        <v>0</v>
      </c>
      <c r="L14" s="16">
        <f>'Roll Up'!I26</f>
        <v>145</v>
      </c>
      <c r="M14" s="16">
        <f>'Roll Up'!J26</f>
        <v>29</v>
      </c>
      <c r="N14" s="16">
        <f>'Roll Up'!K26</f>
        <v>29</v>
      </c>
      <c r="O14" s="5">
        <f>'Roll Up'!L26</f>
        <v>0</v>
      </c>
      <c r="P14" s="5">
        <f>'Roll Up'!M26</f>
        <v>0</v>
      </c>
    </row>
    <row r="15" spans="1:16" x14ac:dyDescent="0.3">
      <c r="A15" s="5">
        <f>'Roll Up'!A27</f>
        <v>3800</v>
      </c>
      <c r="B15" s="5" t="str">
        <f>'Roll Up'!B27</f>
        <v>Water &amp; Waste</v>
      </c>
      <c r="C15" s="5" t="s">
        <v>408</v>
      </c>
      <c r="D15" s="16">
        <f>'Roll Up'!C27</f>
        <v>46</v>
      </c>
      <c r="E15" s="16">
        <f>'Roll Up'!N27</f>
        <v>45</v>
      </c>
      <c r="F15" s="16">
        <f>'Roll Up'!O27</f>
        <v>-1</v>
      </c>
      <c r="G15" s="17">
        <f>'Roll Up'!D27</f>
        <v>22.086956521739129</v>
      </c>
      <c r="H15" s="17">
        <f>'Roll Up'!E27</f>
        <v>0</v>
      </c>
      <c r="I15" s="17">
        <f>'Roll Up'!F27</f>
        <v>1.9565217391304348</v>
      </c>
      <c r="J15" s="16">
        <f>'Roll Up'!G27</f>
        <v>1015.9999999999999</v>
      </c>
      <c r="K15" s="16">
        <f>'Roll Up'!H27</f>
        <v>0</v>
      </c>
      <c r="L15" s="16">
        <f>'Roll Up'!I27</f>
        <v>90</v>
      </c>
      <c r="M15" s="16">
        <f>'Roll Up'!J27</f>
        <v>23</v>
      </c>
      <c r="N15" s="16">
        <f>'Roll Up'!K27</f>
        <v>23</v>
      </c>
      <c r="O15" s="5">
        <f>'Roll Up'!L27</f>
        <v>0</v>
      </c>
      <c r="P15" s="5">
        <f>'Roll Up'!M27</f>
        <v>0</v>
      </c>
    </row>
    <row r="16" spans="1:16" x14ac:dyDescent="0.3">
      <c r="A16" s="5" t="str">
        <f>'Roll Up'!A30</f>
        <v>2400LV</v>
      </c>
      <c r="B16" s="5" t="str">
        <f>'Roll Up'!B30</f>
        <v>Electrical Power (Low Voltage)</v>
      </c>
      <c r="C16" s="5" t="s">
        <v>113</v>
      </c>
      <c r="D16" s="16">
        <f>'Roll Up'!C30</f>
        <v>386</v>
      </c>
      <c r="E16" s="16">
        <f>'Roll Up'!N30</f>
        <v>400</v>
      </c>
      <c r="F16" s="16">
        <f>'Roll Up'!O30</f>
        <v>14</v>
      </c>
      <c r="G16" s="17">
        <f>'Roll Up'!D30</f>
        <v>12.160621761658032</v>
      </c>
      <c r="H16" s="17">
        <f>'Roll Up'!E30</f>
        <v>0</v>
      </c>
      <c r="I16" s="17">
        <f>'Roll Up'!F30</f>
        <v>2.5984455958549222</v>
      </c>
      <c r="J16" s="16">
        <f>'Roll Up'!G30</f>
        <v>4694</v>
      </c>
      <c r="K16" s="16">
        <f>'Roll Up'!H30</f>
        <v>0</v>
      </c>
      <c r="L16" s="16">
        <f>'Roll Up'!I30</f>
        <v>1003</v>
      </c>
      <c r="M16" s="16">
        <f>'Roll Up'!J30</f>
        <v>157</v>
      </c>
      <c r="N16" s="16">
        <f>'Roll Up'!K30</f>
        <v>157</v>
      </c>
      <c r="O16" s="5">
        <f>'Roll Up'!L30</f>
        <v>0</v>
      </c>
      <c r="P16" s="5">
        <f>'Roll Up'!M30</f>
        <v>0</v>
      </c>
    </row>
    <row r="17" spans="1:16" x14ac:dyDescent="0.3">
      <c r="A17" s="5" t="str">
        <f>'Roll Up'!A31</f>
        <v>2400HV</v>
      </c>
      <c r="B17" s="5" t="str">
        <f>'Roll Up'!B31</f>
        <v>Electrical Power (High Voltage Hybrid)</v>
      </c>
      <c r="C17" s="5" t="s">
        <v>113</v>
      </c>
      <c r="D17" s="16">
        <f>'Roll Up'!C31</f>
        <v>580</v>
      </c>
      <c r="E17" s="16">
        <f>'Roll Up'!N31</f>
        <v>600</v>
      </c>
      <c r="F17" s="16">
        <f>'Roll Up'!O31</f>
        <v>20</v>
      </c>
      <c r="G17" s="17">
        <f>'Roll Up'!D31</f>
        <v>18.448275862068964</v>
      </c>
      <c r="H17" s="17">
        <f>'Roll Up'!E31</f>
        <v>1.1724137931034482</v>
      </c>
      <c r="I17" s="17">
        <f>'Roll Up'!F31</f>
        <v>2.0301724137931036</v>
      </c>
      <c r="J17" s="16">
        <f>'Roll Up'!G31</f>
        <v>10700</v>
      </c>
      <c r="K17" s="16">
        <f>'Roll Up'!H31</f>
        <v>679.99999999999989</v>
      </c>
      <c r="L17" s="16">
        <f>'Roll Up'!I31</f>
        <v>1177.5000000000002</v>
      </c>
      <c r="M17" s="16">
        <f>'Roll Up'!J31</f>
        <v>290</v>
      </c>
      <c r="N17" s="16">
        <f>'Roll Up'!K31</f>
        <v>290</v>
      </c>
      <c r="O17" s="5">
        <f>'Roll Up'!L31</f>
        <v>0</v>
      </c>
      <c r="P17" s="5" t="str">
        <f>'Roll Up'!M31</f>
        <v>Generators, inverters, motor controllers, HV cables</v>
      </c>
    </row>
    <row r="18" spans="1:16" x14ac:dyDescent="0.3">
      <c r="A18" s="5">
        <f>'Roll Up'!A32</f>
        <v>3300</v>
      </c>
      <c r="B18" s="5" t="str">
        <f>'Roll Up'!B32</f>
        <v>Lights</v>
      </c>
      <c r="C18" s="5" t="s">
        <v>113</v>
      </c>
      <c r="D18" s="16">
        <f>'Roll Up'!C32</f>
        <v>28.5</v>
      </c>
      <c r="E18" s="16">
        <f>'Roll Up'!N32</f>
        <v>30</v>
      </c>
      <c r="F18" s="16">
        <f>'Roll Up'!O32</f>
        <v>1.5</v>
      </c>
      <c r="G18" s="17">
        <f>'Roll Up'!D32</f>
        <v>12.473684210526315</v>
      </c>
      <c r="H18" s="17">
        <f>'Roll Up'!E32</f>
        <v>0.73684210526315785</v>
      </c>
      <c r="I18" s="17">
        <f>'Roll Up'!F32</f>
        <v>4.2719298245614032</v>
      </c>
      <c r="J18" s="16">
        <f>'Roll Up'!G32</f>
        <v>355.5</v>
      </c>
      <c r="K18" s="16">
        <f>'Roll Up'!H32</f>
        <v>21</v>
      </c>
      <c r="L18" s="16">
        <f>'Roll Up'!I32</f>
        <v>121.74999999999999</v>
      </c>
      <c r="M18" s="16">
        <f>'Roll Up'!J32</f>
        <v>10.874999999999998</v>
      </c>
      <c r="N18" s="16">
        <f>'Roll Up'!K32</f>
        <v>10.874999999999998</v>
      </c>
      <c r="O18" s="5">
        <f>'Roll Up'!L32</f>
        <v>0</v>
      </c>
      <c r="P18" s="5">
        <f>'Roll Up'!M32</f>
        <v>0</v>
      </c>
    </row>
    <row r="19" spans="1:16" x14ac:dyDescent="0.3">
      <c r="A19" s="5">
        <f>'Roll Up'!A35</f>
        <v>2200</v>
      </c>
      <c r="B19" s="5" t="str">
        <f>'Roll Up'!B35</f>
        <v>Auto Flight</v>
      </c>
      <c r="C19" s="5" t="s">
        <v>112</v>
      </c>
      <c r="D19" s="16">
        <f>'Roll Up'!C35</f>
        <v>16</v>
      </c>
      <c r="E19" s="16">
        <f>'Roll Up'!N35</f>
        <v>15</v>
      </c>
      <c r="F19" s="16">
        <f>'Roll Up'!O35</f>
        <v>-1</v>
      </c>
      <c r="G19" s="17">
        <f>'Roll Up'!D35</f>
        <v>11.75</v>
      </c>
      <c r="H19" s="17">
        <f>'Roll Up'!E35</f>
        <v>0</v>
      </c>
      <c r="I19" s="17">
        <f>'Roll Up'!F35</f>
        <v>4</v>
      </c>
      <c r="J19" s="16">
        <f>'Roll Up'!G35</f>
        <v>188</v>
      </c>
      <c r="K19" s="16">
        <f>'Roll Up'!H35</f>
        <v>0</v>
      </c>
      <c r="L19" s="16">
        <f>'Roll Up'!I35</f>
        <v>64</v>
      </c>
      <c r="M19" s="16">
        <f>'Roll Up'!J35</f>
        <v>4.4000000000000004</v>
      </c>
      <c r="N19" s="16">
        <f>'Roll Up'!K35</f>
        <v>4.4000000000000004</v>
      </c>
      <c r="O19" s="5">
        <f>'Roll Up'!L35</f>
        <v>0</v>
      </c>
      <c r="P19" s="5">
        <f>'Roll Up'!M35</f>
        <v>0</v>
      </c>
    </row>
    <row r="20" spans="1:16" x14ac:dyDescent="0.3">
      <c r="A20" s="5">
        <f>'Roll Up'!A36</f>
        <v>2300</v>
      </c>
      <c r="B20" s="5" t="str">
        <f>'Roll Up'!B36</f>
        <v>Communications</v>
      </c>
      <c r="C20" s="5" t="s">
        <v>112</v>
      </c>
      <c r="D20" s="16">
        <f>'Roll Up'!C36</f>
        <v>37</v>
      </c>
      <c r="E20" s="16">
        <f>'Roll Up'!N36</f>
        <v>35</v>
      </c>
      <c r="F20" s="16">
        <f>'Roll Up'!O36</f>
        <v>-2</v>
      </c>
      <c r="G20" s="17">
        <f>'Roll Up'!D36</f>
        <v>13.810810810810811</v>
      </c>
      <c r="H20" s="17">
        <f>'Roll Up'!E36</f>
        <v>0</v>
      </c>
      <c r="I20" s="17">
        <f>'Roll Up'!F36</f>
        <v>5.3918918918918921</v>
      </c>
      <c r="J20" s="16">
        <f>'Roll Up'!G36</f>
        <v>511</v>
      </c>
      <c r="K20" s="16">
        <f>'Roll Up'!H36</f>
        <v>0</v>
      </c>
      <c r="L20" s="16">
        <f>'Roll Up'!I36</f>
        <v>199.5</v>
      </c>
      <c r="M20" s="16">
        <f>'Roll Up'!J36</f>
        <v>15.5</v>
      </c>
      <c r="N20" s="16">
        <f>'Roll Up'!K36</f>
        <v>15.5</v>
      </c>
      <c r="O20" s="5">
        <f>'Roll Up'!L36</f>
        <v>0</v>
      </c>
      <c r="P20" s="5">
        <f>'Roll Up'!M36</f>
        <v>0</v>
      </c>
    </row>
    <row r="21" spans="1:16" x14ac:dyDescent="0.3">
      <c r="A21" s="5">
        <f>'Roll Up'!A37</f>
        <v>3100</v>
      </c>
      <c r="B21" s="5" t="str">
        <f>'Roll Up'!B37</f>
        <v>Instruments</v>
      </c>
      <c r="C21" s="5" t="s">
        <v>112</v>
      </c>
      <c r="D21" s="16">
        <f>'Roll Up'!C37</f>
        <v>61</v>
      </c>
      <c r="E21" s="16">
        <f>'Roll Up'!N37</f>
        <v>60</v>
      </c>
      <c r="F21" s="16">
        <f>'Roll Up'!O37</f>
        <v>-1</v>
      </c>
      <c r="G21" s="17">
        <f>'Roll Up'!D37</f>
        <v>12.409836065573771</v>
      </c>
      <c r="H21" s="17">
        <f>'Roll Up'!E37</f>
        <v>0.26229508196721313</v>
      </c>
      <c r="I21" s="17">
        <f>'Roll Up'!F37</f>
        <v>4.0081967213114753</v>
      </c>
      <c r="J21" s="16">
        <f>'Roll Up'!G37</f>
        <v>757</v>
      </c>
      <c r="K21" s="16">
        <f>'Roll Up'!H37</f>
        <v>16</v>
      </c>
      <c r="L21" s="16">
        <f>'Roll Up'!I37</f>
        <v>244.5</v>
      </c>
      <c r="M21" s="16">
        <f>'Roll Up'!J37</f>
        <v>11.450000000000001</v>
      </c>
      <c r="N21" s="16">
        <f>'Roll Up'!K37</f>
        <v>11.450000000000001</v>
      </c>
      <c r="O21" s="5">
        <f>'Roll Up'!L37</f>
        <v>0</v>
      </c>
      <c r="P21" s="5">
        <f>'Roll Up'!M37</f>
        <v>0</v>
      </c>
    </row>
    <row r="22" spans="1:16" x14ac:dyDescent="0.3">
      <c r="A22" s="5">
        <f>'Roll Up'!A38</f>
        <v>3400</v>
      </c>
      <c r="B22" s="5" t="str">
        <f>'Roll Up'!B38</f>
        <v>Navigation</v>
      </c>
      <c r="C22" s="5" t="s">
        <v>112</v>
      </c>
      <c r="D22" s="16">
        <f>'Roll Up'!C38</f>
        <v>90</v>
      </c>
      <c r="E22" s="16">
        <f>'Roll Up'!N38</f>
        <v>90</v>
      </c>
      <c r="F22" s="16">
        <f>'Roll Up'!O38</f>
        <v>0</v>
      </c>
      <c r="G22" s="17">
        <f>'Roll Up'!D38</f>
        <v>4.8666666666666663</v>
      </c>
      <c r="H22" s="17">
        <f>'Roll Up'!E38</f>
        <v>0</v>
      </c>
      <c r="I22" s="17">
        <f>'Roll Up'!F38</f>
        <v>3.6666666666666665</v>
      </c>
      <c r="J22" s="16">
        <f>'Roll Up'!G38</f>
        <v>437.99999999999994</v>
      </c>
      <c r="K22" s="16">
        <f>'Roll Up'!H38</f>
        <v>0</v>
      </c>
      <c r="L22" s="16">
        <f>'Roll Up'!I38</f>
        <v>330</v>
      </c>
      <c r="M22" s="16">
        <f>'Roll Up'!J38</f>
        <v>31.8</v>
      </c>
      <c r="N22" s="16">
        <f>'Roll Up'!K38</f>
        <v>31.8</v>
      </c>
      <c r="O22" s="5">
        <f>'Roll Up'!L38</f>
        <v>0</v>
      </c>
      <c r="P22" s="5">
        <f>'Roll Up'!M38</f>
        <v>0</v>
      </c>
    </row>
    <row r="23" spans="1:16" x14ac:dyDescent="0.3">
      <c r="A23" s="5">
        <f>'Roll Up'!A41</f>
        <v>7100</v>
      </c>
      <c r="B23" s="5" t="str">
        <f>'Roll Up'!B41</f>
        <v>Duality Engines (incl. Turbogen &amp; Exhaust)</v>
      </c>
      <c r="C23" s="5" t="s">
        <v>409</v>
      </c>
      <c r="D23" s="16">
        <f>'Roll Up'!C41</f>
        <v>1440</v>
      </c>
      <c r="E23" s="16">
        <f>'Roll Up'!N41</f>
        <v>850</v>
      </c>
      <c r="F23" s="16">
        <f>'Roll Up'!O41</f>
        <v>-590</v>
      </c>
      <c r="G23" s="17">
        <f>'Roll Up'!D41</f>
        <v>28.119444444444444</v>
      </c>
      <c r="H23" s="17">
        <f>'Roll Up'!E41</f>
        <v>0</v>
      </c>
      <c r="I23" s="17">
        <f>'Roll Up'!F41</f>
        <v>3.3843749999999999</v>
      </c>
      <c r="J23" s="16">
        <f>'Roll Up'!G41</f>
        <v>40492</v>
      </c>
      <c r="K23" s="16">
        <f>'Roll Up'!H41</f>
        <v>0</v>
      </c>
      <c r="L23" s="16">
        <f>'Roll Up'!I41</f>
        <v>4873.5</v>
      </c>
      <c r="M23" s="16">
        <f>'Roll Up'!J41</f>
        <v>720</v>
      </c>
      <c r="N23" s="16">
        <f>'Roll Up'!K41</f>
        <v>720</v>
      </c>
      <c r="O23" s="5">
        <f>'Roll Up'!L41</f>
        <v>0</v>
      </c>
      <c r="P23" s="5" t="str">
        <f>'Roll Up'!M41</f>
        <v>Intake, 2-stage fan, motors, burner, nozzle (LH + RH)</v>
      </c>
    </row>
    <row r="24" spans="1:16" x14ac:dyDescent="0.3">
      <c r="A24" s="5">
        <f>'Roll Up'!A42</f>
        <v>7300</v>
      </c>
      <c r="B24" s="5" t="str">
        <f>'Roll Up'!B42</f>
        <v>Engine Fuel &amp; Control</v>
      </c>
      <c r="C24" s="5" t="s">
        <v>409</v>
      </c>
      <c r="D24" s="16">
        <f>'Roll Up'!C42</f>
        <v>75</v>
      </c>
      <c r="E24" s="16">
        <f>'Roll Up'!N42</f>
        <v>75</v>
      </c>
      <c r="F24" s="16">
        <f>'Roll Up'!O42</f>
        <v>0</v>
      </c>
      <c r="G24" s="17">
        <f>'Roll Up'!D42</f>
        <v>27.84</v>
      </c>
      <c r="H24" s="17">
        <f>'Roll Up'!E42</f>
        <v>1.6</v>
      </c>
      <c r="I24" s="17">
        <f>'Roll Up'!F42</f>
        <v>3.2933333333333334</v>
      </c>
      <c r="J24" s="16">
        <f>'Roll Up'!G42</f>
        <v>2088</v>
      </c>
      <c r="K24" s="16">
        <f>'Roll Up'!H42</f>
        <v>120</v>
      </c>
      <c r="L24" s="16">
        <f>'Roll Up'!I42</f>
        <v>247</v>
      </c>
      <c r="M24" s="16">
        <f>'Roll Up'!J42</f>
        <v>37.5</v>
      </c>
      <c r="N24" s="16">
        <f>'Roll Up'!K42</f>
        <v>37.5</v>
      </c>
      <c r="O24" s="5">
        <f>'Roll Up'!L42</f>
        <v>0</v>
      </c>
      <c r="P24" s="5">
        <f>'Roll Up'!M42</f>
        <v>0</v>
      </c>
    </row>
    <row r="25" spans="1:16" x14ac:dyDescent="0.3">
      <c r="A25" s="5">
        <f>'Roll Up'!A43</f>
        <v>7500</v>
      </c>
      <c r="B25" s="5" t="str">
        <f>'Roll Up'!B43</f>
        <v>Air (Intakes)</v>
      </c>
      <c r="C25" s="5" t="s">
        <v>409</v>
      </c>
      <c r="D25" s="16">
        <f>'Roll Up'!C43</f>
        <v>62</v>
      </c>
      <c r="E25" s="16">
        <f>'Roll Up'!N43</f>
        <v>60</v>
      </c>
      <c r="F25" s="16">
        <f>'Roll Up'!O43</f>
        <v>-2</v>
      </c>
      <c r="G25" s="17">
        <f>'Roll Up'!D43</f>
        <v>20</v>
      </c>
      <c r="H25" s="17">
        <f>'Roll Up'!E43</f>
        <v>0</v>
      </c>
      <c r="I25" s="17">
        <f>'Roll Up'!F43</f>
        <v>3.5806451612903225</v>
      </c>
      <c r="J25" s="16">
        <f>'Roll Up'!G43</f>
        <v>1240</v>
      </c>
      <c r="K25" s="16">
        <f>'Roll Up'!H43</f>
        <v>0</v>
      </c>
      <c r="L25" s="16">
        <f>'Roll Up'!I43</f>
        <v>222</v>
      </c>
      <c r="M25" s="16">
        <f>'Roll Up'!J43</f>
        <v>31</v>
      </c>
      <c r="N25" s="16">
        <f>'Roll Up'!K43</f>
        <v>31</v>
      </c>
      <c r="O25" s="5">
        <f>'Roll Up'!L43</f>
        <v>0</v>
      </c>
      <c r="P25" s="5" t="str">
        <f>'Roll Up'!M43</f>
        <v>2 duality + 1 turbogen intakes</v>
      </c>
    </row>
    <row r="26" spans="1:16" x14ac:dyDescent="0.3">
      <c r="A26" s="5">
        <f>'Roll Up'!A44</f>
        <v>8000</v>
      </c>
      <c r="B26" s="5" t="str">
        <f>'Roll Up'!B44</f>
        <v>Starting</v>
      </c>
      <c r="C26" s="5" t="s">
        <v>409</v>
      </c>
      <c r="D26" s="16">
        <f>'Roll Up'!C44</f>
        <v>26</v>
      </c>
      <c r="E26" s="16">
        <f>'Roll Up'!N44</f>
        <v>25</v>
      </c>
      <c r="F26" s="16">
        <f>'Roll Up'!O44</f>
        <v>-1</v>
      </c>
      <c r="G26" s="17">
        <f>'Roll Up'!D44</f>
        <v>27.923076923076923</v>
      </c>
      <c r="H26" s="17">
        <f>'Roll Up'!E44</f>
        <v>0.92307692307692313</v>
      </c>
      <c r="I26" s="17">
        <f>'Roll Up'!F44</f>
        <v>3.3461538461538463</v>
      </c>
      <c r="J26" s="16">
        <f>'Roll Up'!G44</f>
        <v>726</v>
      </c>
      <c r="K26" s="16">
        <f>'Roll Up'!H44</f>
        <v>24</v>
      </c>
      <c r="L26" s="16">
        <f>'Roll Up'!I44</f>
        <v>87</v>
      </c>
      <c r="M26" s="16">
        <f>'Roll Up'!J44</f>
        <v>13</v>
      </c>
      <c r="N26" s="16">
        <f>'Roll Up'!K44</f>
        <v>13</v>
      </c>
      <c r="O26" s="5">
        <f>'Roll Up'!L44</f>
        <v>0</v>
      </c>
      <c r="P26" s="5">
        <f>'Roll Up'!M44</f>
        <v>0</v>
      </c>
    </row>
    <row r="27" spans="1:16" x14ac:dyDescent="0.3">
      <c r="A27" s="5">
        <f>'Roll Up'!A47</f>
        <v>2500</v>
      </c>
      <c r="B27" s="5" t="str">
        <f>'Roll Up'!B47</f>
        <v>Equipment &amp; Furnishings</v>
      </c>
      <c r="C27" s="5" t="s">
        <v>410</v>
      </c>
      <c r="D27" s="16">
        <f>'Roll Up'!C47</f>
        <v>695</v>
      </c>
      <c r="E27" s="16">
        <f>'Roll Up'!N47</f>
        <v>700</v>
      </c>
      <c r="F27" s="16">
        <f>'Roll Up'!O47</f>
        <v>5</v>
      </c>
      <c r="G27" s="17">
        <f>'Roll Up'!D47</f>
        <v>14.03956834532374</v>
      </c>
      <c r="H27" s="17">
        <f>'Roll Up'!E47</f>
        <v>0.63669064748201443</v>
      </c>
      <c r="I27" s="17">
        <f>'Roll Up'!F47</f>
        <v>3.0949640287769786</v>
      </c>
      <c r="J27" s="16">
        <f>'Roll Up'!G47</f>
        <v>9757.5</v>
      </c>
      <c r="K27" s="16">
        <f>'Roll Up'!H47</f>
        <v>442.5</v>
      </c>
      <c r="L27" s="16">
        <f>'Roll Up'!I47</f>
        <v>2151</v>
      </c>
      <c r="M27" s="16">
        <f>'Roll Up'!J47</f>
        <v>259</v>
      </c>
      <c r="N27" s="16">
        <f>'Roll Up'!K47</f>
        <v>259</v>
      </c>
      <c r="O27" s="5">
        <f>'Roll Up'!L47</f>
        <v>0</v>
      </c>
      <c r="P27" s="5">
        <f>'Roll Up'!M47</f>
        <v>0</v>
      </c>
    </row>
    <row r="28" spans="1:16" x14ac:dyDescent="0.3">
      <c r="A28" s="5">
        <f>'Roll Up'!A48</f>
        <v>2600</v>
      </c>
      <c r="B28" s="5" t="str">
        <f>'Roll Up'!B48</f>
        <v>Fire Protection</v>
      </c>
      <c r="C28" s="5" t="s">
        <v>410</v>
      </c>
      <c r="D28" s="16">
        <f>'Roll Up'!C48</f>
        <v>60</v>
      </c>
      <c r="E28" s="16">
        <f>'Roll Up'!N48</f>
        <v>60</v>
      </c>
      <c r="F28" s="16">
        <f>'Roll Up'!O48</f>
        <v>0</v>
      </c>
      <c r="G28" s="17">
        <f>'Roll Up'!D48</f>
        <v>20.166666666666668</v>
      </c>
      <c r="H28" s="17">
        <f>'Roll Up'!E48</f>
        <v>2</v>
      </c>
      <c r="I28" s="17">
        <f>'Roll Up'!F48</f>
        <v>2.5833333333333335</v>
      </c>
      <c r="J28" s="16">
        <f>'Roll Up'!G48</f>
        <v>1210</v>
      </c>
      <c r="K28" s="16">
        <f>'Roll Up'!H48</f>
        <v>120</v>
      </c>
      <c r="L28" s="16">
        <f>'Roll Up'!I48</f>
        <v>155</v>
      </c>
      <c r="M28" s="16">
        <f>'Roll Up'!J48</f>
        <v>16.5</v>
      </c>
      <c r="N28" s="16">
        <f>'Roll Up'!K48</f>
        <v>16.5</v>
      </c>
      <c r="O28" s="5">
        <f>'Roll Up'!L48</f>
        <v>0</v>
      </c>
      <c r="P28" s="5">
        <f>'Roll Up'!M48</f>
        <v>0</v>
      </c>
    </row>
    <row r="29" spans="1:16" x14ac:dyDescent="0.3">
      <c r="A29" s="3" t="s">
        <v>81</v>
      </c>
      <c r="B29" s="3"/>
      <c r="C29" s="3" t="s">
        <v>355</v>
      </c>
      <c r="D29" s="71">
        <f>'Roll Up'!C51</f>
        <v>8853.5</v>
      </c>
      <c r="E29" s="71">
        <f>'Roll Up'!N51</f>
        <v>8320</v>
      </c>
      <c r="F29" s="71">
        <f>'Roll Up'!O51</f>
        <v>-533.5</v>
      </c>
      <c r="G29" s="72">
        <f>'Roll Up'!D51</f>
        <v>18.777093804710002</v>
      </c>
      <c r="H29" s="72">
        <f>'Roll Up'!E51</f>
        <v>0.9330095442480375</v>
      </c>
      <c r="I29" s="72">
        <f>'Roll Up'!F51</f>
        <v>2.6950302140396456</v>
      </c>
      <c r="J29" s="71">
        <f>'Roll Up'!G51</f>
        <v>166243</v>
      </c>
      <c r="K29" s="71">
        <f>'Roll Up'!H51</f>
        <v>8260.4</v>
      </c>
      <c r="L29" s="71">
        <f>'Roll Up'!I51</f>
        <v>23860.45</v>
      </c>
      <c r="M29" s="71">
        <f>'Roll Up'!J51</f>
        <v>4201.5249999999996</v>
      </c>
      <c r="N29" s="71">
        <f>'Roll Up'!K51</f>
        <v>4201.5249999999996</v>
      </c>
      <c r="O29" s="3"/>
      <c r="P29" s="3"/>
    </row>
    <row r="31" spans="1:16" x14ac:dyDescent="0.3">
      <c r="A31" s="77" t="s">
        <v>350</v>
      </c>
      <c r="B31" s="77" t="s">
        <v>47</v>
      </c>
      <c r="C31" s="79" t="s">
        <v>351</v>
      </c>
      <c r="D31" s="79" t="s">
        <v>352</v>
      </c>
      <c r="E31" s="79" t="s">
        <v>353</v>
      </c>
      <c r="F31" s="79" t="s">
        <v>354</v>
      </c>
    </row>
    <row r="32" spans="1:16" x14ac:dyDescent="0.3">
      <c r="A32" s="5" t="s">
        <v>355</v>
      </c>
      <c r="B32" s="5" t="s">
        <v>356</v>
      </c>
      <c r="C32" s="80">
        <f>'Roll Up'!C54</f>
        <v>8853.5</v>
      </c>
      <c r="D32" s="16">
        <f>'Roll Up'!D54</f>
        <v>24500</v>
      </c>
      <c r="E32" s="80">
        <f>'Roll Up'!E54</f>
        <v>15646.5</v>
      </c>
      <c r="F32" s="43">
        <f>'Roll Up'!F54</f>
        <v>0.63863265306122452</v>
      </c>
    </row>
    <row r="33" spans="1:6" x14ac:dyDescent="0.3">
      <c r="A33" s="5" t="s">
        <v>411</v>
      </c>
      <c r="B33" s="5" t="s">
        <v>422</v>
      </c>
      <c r="C33" s="80">
        <f>'Roll Up'!C55</f>
        <v>450</v>
      </c>
    </row>
    <row r="34" spans="1:6" x14ac:dyDescent="0.3">
      <c r="A34" s="81" t="s">
        <v>359</v>
      </c>
      <c r="C34" s="82">
        <f>'Roll Up'!C56</f>
        <v>9303.5</v>
      </c>
      <c r="D34" s="16">
        <f>'Roll Up'!D56</f>
        <v>24950</v>
      </c>
      <c r="E34" s="80">
        <f>'Roll Up'!E56</f>
        <v>15646.5</v>
      </c>
      <c r="F34" s="43">
        <f>'Roll Up'!F56</f>
        <v>0.62711422845691378</v>
      </c>
    </row>
    <row r="35" spans="1:6" x14ac:dyDescent="0.3">
      <c r="A35" s="5" t="s">
        <v>412</v>
      </c>
      <c r="B35" s="5" t="s">
        <v>361</v>
      </c>
      <c r="C35" s="80">
        <f>'Roll Up'!C57</f>
        <v>1300</v>
      </c>
    </row>
    <row r="36" spans="1:6" x14ac:dyDescent="0.3">
      <c r="A36" s="81" t="s">
        <v>362</v>
      </c>
      <c r="C36" s="82">
        <f>'Roll Up'!C58</f>
        <v>10603.5</v>
      </c>
      <c r="D36" s="16">
        <f>'Roll Up'!D58</f>
        <v>28500</v>
      </c>
      <c r="E36" s="80">
        <f>'Roll Up'!E58</f>
        <v>17896.5</v>
      </c>
      <c r="F36" s="43">
        <f>'Roll Up'!F58</f>
        <v>0.62794736842105259</v>
      </c>
    </row>
    <row r="37" spans="1:6" x14ac:dyDescent="0.3">
      <c r="A37" s="5" t="s">
        <v>413</v>
      </c>
      <c r="B37" s="5" t="s">
        <v>365</v>
      </c>
      <c r="C37" s="80">
        <f>'Roll Up'!C59</f>
        <v>8000</v>
      </c>
    </row>
    <row r="38" spans="1:6" x14ac:dyDescent="0.3">
      <c r="A38" s="81" t="s">
        <v>366</v>
      </c>
      <c r="C38" s="82">
        <f>'Roll Up'!C60</f>
        <v>18603.5</v>
      </c>
      <c r="D38" s="16">
        <f>'Roll Up'!D60</f>
        <v>37500</v>
      </c>
      <c r="E38" s="80">
        <f>'Roll Up'!E60</f>
        <v>18896.5</v>
      </c>
      <c r="F38" s="43">
        <f>'Roll Up'!F60</f>
        <v>0.50390666666666661</v>
      </c>
    </row>
    <row r="39" spans="1:6" x14ac:dyDescent="0.3">
      <c r="A39" s="5" t="s">
        <v>423</v>
      </c>
      <c r="B39" s="5" t="s">
        <v>368</v>
      </c>
      <c r="C39" s="80">
        <f>'Roll Up'!C61</f>
        <v>5500</v>
      </c>
    </row>
    <row r="40" spans="1:6" x14ac:dyDescent="0.3">
      <c r="A40" s="81" t="s">
        <v>369</v>
      </c>
      <c r="C40" s="82">
        <f>'Roll Up'!C62</f>
        <v>13103.5</v>
      </c>
      <c r="D40" s="16">
        <f>'Roll Up'!D62</f>
        <v>33000</v>
      </c>
      <c r="E40" s="80">
        <f>'Roll Up'!E62</f>
        <v>19896.5</v>
      </c>
      <c r="F40" s="43">
        <f>'Roll Up'!F62</f>
        <v>0.60292424242424247</v>
      </c>
    </row>
    <row r="42" spans="1:6" x14ac:dyDescent="0.3">
      <c r="A42" s="83" t="s">
        <v>424</v>
      </c>
      <c r="B42" s="40" t="s">
        <v>484</v>
      </c>
      <c r="C42" s="5" t="s">
        <v>425</v>
      </c>
      <c r="D42" s="84">
        <v>46169</v>
      </c>
    </row>
    <row r="43" spans="1:6" x14ac:dyDescent="0.3">
      <c r="A43" s="108" t="s">
        <v>569</v>
      </c>
      <c r="B43" s="109"/>
      <c r="C43" s="109"/>
      <c r="D43" s="109"/>
      <c r="E43" s="109"/>
      <c r="F43" s="109"/>
    </row>
    <row r="44" spans="1:6" x14ac:dyDescent="0.3">
      <c r="A44" s="98" t="s">
        <v>570</v>
      </c>
      <c r="B44" s="98" t="s">
        <v>571</v>
      </c>
      <c r="C44" s="99">
        <f>'Roll Up'!D74</f>
        <v>8590.8168593903465</v>
      </c>
      <c r="D44" s="98" t="s">
        <v>572</v>
      </c>
    </row>
    <row r="45" spans="1:6" x14ac:dyDescent="0.3">
      <c r="A45" s="5" t="s">
        <v>573</v>
      </c>
      <c r="C45" s="80">
        <f>'Roll Up'!D68</f>
        <v>7472.941933585289</v>
      </c>
    </row>
    <row r="46" spans="1:6" x14ac:dyDescent="0.3">
      <c r="A46" s="5" t="s">
        <v>574</v>
      </c>
      <c r="C46" s="80">
        <f>'Roll Up'!D71</f>
        <v>1117.874925805058</v>
      </c>
    </row>
    <row r="47" spans="1:6" x14ac:dyDescent="0.3">
      <c r="A47" s="5" t="s">
        <v>485</v>
      </c>
    </row>
    <row r="50" spans="1:1" x14ac:dyDescent="0.3">
      <c r="A50" s="5" t="s">
        <v>486</v>
      </c>
    </row>
  </sheetData>
  <mergeCells count="1">
    <mergeCell ref="A43:F4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sheetPr codeName="Sheet4"/>
  <dimension ref="A1:O84"/>
  <sheetViews>
    <sheetView topLeftCell="E17" zoomScale="109" workbookViewId="0">
      <selection activeCell="G16" sqref="G16"/>
    </sheetView>
  </sheetViews>
  <sheetFormatPr defaultRowHeight="14.4" x14ac:dyDescent="0.3"/>
  <cols>
    <col min="1" max="1" width="11.109375" style="5" customWidth="1"/>
    <col min="2" max="2" width="37" style="5" customWidth="1"/>
    <col min="3" max="6" width="20.33203125" style="5" customWidth="1"/>
    <col min="7" max="7" width="29.6640625" style="5" customWidth="1"/>
    <col min="8" max="8" width="8.88671875" style="5"/>
    <col min="9" max="9" width="9.44140625" style="5" bestFit="1" customWidth="1"/>
    <col min="10" max="10" width="14.109375" style="5" bestFit="1" customWidth="1"/>
    <col min="11" max="16384" width="8.88671875" style="5"/>
  </cols>
  <sheetData>
    <row r="1" spans="1:15" ht="18" x14ac:dyDescent="0.35">
      <c r="A1" s="11" t="s">
        <v>79</v>
      </c>
    </row>
    <row r="3" spans="1:15" ht="45" customHeight="1" x14ac:dyDescent="0.3">
      <c r="A3" s="5" t="s">
        <v>380</v>
      </c>
    </row>
    <row r="5" spans="1:15" x14ac:dyDescent="0.3">
      <c r="A5" s="13" t="s">
        <v>1</v>
      </c>
      <c r="B5" s="13" t="s">
        <v>47</v>
      </c>
      <c r="C5" s="13" t="s">
        <v>80</v>
      </c>
      <c r="D5" s="13" t="s">
        <v>85</v>
      </c>
      <c r="E5" s="13" t="s">
        <v>86</v>
      </c>
      <c r="F5" s="13" t="s">
        <v>89</v>
      </c>
      <c r="G5" s="13" t="s">
        <v>381</v>
      </c>
      <c r="I5" s="13" t="s">
        <v>415</v>
      </c>
      <c r="J5" s="13" t="s">
        <v>416</v>
      </c>
      <c r="K5" s="13" t="s">
        <v>417</v>
      </c>
      <c r="M5" s="13" t="s">
        <v>418</v>
      </c>
      <c r="N5" s="13" t="s">
        <v>419</v>
      </c>
      <c r="O5" s="13" t="s">
        <v>420</v>
      </c>
    </row>
    <row r="6" spans="1:15" x14ac:dyDescent="0.3">
      <c r="A6" s="5">
        <v>5200</v>
      </c>
      <c r="B6" s="5" t="s">
        <v>99</v>
      </c>
      <c r="C6" s="16">
        <f>'Roll Up'!C12</f>
        <v>103</v>
      </c>
      <c r="D6" s="16">
        <f>('Roll Up'!J12-'Roll Up'!K12)/3</f>
        <v>0</v>
      </c>
      <c r="E6" s="16">
        <f t="shared" ref="E6:E33" si="0">C6+D6</f>
        <v>103</v>
      </c>
      <c r="F6" s="16">
        <f>SQRT(('Roll Up'!J12^2+'Roll Up'!K12^2-'Roll Up'!J12*'Roll Up'!K12)/18)</f>
        <v>12.138666410369066</v>
      </c>
      <c r="G6" s="5" t="str">
        <f t="shared" ref="G6:G33" si="1">"["&amp;TEXT(E6-1.96*F6,"#,##0")&amp;" – "&amp;TEXT(E6+1.96*F6,"#,##0")&amp;"]"</f>
        <v>[79 – 127]</v>
      </c>
      <c r="I6" s="5">
        <v>7567.6074148454081</v>
      </c>
      <c r="J6" s="5">
        <f t="shared" ref="J6:J35" si="2">IF(I6&lt;=$B$37, _xlfn.NORM.DIST(I6,$D$37,$F$37,FALSE), NA())</f>
        <v>1.0568007956339716E-6</v>
      </c>
      <c r="K6" s="5" t="e">
        <f t="shared" ref="K6:K35" si="3">IF(I6&gt;=$B$37, _xlfn.NORM.DIST(I6,$D$37,$F$37,FALSE), NA())</f>
        <v>#N/A</v>
      </c>
      <c r="M6" s="5" t="str">
        <f>"Target"</f>
        <v>Target</v>
      </c>
      <c r="N6" s="5">
        <f>$B$37</f>
        <v>8320</v>
      </c>
      <c r="O6" s="5">
        <v>0</v>
      </c>
    </row>
    <row r="7" spans="1:15" x14ac:dyDescent="0.3">
      <c r="A7" s="5">
        <v>5300</v>
      </c>
      <c r="B7" s="5" t="s">
        <v>23</v>
      </c>
      <c r="C7" s="16">
        <f>'Roll Up'!C13</f>
        <v>1785</v>
      </c>
      <c r="D7" s="16">
        <f>('Roll Up'!J13-'Roll Up'!K13)/3</f>
        <v>0</v>
      </c>
      <c r="E7" s="16">
        <f t="shared" si="0"/>
        <v>1785</v>
      </c>
      <c r="F7" s="16">
        <f>SQRT(('Roll Up'!J13^2+'Roll Up'!K13^2-'Roll Up'!J13*'Roll Up'!K13)/18)</f>
        <v>210.36426740299788</v>
      </c>
      <c r="G7" s="5" t="str">
        <f t="shared" si="1"/>
        <v>[1,373 – 2,197]</v>
      </c>
      <c r="I7" s="5">
        <v>7599.7547294742726</v>
      </c>
      <c r="J7" s="5">
        <f t="shared" si="2"/>
        <v>1.4932556760782316E-6</v>
      </c>
      <c r="K7" s="5" t="e">
        <f t="shared" si="3"/>
        <v>#N/A</v>
      </c>
      <c r="M7" s="5" t="str">
        <f>"Target"</f>
        <v>Target</v>
      </c>
      <c r="N7" s="16">
        <f>$B$37</f>
        <v>8320</v>
      </c>
      <c r="O7" s="5">
        <f>1.05/($F$37*SQRT(2*PI()))</f>
        <v>1.219027981387711E-3</v>
      </c>
    </row>
    <row r="8" spans="1:15" x14ac:dyDescent="0.3">
      <c r="A8" s="5">
        <v>5500</v>
      </c>
      <c r="B8" s="5" t="s">
        <v>100</v>
      </c>
      <c r="C8" s="16">
        <f>'Roll Up'!C14</f>
        <v>330</v>
      </c>
      <c r="D8" s="16">
        <f>('Roll Up'!J14-'Roll Up'!K14)/3</f>
        <v>0</v>
      </c>
      <c r="E8" s="16">
        <f t="shared" si="0"/>
        <v>330</v>
      </c>
      <c r="F8" s="16">
        <f>SQRT(('Roll Up'!J14^2+'Roll Up'!K14^2-'Roll Up'!J14*'Roll Up'!K14)/18)</f>
        <v>38.890872965260115</v>
      </c>
      <c r="G8" s="5" t="str">
        <f t="shared" si="1"/>
        <v>[254 – 406]</v>
      </c>
      <c r="I8" s="5">
        <v>7631.902044103138</v>
      </c>
      <c r="J8" s="5">
        <f t="shared" si="2"/>
        <v>2.0915785429441037E-6</v>
      </c>
      <c r="K8" s="5" t="e">
        <f t="shared" si="3"/>
        <v>#N/A</v>
      </c>
      <c r="M8" s="5" t="s">
        <v>421</v>
      </c>
      <c r="N8" s="5">
        <v>8853.5</v>
      </c>
      <c r="O8" s="5">
        <v>0</v>
      </c>
    </row>
    <row r="9" spans="1:15" x14ac:dyDescent="0.3">
      <c r="A9" s="5">
        <v>5600</v>
      </c>
      <c r="B9" s="5" t="s">
        <v>26</v>
      </c>
      <c r="C9" s="16">
        <f>'Roll Up'!C15</f>
        <v>124</v>
      </c>
      <c r="D9" s="16">
        <f>('Roll Up'!J15-'Roll Up'!K15)/3</f>
        <v>0</v>
      </c>
      <c r="E9" s="16">
        <f t="shared" si="0"/>
        <v>124</v>
      </c>
      <c r="F9" s="16">
        <f>SQRT(('Roll Up'!J15^2+'Roll Up'!K15^2-'Roll Up'!J15*'Roll Up'!K15)/18)</f>
        <v>7.2596296201818884</v>
      </c>
      <c r="G9" s="5" t="str">
        <f t="shared" si="1"/>
        <v>[110 – 138]</v>
      </c>
      <c r="I9" s="5">
        <v>7664.0493587320025</v>
      </c>
      <c r="J9" s="5">
        <f t="shared" si="2"/>
        <v>2.9041105358628738E-6</v>
      </c>
      <c r="K9" s="5" t="e">
        <f t="shared" si="3"/>
        <v>#N/A</v>
      </c>
      <c r="M9" s="5" t="str">
        <f>"Adjusted Mean"</f>
        <v>Adjusted Mean</v>
      </c>
      <c r="N9" s="16">
        <f>$D$37</f>
        <v>8853.5</v>
      </c>
      <c r="O9" s="5">
        <f>1.05/($F$37*SQRT(2*PI()))</f>
        <v>1.219027981387711E-3</v>
      </c>
    </row>
    <row r="10" spans="1:15" x14ac:dyDescent="0.3">
      <c r="A10" s="5">
        <v>5700</v>
      </c>
      <c r="B10" s="5" t="s">
        <v>27</v>
      </c>
      <c r="C10" s="16">
        <f>'Roll Up'!C16</f>
        <v>1158</v>
      </c>
      <c r="D10" s="16">
        <f>('Roll Up'!J16-'Roll Up'!K16)/3</f>
        <v>0</v>
      </c>
      <c r="E10" s="16">
        <f t="shared" si="0"/>
        <v>1158</v>
      </c>
      <c r="F10" s="16">
        <f>SQRT(('Roll Up'!J16^2+'Roll Up'!K16^2-'Roll Up'!J16*'Roll Up'!K16)/18)</f>
        <v>136.47160876900367</v>
      </c>
      <c r="G10" s="5" t="str">
        <f t="shared" si="1"/>
        <v>[891 – 1,425]</v>
      </c>
      <c r="I10" s="5">
        <v>7696.196673360867</v>
      </c>
      <c r="J10" s="5">
        <f t="shared" si="2"/>
        <v>3.9971557217974809E-6</v>
      </c>
      <c r="K10" s="5" t="e">
        <f t="shared" si="3"/>
        <v>#N/A</v>
      </c>
      <c r="M10" s="5" t="str">
        <f>"P95"</f>
        <v>P95</v>
      </c>
      <c r="N10" s="5">
        <f>$D$37+1.96*$F$37</f>
        <v>9527.0064539958439</v>
      </c>
      <c r="O10" s="5">
        <f>0</f>
        <v>0</v>
      </c>
    </row>
    <row r="11" spans="1:15" x14ac:dyDescent="0.3">
      <c r="A11" s="5">
        <v>3200</v>
      </c>
      <c r="B11" s="5" t="s">
        <v>15</v>
      </c>
      <c r="C11" s="16">
        <f>'Roll Up'!C17</f>
        <v>970</v>
      </c>
      <c r="D11" s="16">
        <f>('Roll Up'!J17-'Roll Up'!K17)/3</f>
        <v>0</v>
      </c>
      <c r="E11" s="16">
        <f t="shared" si="0"/>
        <v>970</v>
      </c>
      <c r="F11" s="16">
        <f>SQRT(('Roll Up'!J17^2+'Roll Up'!K17^2-'Roll Up'!J17*'Roll Up'!K17)/18)</f>
        <v>114.31559629182517</v>
      </c>
      <c r="G11" s="5" t="str">
        <f t="shared" si="1"/>
        <v>[746 – 1,194]</v>
      </c>
      <c r="I11" s="5">
        <v>7728.3439879897323</v>
      </c>
      <c r="J11" s="5">
        <f t="shared" si="2"/>
        <v>5.4536586853881079E-6</v>
      </c>
      <c r="K11" s="5" t="e">
        <f t="shared" si="3"/>
        <v>#N/A</v>
      </c>
      <c r="M11" s="5" t="str">
        <f>"P95"</f>
        <v>P95</v>
      </c>
      <c r="N11" s="5">
        <f>$D$37+1.96*$F$37</f>
        <v>9527.0064539958439</v>
      </c>
      <c r="O11" s="5">
        <f>1.05/($F$37*SQRT(2*PI()))</f>
        <v>1.219027981387711E-3</v>
      </c>
    </row>
    <row r="12" spans="1:15" x14ac:dyDescent="0.3">
      <c r="A12" s="5">
        <v>2100</v>
      </c>
      <c r="B12" s="5" t="s">
        <v>4</v>
      </c>
      <c r="C12" s="16">
        <f>'Roll Up'!C20</f>
        <v>78</v>
      </c>
      <c r="D12" s="16">
        <f>('Roll Up'!J20-'Roll Up'!K20)/3</f>
        <v>0</v>
      </c>
      <c r="E12" s="16">
        <f t="shared" si="0"/>
        <v>78</v>
      </c>
      <c r="F12" s="16">
        <f>SQRT(('Roll Up'!J20^2+'Roll Up'!K20^2-'Roll Up'!J20*'Roll Up'!K20)/18)</f>
        <v>9.1923881554251174</v>
      </c>
      <c r="G12" s="5" t="str">
        <f t="shared" si="1"/>
        <v>[60 – 96]</v>
      </c>
      <c r="I12" s="5">
        <v>7760.4913026185968</v>
      </c>
      <c r="J12" s="5">
        <f t="shared" si="2"/>
        <v>7.3760491461864459E-6</v>
      </c>
      <c r="K12" s="5" t="e">
        <f t="shared" si="3"/>
        <v>#N/A</v>
      </c>
    </row>
    <row r="13" spans="1:15" x14ac:dyDescent="0.3">
      <c r="A13" s="5">
        <v>2700</v>
      </c>
      <c r="B13" s="5" t="s">
        <v>10</v>
      </c>
      <c r="C13" s="16">
        <f>'Roll Up'!C21</f>
        <v>220</v>
      </c>
      <c r="D13" s="16">
        <f>('Roll Up'!J21-'Roll Up'!K21)/3</f>
        <v>0</v>
      </c>
      <c r="E13" s="16">
        <f t="shared" si="0"/>
        <v>220</v>
      </c>
      <c r="F13" s="16">
        <f>SQRT(('Roll Up'!J21^2+'Roll Up'!K21^2-'Roll Up'!J21*'Roll Up'!K21)/18)</f>
        <v>24.230192368659029</v>
      </c>
      <c r="G13" s="5" t="str">
        <f t="shared" si="1"/>
        <v>[173 – 267]</v>
      </c>
      <c r="I13" s="5">
        <v>7792.6386172474613</v>
      </c>
      <c r="J13" s="5">
        <f t="shared" si="2"/>
        <v>9.8891419321178273E-6</v>
      </c>
      <c r="K13" s="5" t="e">
        <f t="shared" si="3"/>
        <v>#N/A</v>
      </c>
    </row>
    <row r="14" spans="1:15" x14ac:dyDescent="0.3">
      <c r="A14" s="5">
        <v>2800</v>
      </c>
      <c r="B14" s="5" t="s">
        <v>336</v>
      </c>
      <c r="C14" s="16">
        <f>'Roll Up'!C22</f>
        <v>220</v>
      </c>
      <c r="D14" s="16">
        <f>('Roll Up'!J22-'Roll Up'!K22)/3</f>
        <v>0</v>
      </c>
      <c r="E14" s="16">
        <f t="shared" si="0"/>
        <v>220</v>
      </c>
      <c r="F14" s="16">
        <f>SQRT(('Roll Up'!J22^2+'Roll Up'!K22^2-'Roll Up'!J22*'Roll Up'!K22)/18)</f>
        <v>25.92724864350674</v>
      </c>
      <c r="G14" s="5" t="str">
        <f t="shared" si="1"/>
        <v>[169 – 271]</v>
      </c>
      <c r="I14" s="5">
        <v>7824.7859318763267</v>
      </c>
      <c r="J14" s="5">
        <f t="shared" si="2"/>
        <v>1.314293558415585E-5</v>
      </c>
      <c r="K14" s="5" t="e">
        <f t="shared" si="3"/>
        <v>#N/A</v>
      </c>
    </row>
    <row r="15" spans="1:15" x14ac:dyDescent="0.3">
      <c r="A15" s="5">
        <v>2900</v>
      </c>
      <c r="B15" s="5" t="s">
        <v>12</v>
      </c>
      <c r="C15" s="16">
        <f>'Roll Up'!C23</f>
        <v>90</v>
      </c>
      <c r="D15" s="16">
        <f>('Roll Up'!J23-'Roll Up'!K23)/3</f>
        <v>0</v>
      </c>
      <c r="E15" s="16">
        <f t="shared" si="0"/>
        <v>90</v>
      </c>
      <c r="F15" s="16">
        <f>SQRT(('Roll Up'!J23^2+'Roll Up'!K23^2-'Roll Up'!J23*'Roll Up'!K23)/18)</f>
        <v>10.606601717798213</v>
      </c>
      <c r="G15" s="5" t="str">
        <f t="shared" si="1"/>
        <v>[69 – 111]</v>
      </c>
      <c r="I15" s="5">
        <v>7856.9332465051912</v>
      </c>
      <c r="J15" s="5">
        <f t="shared" si="2"/>
        <v>1.7315104206169074E-5</v>
      </c>
      <c r="K15" s="5" t="e">
        <f t="shared" si="3"/>
        <v>#N/A</v>
      </c>
    </row>
    <row r="16" spans="1:15" x14ac:dyDescent="0.3">
      <c r="A16" s="5">
        <v>3000</v>
      </c>
      <c r="B16" s="5" t="s">
        <v>382</v>
      </c>
      <c r="C16" s="16">
        <f>'Roll Up'!C24</f>
        <v>67</v>
      </c>
      <c r="D16" s="16">
        <f>('Roll Up'!J24-'Roll Up'!K24)/3</f>
        <v>0</v>
      </c>
      <c r="E16" s="16">
        <f t="shared" si="0"/>
        <v>67</v>
      </c>
      <c r="F16" s="16">
        <f>SQRT(('Roll Up'!J24^2+'Roll Up'!K24^2-'Roll Up'!J24*'Roll Up'!K24)/18)</f>
        <v>7.8960257232497808</v>
      </c>
      <c r="G16" s="5" t="str">
        <f t="shared" si="1"/>
        <v>[52 – 82]</v>
      </c>
      <c r="I16" s="5">
        <v>7889.0805611340566</v>
      </c>
      <c r="J16" s="5">
        <f t="shared" si="2"/>
        <v>2.261292804216477E-5</v>
      </c>
      <c r="K16" s="5" t="e">
        <f t="shared" si="3"/>
        <v>#N/A</v>
      </c>
    </row>
    <row r="17" spans="1:11" x14ac:dyDescent="0.3">
      <c r="A17" s="5">
        <v>3500</v>
      </c>
      <c r="B17" s="5" t="s">
        <v>18</v>
      </c>
      <c r="C17" s="16">
        <f>'Roll Up'!C25</f>
        <v>48</v>
      </c>
      <c r="D17" s="16">
        <f>('Roll Up'!J25-'Roll Up'!K25)/3</f>
        <v>0</v>
      </c>
      <c r="E17" s="16">
        <f t="shared" si="0"/>
        <v>48</v>
      </c>
      <c r="F17" s="16">
        <f>SQRT(('Roll Up'!J25^2+'Roll Up'!K25^2-'Roll Up'!J25*'Roll Up'!K25)/18)</f>
        <v>4.1012193308819755</v>
      </c>
      <c r="G17" s="5" t="str">
        <f t="shared" si="1"/>
        <v>[40 – 56]</v>
      </c>
      <c r="I17" s="5">
        <v>7921.227875762921</v>
      </c>
      <c r="J17" s="5">
        <f t="shared" si="2"/>
        <v>2.9274362940106071E-5</v>
      </c>
      <c r="K17" s="5" t="e">
        <f t="shared" si="3"/>
        <v>#N/A</v>
      </c>
    </row>
    <row r="18" spans="1:11" x14ac:dyDescent="0.3">
      <c r="A18" s="5">
        <v>3600</v>
      </c>
      <c r="B18" s="5" t="s">
        <v>19</v>
      </c>
      <c r="C18" s="16">
        <f>'Roll Up'!C26</f>
        <v>58</v>
      </c>
      <c r="D18" s="16">
        <f>('Roll Up'!J26-'Roll Up'!K26)/3</f>
        <v>0</v>
      </c>
      <c r="E18" s="16">
        <f t="shared" si="0"/>
        <v>58</v>
      </c>
      <c r="F18" s="16">
        <f>SQRT(('Roll Up'!J26^2+'Roll Up'!K26^2-'Roll Up'!J26*'Roll Up'!K26)/18)</f>
        <v>6.8353655514699589</v>
      </c>
      <c r="G18" s="5" t="str">
        <f t="shared" si="1"/>
        <v>[45 – 71]</v>
      </c>
      <c r="I18" s="5">
        <v>7953.3751903917855</v>
      </c>
      <c r="J18" s="5">
        <f t="shared" si="2"/>
        <v>3.7567912691301138E-5</v>
      </c>
      <c r="K18" s="5" t="e">
        <f t="shared" si="3"/>
        <v>#N/A</v>
      </c>
    </row>
    <row r="19" spans="1:11" x14ac:dyDescent="0.3">
      <c r="A19" s="5">
        <v>3800</v>
      </c>
      <c r="B19" s="5" t="s">
        <v>120</v>
      </c>
      <c r="C19" s="16">
        <f>'Roll Up'!C27</f>
        <v>46</v>
      </c>
      <c r="D19" s="16">
        <f>('Roll Up'!J27-'Roll Up'!K27)/3</f>
        <v>0</v>
      </c>
      <c r="E19" s="16">
        <f t="shared" si="0"/>
        <v>46</v>
      </c>
      <c r="F19" s="16">
        <f>SQRT(('Roll Up'!J27^2+'Roll Up'!K27^2-'Roll Up'!J27*'Roll Up'!K27)/18)</f>
        <v>5.421151989096864</v>
      </c>
      <c r="G19" s="5" t="str">
        <f t="shared" si="1"/>
        <v>[35 – 57]</v>
      </c>
      <c r="I19" s="5">
        <v>7985.5225050206509</v>
      </c>
      <c r="J19" s="5">
        <f t="shared" si="2"/>
        <v>4.7790947393283847E-5</v>
      </c>
      <c r="K19" s="5" t="e">
        <f t="shared" si="3"/>
        <v>#N/A</v>
      </c>
    </row>
    <row r="20" spans="1:11" x14ac:dyDescent="0.3">
      <c r="A20" s="5" t="s">
        <v>124</v>
      </c>
      <c r="B20" s="5" t="s">
        <v>119</v>
      </c>
      <c r="C20" s="16">
        <f>'Roll Up'!C30</f>
        <v>386</v>
      </c>
      <c r="D20" s="16">
        <f>('Roll Up'!J30-'Roll Up'!K30)/3</f>
        <v>0</v>
      </c>
      <c r="E20" s="16">
        <f t="shared" si="0"/>
        <v>386</v>
      </c>
      <c r="F20" s="16">
        <f>SQRT(('Roll Up'!J30^2+'Roll Up'!K30^2-'Roll Up'!J30*'Roll Up'!K30)/18)</f>
        <v>37.00525488209599</v>
      </c>
      <c r="G20" s="5" t="str">
        <f t="shared" si="1"/>
        <v>[313 – 459]</v>
      </c>
      <c r="I20" s="5">
        <v>8017.6698196495154</v>
      </c>
      <c r="J20" s="5">
        <f t="shared" si="2"/>
        <v>6.0266112072904175E-5</v>
      </c>
      <c r="K20" s="5" t="e">
        <f t="shared" si="3"/>
        <v>#N/A</v>
      </c>
    </row>
    <row r="21" spans="1:11" x14ac:dyDescent="0.3">
      <c r="A21" s="5" t="s">
        <v>125</v>
      </c>
      <c r="B21" s="5" t="s">
        <v>383</v>
      </c>
      <c r="C21" s="16">
        <f>'Roll Up'!C31</f>
        <v>580</v>
      </c>
      <c r="D21" s="16">
        <f>('Roll Up'!J31-'Roll Up'!K31)/3</f>
        <v>0</v>
      </c>
      <c r="E21" s="16">
        <f t="shared" si="0"/>
        <v>580</v>
      </c>
      <c r="F21" s="16">
        <f>SQRT(('Roll Up'!J31^2+'Roll Up'!K31^2-'Roll Up'!J31*'Roll Up'!K31)/18)</f>
        <v>68.353655514699597</v>
      </c>
      <c r="G21" s="5" t="str">
        <f t="shared" si="1"/>
        <v>[446 – 714]</v>
      </c>
      <c r="I21" s="5">
        <v>8049.8171342783799</v>
      </c>
      <c r="J21" s="5">
        <f t="shared" si="2"/>
        <v>7.5335499264197946E-5</v>
      </c>
      <c r="K21" s="5" t="e">
        <f t="shared" si="3"/>
        <v>#N/A</v>
      </c>
    </row>
    <row r="22" spans="1:11" x14ac:dyDescent="0.3">
      <c r="A22" s="5">
        <v>3300</v>
      </c>
      <c r="B22" s="5" t="s">
        <v>16</v>
      </c>
      <c r="C22" s="16">
        <f>'Roll Up'!C32</f>
        <v>28.5</v>
      </c>
      <c r="D22" s="16">
        <f>('Roll Up'!J32-'Roll Up'!K32)/3</f>
        <v>0</v>
      </c>
      <c r="E22" s="16">
        <f t="shared" si="0"/>
        <v>28.5</v>
      </c>
      <c r="F22" s="16">
        <f>SQRT(('Roll Up'!J32^2+'Roll Up'!K32^2-'Roll Up'!J32*'Roll Up'!K32)/18)</f>
        <v>2.5632620818012342</v>
      </c>
      <c r="G22" s="5" t="str">
        <f t="shared" si="1"/>
        <v>[23 – 34]</v>
      </c>
      <c r="I22" s="5">
        <v>8081.9644489072452</v>
      </c>
      <c r="J22" s="5">
        <f t="shared" si="2"/>
        <v>9.3352322595602842E-5</v>
      </c>
      <c r="K22" s="5" t="e">
        <f t="shared" si="3"/>
        <v>#N/A</v>
      </c>
    </row>
    <row r="23" spans="1:11" x14ac:dyDescent="0.3">
      <c r="A23" s="5">
        <v>2200</v>
      </c>
      <c r="B23" s="5" t="s">
        <v>5</v>
      </c>
      <c r="C23" s="16">
        <f>'Roll Up'!C35</f>
        <v>16</v>
      </c>
      <c r="D23" s="16">
        <f>('Roll Up'!J35-'Roll Up'!K35)/3</f>
        <v>0</v>
      </c>
      <c r="E23" s="16">
        <f t="shared" si="0"/>
        <v>16</v>
      </c>
      <c r="F23" s="16">
        <f>SQRT(('Roll Up'!J35^2+'Roll Up'!K35^2-'Roll Up'!J35*'Roll Up'!K35)/18)</f>
        <v>1.0370899457402698</v>
      </c>
      <c r="G23" s="5" t="str">
        <f t="shared" si="1"/>
        <v>[14 – 18]</v>
      </c>
      <c r="I23" s="5">
        <v>8114.1117635361097</v>
      </c>
      <c r="J23" s="5">
        <f t="shared" si="2"/>
        <v>1.1466992947512223E-4</v>
      </c>
      <c r="K23" s="5" t="e">
        <f t="shared" si="3"/>
        <v>#N/A</v>
      </c>
    </row>
    <row r="24" spans="1:11" x14ac:dyDescent="0.3">
      <c r="A24" s="5">
        <v>2300</v>
      </c>
      <c r="B24" s="5" t="s">
        <v>6</v>
      </c>
      <c r="C24" s="16">
        <f>'Roll Up'!C36</f>
        <v>37</v>
      </c>
      <c r="D24" s="16">
        <f>('Roll Up'!J36-'Roll Up'!K36)/3</f>
        <v>0</v>
      </c>
      <c r="E24" s="16">
        <f t="shared" si="0"/>
        <v>37</v>
      </c>
      <c r="F24" s="16">
        <f>SQRT(('Roll Up'!J36^2+'Roll Up'!K36^2-'Roll Up'!J36*'Roll Up'!K36)/18)</f>
        <v>3.6533850361304956</v>
      </c>
      <c r="G24" s="5" t="str">
        <f t="shared" si="1"/>
        <v>[30 – 44]</v>
      </c>
      <c r="I24" s="5">
        <v>8146.2590781649742</v>
      </c>
      <c r="J24" s="5">
        <f t="shared" si="2"/>
        <v>1.3962813079171349E-4</v>
      </c>
      <c r="K24" s="5" t="e">
        <f t="shared" si="3"/>
        <v>#N/A</v>
      </c>
    </row>
    <row r="25" spans="1:11" x14ac:dyDescent="0.3">
      <c r="A25" s="5">
        <v>3100</v>
      </c>
      <c r="B25" s="5" t="s">
        <v>342</v>
      </c>
      <c r="C25" s="16">
        <f>'Roll Up'!C37</f>
        <v>61</v>
      </c>
      <c r="D25" s="16">
        <f>('Roll Up'!J37-'Roll Up'!K37)/3</f>
        <v>0</v>
      </c>
      <c r="E25" s="16">
        <f t="shared" si="0"/>
        <v>61</v>
      </c>
      <c r="F25" s="16">
        <f>SQRT(('Roll Up'!J37^2+'Roll Up'!K37^2-'Roll Up'!J37*'Roll Up'!K37)/18)</f>
        <v>2.6987908815286565</v>
      </c>
      <c r="G25" s="5" t="str">
        <f t="shared" si="1"/>
        <v>[56 – 66]</v>
      </c>
      <c r="I25" s="5">
        <v>8178.4063927938396</v>
      </c>
      <c r="J25" s="5">
        <f t="shared" si="2"/>
        <v>1.6853700182804668E-4</v>
      </c>
      <c r="K25" s="5" t="e">
        <f t="shared" si="3"/>
        <v>#N/A</v>
      </c>
    </row>
    <row r="26" spans="1:11" x14ac:dyDescent="0.3">
      <c r="A26" s="5">
        <v>3400</v>
      </c>
      <c r="B26" s="5" t="s">
        <v>17</v>
      </c>
      <c r="C26" s="16">
        <f>'Roll Up'!C38</f>
        <v>90</v>
      </c>
      <c r="D26" s="16">
        <f>('Roll Up'!J38-'Roll Up'!K38)/3</f>
        <v>0</v>
      </c>
      <c r="E26" s="16">
        <f t="shared" si="0"/>
        <v>90</v>
      </c>
      <c r="F26" s="16">
        <f>SQRT(('Roll Up'!J38^2+'Roll Up'!K38^2-'Roll Up'!J38*'Roll Up'!K38)/18)</f>
        <v>7.4953318805774041</v>
      </c>
      <c r="G26" s="5" t="str">
        <f t="shared" si="1"/>
        <v>[75 – 105]</v>
      </c>
      <c r="I26" s="5">
        <v>8210.5537074227032</v>
      </c>
      <c r="J26" s="5">
        <f t="shared" si="2"/>
        <v>2.0165851485608679E-4</v>
      </c>
      <c r="K26" s="5" t="e">
        <f t="shared" si="3"/>
        <v>#N/A</v>
      </c>
    </row>
    <row r="27" spans="1:11" x14ac:dyDescent="0.3">
      <c r="A27" s="5">
        <v>7100</v>
      </c>
      <c r="B27" s="5" t="s">
        <v>102</v>
      </c>
      <c r="C27" s="16">
        <f>'Roll Up'!C41</f>
        <v>1440</v>
      </c>
      <c r="D27" s="16">
        <f>('Roll Up'!J41-'Roll Up'!K41)/3</f>
        <v>0</v>
      </c>
      <c r="E27" s="16">
        <f t="shared" si="0"/>
        <v>1440</v>
      </c>
      <c r="F27" s="16">
        <f>SQRT(('Roll Up'!J41^2+'Roll Up'!K41^2-'Roll Up'!J41*'Roll Up'!K41)/18)</f>
        <v>169.70562748477141</v>
      </c>
      <c r="G27" s="5" t="str">
        <f t="shared" si="1"/>
        <v>[1,107 – 1,773]</v>
      </c>
      <c r="I27" s="5">
        <v>8242.7010220515695</v>
      </c>
      <c r="J27" s="5">
        <f t="shared" si="2"/>
        <v>2.3918658930349672E-4</v>
      </c>
      <c r="K27" s="5" t="e">
        <f t="shared" si="3"/>
        <v>#N/A</v>
      </c>
    </row>
    <row r="28" spans="1:11" x14ac:dyDescent="0.3">
      <c r="A28" s="5">
        <v>7300</v>
      </c>
      <c r="B28" s="5" t="s">
        <v>29</v>
      </c>
      <c r="C28" s="16">
        <f>'Roll Up'!C42</f>
        <v>75</v>
      </c>
      <c r="D28" s="16">
        <f>('Roll Up'!J42-'Roll Up'!K42)/3</f>
        <v>0</v>
      </c>
      <c r="E28" s="16">
        <f t="shared" si="0"/>
        <v>75</v>
      </c>
      <c r="F28" s="16">
        <f>SQRT(('Roll Up'!J42^2+'Roll Up'!K42^2-'Roll Up'!J42*'Roll Up'!K42)/18)</f>
        <v>8.8388347648318444</v>
      </c>
      <c r="G28" s="5" t="str">
        <f t="shared" si="1"/>
        <v>[58 – 92]</v>
      </c>
      <c r="I28" s="5">
        <v>8306.9956513092984</v>
      </c>
      <c r="J28" s="5">
        <f t="shared" si="2"/>
        <v>3.2777379690062275E-4</v>
      </c>
      <c r="K28" s="5" t="e">
        <f t="shared" si="3"/>
        <v>#N/A</v>
      </c>
    </row>
    <row r="29" spans="1:11" x14ac:dyDescent="0.3">
      <c r="A29" s="5">
        <v>7500</v>
      </c>
      <c r="B29" s="5" t="s">
        <v>121</v>
      </c>
      <c r="C29" s="16">
        <f>'Roll Up'!C43</f>
        <v>62</v>
      </c>
      <c r="D29" s="16">
        <f>('Roll Up'!J43-'Roll Up'!K43)/3</f>
        <v>0</v>
      </c>
      <c r="E29" s="16">
        <f t="shared" si="0"/>
        <v>62</v>
      </c>
      <c r="F29" s="16">
        <f>SQRT(('Roll Up'!J43^2+'Roll Up'!K43^2-'Roll Up'!J43*'Roll Up'!K43)/18)</f>
        <v>7.3067700722609912</v>
      </c>
      <c r="G29" s="5" t="str">
        <f t="shared" si="1"/>
        <v>[48 – 76]</v>
      </c>
      <c r="I29" s="5">
        <v>8339.1429659381629</v>
      </c>
      <c r="J29" s="5" t="e">
        <f t="shared" si="2"/>
        <v>#N/A</v>
      </c>
      <c r="K29" s="5">
        <f t="shared" si="3"/>
        <v>3.7869657419930039E-4</v>
      </c>
    </row>
    <row r="30" spans="1:11" x14ac:dyDescent="0.3">
      <c r="A30" s="5">
        <v>8000</v>
      </c>
      <c r="B30" s="5" t="s">
        <v>33</v>
      </c>
      <c r="C30" s="16">
        <f>'Roll Up'!C44</f>
        <v>26</v>
      </c>
      <c r="D30" s="16">
        <f>('Roll Up'!J44-'Roll Up'!K44)/3</f>
        <v>0</v>
      </c>
      <c r="E30" s="16">
        <f t="shared" si="0"/>
        <v>26</v>
      </c>
      <c r="F30" s="16">
        <f>SQRT(('Roll Up'!J44^2+'Roll Up'!K44^2-'Roll Up'!J44*'Roll Up'!K44)/18)</f>
        <v>3.064129385141706</v>
      </c>
      <c r="G30" s="5" t="str">
        <f t="shared" si="1"/>
        <v>[20 – 32]</v>
      </c>
      <c r="I30" s="5">
        <v>8403.4375951958937</v>
      </c>
      <c r="J30" s="5" t="e">
        <f t="shared" si="2"/>
        <v>#N/A</v>
      </c>
      <c r="K30" s="5">
        <f t="shared" si="3"/>
        <v>4.9240510636533159E-4</v>
      </c>
    </row>
    <row r="31" spans="1:11" x14ac:dyDescent="0.3">
      <c r="A31" s="5">
        <v>2500</v>
      </c>
      <c r="B31" s="5" t="s">
        <v>98</v>
      </c>
      <c r="C31" s="16">
        <f>'Roll Up'!C47</f>
        <v>695</v>
      </c>
      <c r="D31" s="16">
        <f>('Roll Up'!J47-'Roll Up'!K47)/3</f>
        <v>0</v>
      </c>
      <c r="E31" s="16">
        <f t="shared" si="0"/>
        <v>695</v>
      </c>
      <c r="F31" s="16">
        <f>SQRT(('Roll Up'!J47^2+'Roll Up'!K47^2-'Roll Up'!J47*'Roll Up'!K47)/18)</f>
        <v>61.046885442438601</v>
      </c>
      <c r="G31" s="5" t="str">
        <f t="shared" si="1"/>
        <v>[575 – 815]</v>
      </c>
      <c r="I31" s="5">
        <v>8435.5849098247581</v>
      </c>
      <c r="J31" s="5" t="e">
        <f t="shared" si="2"/>
        <v>#N/A</v>
      </c>
      <c r="K31" s="5">
        <f t="shared" si="3"/>
        <v>5.5416178721620223E-4</v>
      </c>
    </row>
    <row r="32" spans="1:11" x14ac:dyDescent="0.3">
      <c r="A32" s="5">
        <v>2600</v>
      </c>
      <c r="B32" s="5" t="s">
        <v>9</v>
      </c>
      <c r="C32" s="16">
        <f>'Roll Up'!C48</f>
        <v>60</v>
      </c>
      <c r="D32" s="16">
        <f>('Roll Up'!J48-'Roll Up'!K48)/3</f>
        <v>0</v>
      </c>
      <c r="E32" s="16">
        <f t="shared" si="0"/>
        <v>60</v>
      </c>
      <c r="F32" s="16">
        <f>SQRT(('Roll Up'!J48^2+'Roll Up'!K48^2-'Roll Up'!J48*'Roll Up'!K48)/18)</f>
        <v>3.8890872965260113</v>
      </c>
      <c r="G32" s="5" t="str">
        <f t="shared" si="1"/>
        <v>[52 – 68]</v>
      </c>
      <c r="I32" s="5">
        <v>8467.7322244536226</v>
      </c>
      <c r="J32" s="5" t="e">
        <f t="shared" si="2"/>
        <v>#N/A</v>
      </c>
      <c r="K32" s="5">
        <f t="shared" si="3"/>
        <v>6.1822927086761044E-4</v>
      </c>
    </row>
    <row r="33" spans="1:11" x14ac:dyDescent="0.3">
      <c r="A33" s="3" t="s">
        <v>81</v>
      </c>
      <c r="B33" s="3" t="s">
        <v>82</v>
      </c>
      <c r="C33" s="71">
        <f>SUM(C6:C32)</f>
        <v>8853.5</v>
      </c>
      <c r="D33" s="71">
        <f>SUM(D6:D32)</f>
        <v>0</v>
      </c>
      <c r="E33" s="71">
        <f t="shared" si="0"/>
        <v>8853.5</v>
      </c>
      <c r="F33" s="71">
        <f>SQRT(SUMSQ(F6:F32))</f>
        <v>343.62574183461413</v>
      </c>
      <c r="G33" s="3" t="str">
        <f t="shared" si="1"/>
        <v>[8,180 – 9,527]</v>
      </c>
      <c r="I33" s="5">
        <v>8499.8795390824871</v>
      </c>
      <c r="J33" s="5" t="e">
        <f t="shared" si="2"/>
        <v>#N/A</v>
      </c>
      <c r="K33" s="5">
        <f t="shared" si="3"/>
        <v>6.8369359694012491E-4</v>
      </c>
    </row>
    <row r="34" spans="1:11" x14ac:dyDescent="0.3">
      <c r="I34" s="5">
        <v>8532.0268537113516</v>
      </c>
      <c r="J34" s="5" t="e">
        <f t="shared" si="2"/>
        <v>#N/A</v>
      </c>
      <c r="K34" s="5">
        <f t="shared" si="3"/>
        <v>7.4950135555729928E-4</v>
      </c>
    </row>
    <row r="35" spans="1:11" ht="15.6" x14ac:dyDescent="0.3">
      <c r="A35" s="73" t="s">
        <v>384</v>
      </c>
      <c r="I35" s="5">
        <v>8564.1741683402161</v>
      </c>
      <c r="J35" s="5" t="e">
        <f t="shared" si="2"/>
        <v>#N/A</v>
      </c>
      <c r="K35" s="5">
        <f t="shared" si="3"/>
        <v>8.1448350559378945E-4</v>
      </c>
    </row>
    <row r="36" spans="1:11" x14ac:dyDescent="0.3">
      <c r="I36" s="5">
        <v>8596.3214829690824</v>
      </c>
      <c r="J36" s="5" t="e">
        <f t="shared" ref="J36:J67" si="4">IF(I36&lt;=$B$37, _xlfn.NORM.DIST(I36,$D$37,$F$37,FALSE), NA())</f>
        <v>#N/A</v>
      </c>
      <c r="K36" s="5">
        <f t="shared" ref="K36:K67" si="5">IF(I36&gt;=$B$37, _xlfn.NORM.DIST(I36,$D$37,$F$37,FALSE), NA())</f>
        <v>8.7738685928020099E-4</v>
      </c>
    </row>
    <row r="37" spans="1:11" x14ac:dyDescent="0.3">
      <c r="A37" s="5" t="s">
        <v>385</v>
      </c>
      <c r="B37" s="74">
        <f>'Roll Up'!N51</f>
        <v>8320</v>
      </c>
      <c r="C37" s="5" t="s">
        <v>86</v>
      </c>
      <c r="D37" s="41">
        <f>E33</f>
        <v>8853.5</v>
      </c>
      <c r="E37" s="5" t="s">
        <v>89</v>
      </c>
      <c r="F37" s="41">
        <f>F33</f>
        <v>343.62574183461413</v>
      </c>
      <c r="I37" s="5">
        <v>8628.4687975979468</v>
      </c>
      <c r="J37" s="5" t="e">
        <f t="shared" si="4"/>
        <v>#N/A</v>
      </c>
      <c r="K37" s="5">
        <f t="shared" si="5"/>
        <v>9.3691225264038488E-4</v>
      </c>
    </row>
    <row r="38" spans="1:11" x14ac:dyDescent="0.3">
      <c r="A38" s="5" t="s">
        <v>386</v>
      </c>
      <c r="B38" s="41">
        <f>B37-D37</f>
        <v>-533.5</v>
      </c>
      <c r="C38" s="5" t="s">
        <v>387</v>
      </c>
      <c r="D38" s="75">
        <f>IFERROR((B37-D37)/F37,0)</f>
        <v>-1.5525612171883552</v>
      </c>
      <c r="I38" s="5">
        <v>8660.6161122268113</v>
      </c>
      <c r="J38" s="5" t="e">
        <f t="shared" si="4"/>
        <v>#N/A</v>
      </c>
      <c r="K38" s="5">
        <f t="shared" si="5"/>
        <v>9.917579086975545E-4</v>
      </c>
    </row>
    <row r="39" spans="1:11" x14ac:dyDescent="0.3">
      <c r="A39" s="5" t="s">
        <v>388</v>
      </c>
      <c r="B39" s="76">
        <f>IFERROR(_xlfn.NORM.DIST(B37,D37,F37,TRUE),0)</f>
        <v>6.0263998525482601E-2</v>
      </c>
      <c r="C39" s="5" t="s">
        <v>389</v>
      </c>
      <c r="D39" s="76">
        <f>1-B39</f>
        <v>0.93973600147451741</v>
      </c>
      <c r="I39" s="5">
        <v>8692.7634268556758</v>
      </c>
      <c r="J39" s="5" t="e">
        <f t="shared" si="4"/>
        <v>#N/A</v>
      </c>
      <c r="K39" s="5">
        <f t="shared" si="5"/>
        <v>1.0406660513229598E-3</v>
      </c>
    </row>
    <row r="40" spans="1:11" x14ac:dyDescent="0.3">
      <c r="A40" s="5" t="s">
        <v>87</v>
      </c>
      <c r="B40" s="40" t="str">
        <f>IF(B39&gt;=0.9,"✅ LOW RISK — high confidence under target",IF(B39&gt;=0.7,"⚠ MODERATE — monitor heavy items",IF(B39&gt;=0.5,"⚠ ELEVATED — mass reduction needed","❌ HIGH RISK — over target likely")))</f>
        <v>❌ HIGH RISK — over target likely</v>
      </c>
      <c r="I40" s="5">
        <v>8724.9107414845403</v>
      </c>
      <c r="J40" s="5" t="e">
        <f t="shared" si="4"/>
        <v>#N/A</v>
      </c>
      <c r="K40" s="5">
        <f t="shared" si="5"/>
        <v>1.0824704834713681E-3</v>
      </c>
    </row>
    <row r="41" spans="1:11" x14ac:dyDescent="0.3">
      <c r="I41" s="5">
        <v>8757.0580561134047</v>
      </c>
      <c r="J41" s="5" t="e">
        <f t="shared" si="4"/>
        <v>#N/A</v>
      </c>
      <c r="K41" s="5">
        <f t="shared" si="5"/>
        <v>1.116142639596995E-3</v>
      </c>
    </row>
    <row r="42" spans="1:11" ht="15.6" x14ac:dyDescent="0.3">
      <c r="A42" s="73" t="s">
        <v>390</v>
      </c>
      <c r="I42" s="5">
        <v>8789.205370742271</v>
      </c>
      <c r="J42" s="5" t="e">
        <f t="shared" si="4"/>
        <v>#N/A</v>
      </c>
      <c r="K42" s="5">
        <f t="shared" si="5"/>
        <v>1.1408335834061192E-3</v>
      </c>
    </row>
    <row r="43" spans="1:11" x14ac:dyDescent="0.3">
      <c r="A43" s="13" t="s">
        <v>88</v>
      </c>
      <c r="B43" s="13" t="s">
        <v>391</v>
      </c>
      <c r="C43" s="13" t="s">
        <v>89</v>
      </c>
      <c r="D43" s="13" t="s">
        <v>392</v>
      </c>
      <c r="I43" s="5">
        <v>8821.3526853711355</v>
      </c>
      <c r="J43" s="5" t="e">
        <f t="shared" si="4"/>
        <v>#N/A</v>
      </c>
      <c r="K43" s="5">
        <f t="shared" si="5"/>
        <v>1.1559095607129447E-3</v>
      </c>
    </row>
    <row r="44" spans="1:11" x14ac:dyDescent="0.3">
      <c r="A44" s="5">
        <v>1</v>
      </c>
      <c r="B44" s="5" t="str">
        <f>INDEX($A$6:$B$32,MATCH(LARGE($F$6:$F$32,1),$F$6:$F$32,0),1)&amp;" — "&amp;INDEX($A$6:$B$32,MATCH(LARGE($F$6:$F$32,1),$F$6:$F$32,0),2)</f>
        <v>5300 — Fuselage</v>
      </c>
      <c r="C44" s="16">
        <f>LARGE($F$6:$F$32,1)</f>
        <v>210.36426740299788</v>
      </c>
      <c r="D44" s="43">
        <f>C44^2/SUMSQ($F$6:$F$32)</f>
        <v>0.37477668342947668</v>
      </c>
      <c r="I44" s="5">
        <v>8853.5</v>
      </c>
      <c r="J44" s="5" t="e">
        <f t="shared" si="4"/>
        <v>#N/A</v>
      </c>
      <c r="K44" s="5">
        <f t="shared" si="5"/>
        <v>1.160979029893058E-3</v>
      </c>
    </row>
    <row r="45" spans="1:11" x14ac:dyDescent="0.3">
      <c r="A45" s="5">
        <v>2</v>
      </c>
      <c r="B45" s="5" t="str">
        <f>INDEX($A$6:$B$32,MATCH(LARGE($F$6:$F$32,2),$F$6:$F$32,0),1)&amp;" — "&amp;INDEX($A$6:$B$32,MATCH(LARGE($F$6:$F$32,2),$F$6:$F$32,0),2)</f>
        <v>7100 — Duality Engines</v>
      </c>
      <c r="C45" s="16">
        <f>LARGE($F$6:$F$32,2)</f>
        <v>169.70562748477141</v>
      </c>
      <c r="D45" s="43">
        <f>C45^2/SUMSQ($F$6:$F$32)</f>
        <v>0.24390522664261405</v>
      </c>
      <c r="I45" s="5">
        <v>8885.6473146288645</v>
      </c>
      <c r="J45" s="5" t="e">
        <f t="shared" si="4"/>
        <v>#N/A</v>
      </c>
      <c r="K45" s="5">
        <f t="shared" si="5"/>
        <v>1.1559095607129447E-3</v>
      </c>
    </row>
    <row r="46" spans="1:11" x14ac:dyDescent="0.3">
      <c r="A46" s="5">
        <v>3</v>
      </c>
      <c r="B46" s="5" t="str">
        <f>INDEX($A$6:$B$32,MATCH(LARGE($F$6:$F$32,3),$F$6:$F$32,0),1)&amp;" — "&amp;INDEX($A$6:$B$32,MATCH(LARGE($F$6:$F$32,3),$F$6:$F$32,0),2)</f>
        <v>5700 — Wings</v>
      </c>
      <c r="C46" s="16">
        <f>LARGE($F$6:$F$32,3)</f>
        <v>136.47160876900367</v>
      </c>
      <c r="D46" s="43">
        <f>C46^2/SUMSQ($F$6:$F$32)</f>
        <v>0.1577296143612974</v>
      </c>
      <c r="I46" s="5">
        <v>8917.794629257729</v>
      </c>
      <c r="J46" s="5" t="e">
        <f t="shared" si="4"/>
        <v>#N/A</v>
      </c>
      <c r="K46" s="5">
        <f t="shared" si="5"/>
        <v>1.1408335834061192E-3</v>
      </c>
    </row>
    <row r="47" spans="1:11" x14ac:dyDescent="0.3">
      <c r="A47" s="5">
        <v>4</v>
      </c>
      <c r="B47" s="5" t="str">
        <f>INDEX($A$6:$B$32,MATCH(LARGE($F$6:$F$32,4),$F$6:$F$32,0),1)&amp;" — "&amp;INDEX($A$6:$B$32,MATCH(LARGE($F$6:$F$32,4),$F$6:$F$32,0),2)</f>
        <v>3200 — Landing Gear</v>
      </c>
      <c r="C47" s="16">
        <f>LARGE($F$6:$F$32,4)</f>
        <v>114.31559629182517</v>
      </c>
      <c r="D47" s="43">
        <f>C47^2/SUMSQ($F$6:$F$32)</f>
        <v>0.11067246708527946</v>
      </c>
      <c r="I47" s="5">
        <v>8949.9419438865953</v>
      </c>
      <c r="J47" s="5" t="e">
        <f t="shared" si="4"/>
        <v>#N/A</v>
      </c>
      <c r="K47" s="5">
        <f t="shared" si="5"/>
        <v>1.116142639596995E-3</v>
      </c>
    </row>
    <row r="48" spans="1:11" x14ac:dyDescent="0.3">
      <c r="A48" s="5">
        <v>5</v>
      </c>
      <c r="B48" s="5" t="str">
        <f>INDEX($A$6:$B$32,MATCH(LARGE($F$6:$F$32,5),$F$6:$F$32,0),1)&amp;" — "&amp;INDEX($A$6:$B$32,MATCH(LARGE($F$6:$F$32,5),$F$6:$F$32,0),2)</f>
        <v>2400HV — Electrical Power (HV)</v>
      </c>
      <c r="C48" s="16">
        <f>LARGE($F$6:$F$32,5)</f>
        <v>68.353655514699597</v>
      </c>
      <c r="D48" s="43">
        <f>C48^2/SUMSQ($F$6:$F$32)</f>
        <v>3.9568729862353089E-2</v>
      </c>
      <c r="I48" s="5">
        <v>8982.0892585154597</v>
      </c>
      <c r="J48" s="5" t="e">
        <f t="shared" si="4"/>
        <v>#N/A</v>
      </c>
      <c r="K48" s="5">
        <f t="shared" si="5"/>
        <v>1.0824704834713681E-3</v>
      </c>
    </row>
    <row r="49" spans="9:11" x14ac:dyDescent="0.3">
      <c r="I49" s="5">
        <v>9014.2365731443242</v>
      </c>
      <c r="J49" s="5" t="e">
        <f t="shared" si="4"/>
        <v>#N/A</v>
      </c>
      <c r="K49" s="5">
        <f t="shared" si="5"/>
        <v>1.0406660513229598E-3</v>
      </c>
    </row>
    <row r="50" spans="9:11" x14ac:dyDescent="0.3">
      <c r="I50" s="5">
        <v>9046.3838877731887</v>
      </c>
      <c r="J50" s="5" t="e">
        <f t="shared" si="4"/>
        <v>#N/A</v>
      </c>
      <c r="K50" s="5">
        <f t="shared" si="5"/>
        <v>9.917579086975545E-4</v>
      </c>
    </row>
    <row r="51" spans="9:11" x14ac:dyDescent="0.3">
      <c r="I51" s="5">
        <v>9078.5312024020532</v>
      </c>
      <c r="J51" s="5" t="e">
        <f t="shared" si="4"/>
        <v>#N/A</v>
      </c>
      <c r="K51" s="5">
        <f t="shared" si="5"/>
        <v>9.3691225264038488E-4</v>
      </c>
    </row>
    <row r="52" spans="9:11" x14ac:dyDescent="0.3">
      <c r="I52" s="5">
        <v>9110.6785170309195</v>
      </c>
      <c r="J52" s="5" t="e">
        <f t="shared" si="4"/>
        <v>#N/A</v>
      </c>
      <c r="K52" s="5">
        <f t="shared" si="5"/>
        <v>8.7738685928019752E-4</v>
      </c>
    </row>
    <row r="53" spans="9:11" x14ac:dyDescent="0.3">
      <c r="I53" s="5">
        <v>9142.8258316597839</v>
      </c>
      <c r="J53" s="5" t="e">
        <f t="shared" si="4"/>
        <v>#N/A</v>
      </c>
      <c r="K53" s="5">
        <f t="shared" si="5"/>
        <v>8.1448350559378945E-4</v>
      </c>
    </row>
    <row r="54" spans="9:11" x14ac:dyDescent="0.3">
      <c r="I54" s="5">
        <v>9174.9731462886484</v>
      </c>
      <c r="J54" s="5" t="e">
        <f t="shared" si="4"/>
        <v>#N/A</v>
      </c>
      <c r="K54" s="5">
        <f t="shared" si="5"/>
        <v>7.4950135555729928E-4</v>
      </c>
    </row>
    <row r="55" spans="9:11" x14ac:dyDescent="0.3">
      <c r="I55" s="5">
        <v>9207.1204609175129</v>
      </c>
      <c r="J55" s="5" t="e">
        <f t="shared" si="4"/>
        <v>#N/A</v>
      </c>
      <c r="K55" s="5">
        <f t="shared" si="5"/>
        <v>6.8369359694012491E-4</v>
      </c>
    </row>
    <row r="56" spans="9:11" x14ac:dyDescent="0.3">
      <c r="I56" s="5">
        <v>9239.2677755463774</v>
      </c>
      <c r="J56" s="5" t="e">
        <f t="shared" si="4"/>
        <v>#N/A</v>
      </c>
      <c r="K56" s="5">
        <f t="shared" si="5"/>
        <v>6.1822927086761044E-4</v>
      </c>
    </row>
    <row r="57" spans="9:11" x14ac:dyDescent="0.3">
      <c r="I57" s="5">
        <v>9271.4150901752419</v>
      </c>
      <c r="J57" s="5" t="e">
        <f t="shared" si="4"/>
        <v>#N/A</v>
      </c>
      <c r="K57" s="5">
        <f t="shared" si="5"/>
        <v>5.5416178721620223E-4</v>
      </c>
    </row>
    <row r="58" spans="9:11" x14ac:dyDescent="0.3">
      <c r="I58" s="5">
        <v>9303.5624048041063</v>
      </c>
      <c r="J58" s="5" t="e">
        <f t="shared" si="4"/>
        <v>#N/A</v>
      </c>
      <c r="K58" s="5">
        <f t="shared" si="5"/>
        <v>4.9240510636533159E-4</v>
      </c>
    </row>
    <row r="59" spans="9:11" x14ac:dyDescent="0.3">
      <c r="I59" s="5">
        <v>9335.7097194329726</v>
      </c>
      <c r="J59" s="5" t="e">
        <f t="shared" si="4"/>
        <v>#N/A</v>
      </c>
      <c r="K59" s="5">
        <f t="shared" si="5"/>
        <v>4.3371803523731685E-4</v>
      </c>
    </row>
    <row r="60" spans="9:11" x14ac:dyDescent="0.3">
      <c r="I60" s="5">
        <v>9367.8570340618371</v>
      </c>
      <c r="J60" s="5" t="e">
        <f t="shared" si="4"/>
        <v>#N/A</v>
      </c>
      <c r="K60" s="5">
        <f t="shared" si="5"/>
        <v>3.7869657419930039E-4</v>
      </c>
    </row>
    <row r="61" spans="9:11" x14ac:dyDescent="0.3">
      <c r="I61" s="5">
        <v>9400.0043486907016</v>
      </c>
      <c r="J61" s="5" t="e">
        <f t="shared" si="4"/>
        <v>#N/A</v>
      </c>
      <c r="K61" s="5">
        <f t="shared" si="5"/>
        <v>3.2777379690062275E-4</v>
      </c>
    </row>
    <row r="62" spans="9:11" x14ac:dyDescent="0.3">
      <c r="I62" s="5">
        <v>9432.1516633195661</v>
      </c>
      <c r="J62" s="5" t="e">
        <f t="shared" si="4"/>
        <v>#N/A</v>
      </c>
      <c r="K62" s="5">
        <f t="shared" si="5"/>
        <v>2.8122637478620758E-4</v>
      </c>
    </row>
    <row r="63" spans="9:11" x14ac:dyDescent="0.3">
      <c r="I63" s="5">
        <v>9464.2989779484305</v>
      </c>
      <c r="J63" s="5" t="e">
        <f t="shared" si="4"/>
        <v>#N/A</v>
      </c>
      <c r="K63" s="5">
        <f t="shared" si="5"/>
        <v>2.3918658930349672E-4</v>
      </c>
    </row>
    <row r="64" spans="9:11" x14ac:dyDescent="0.3">
      <c r="I64" s="5">
        <v>9496.4462925772968</v>
      </c>
      <c r="J64" s="5" t="e">
        <f t="shared" si="4"/>
        <v>#N/A</v>
      </c>
      <c r="K64" s="5">
        <f t="shared" si="5"/>
        <v>2.0165851485608679E-4</v>
      </c>
    </row>
    <row r="65" spans="9:11" x14ac:dyDescent="0.3">
      <c r="I65" s="5">
        <v>9528.5936072061613</v>
      </c>
      <c r="J65" s="5" t="e">
        <f t="shared" si="4"/>
        <v>#N/A</v>
      </c>
      <c r="K65" s="5">
        <f t="shared" si="5"/>
        <v>1.6853700182804579E-4</v>
      </c>
    </row>
    <row r="66" spans="9:11" x14ac:dyDescent="0.3">
      <c r="I66" s="5">
        <v>9560.7409218350258</v>
      </c>
      <c r="J66" s="5" t="e">
        <f t="shared" si="4"/>
        <v>#N/A</v>
      </c>
      <c r="K66" s="5">
        <f t="shared" si="5"/>
        <v>1.3962813079171349E-4</v>
      </c>
    </row>
    <row r="67" spans="9:11" x14ac:dyDescent="0.3">
      <c r="I67" s="5">
        <v>9592.8882364638903</v>
      </c>
      <c r="J67" s="5" t="e">
        <f t="shared" si="4"/>
        <v>#N/A</v>
      </c>
      <c r="K67" s="5">
        <f t="shared" si="5"/>
        <v>1.1466992947512223E-4</v>
      </c>
    </row>
    <row r="68" spans="9:11" x14ac:dyDescent="0.3">
      <c r="I68" s="5">
        <v>9625.0355510927548</v>
      </c>
      <c r="J68" s="5" t="e">
        <f t="shared" ref="J68:J84" si="6">IF(I68&lt;=$B$37, _xlfn.NORM.DIST(I68,$D$37,$F$37,FALSE), NA())</f>
        <v>#N/A</v>
      </c>
      <c r="K68" s="5">
        <f t="shared" ref="K68:K84" si="7">IF(I68&gt;=$B$37, _xlfn.NORM.DIST(I68,$D$37,$F$37,FALSE), NA())</f>
        <v>9.3352322595602842E-5</v>
      </c>
    </row>
    <row r="69" spans="9:11" x14ac:dyDescent="0.3">
      <c r="I69" s="5">
        <v>9657.1828657216211</v>
      </c>
      <c r="J69" s="5" t="e">
        <f t="shared" si="6"/>
        <v>#N/A</v>
      </c>
      <c r="K69" s="5">
        <f t="shared" si="7"/>
        <v>7.5335499264197567E-5</v>
      </c>
    </row>
    <row r="70" spans="9:11" x14ac:dyDescent="0.3">
      <c r="I70" s="5">
        <v>9689.3301803504837</v>
      </c>
      <c r="J70" s="5" t="e">
        <f t="shared" si="6"/>
        <v>#N/A</v>
      </c>
      <c r="K70" s="5">
        <f t="shared" si="7"/>
        <v>6.0266112072904554E-5</v>
      </c>
    </row>
    <row r="71" spans="9:11" x14ac:dyDescent="0.3">
      <c r="I71" s="5">
        <v>9721.47749497935</v>
      </c>
      <c r="J71" s="5" t="e">
        <f t="shared" si="6"/>
        <v>#N/A</v>
      </c>
      <c r="K71" s="5">
        <f t="shared" si="7"/>
        <v>4.7790947393283508E-5</v>
      </c>
    </row>
    <row r="72" spans="9:11" x14ac:dyDescent="0.3">
      <c r="I72" s="5">
        <v>9753.6248096082145</v>
      </c>
      <c r="J72" s="5" t="e">
        <f t="shared" si="6"/>
        <v>#N/A</v>
      </c>
      <c r="K72" s="5">
        <f t="shared" si="7"/>
        <v>3.7567912691301138E-5</v>
      </c>
    </row>
    <row r="73" spans="9:11" x14ac:dyDescent="0.3">
      <c r="I73" s="5">
        <v>9785.772124237079</v>
      </c>
      <c r="J73" s="5" t="e">
        <f t="shared" si="6"/>
        <v>#N/A</v>
      </c>
      <c r="K73" s="5">
        <f t="shared" si="7"/>
        <v>2.9274362940106071E-5</v>
      </c>
    </row>
    <row r="74" spans="9:11" x14ac:dyDescent="0.3">
      <c r="I74" s="5">
        <v>9817.9194388659434</v>
      </c>
      <c r="J74" s="5" t="e">
        <f t="shared" si="6"/>
        <v>#N/A</v>
      </c>
      <c r="K74" s="5">
        <f t="shared" si="7"/>
        <v>2.261292804216477E-5</v>
      </c>
    </row>
    <row r="75" spans="9:11" x14ac:dyDescent="0.3">
      <c r="I75" s="5">
        <v>9850.0667534948079</v>
      </c>
      <c r="J75" s="5" t="e">
        <f t="shared" si="6"/>
        <v>#N/A</v>
      </c>
      <c r="K75" s="5">
        <f t="shared" si="7"/>
        <v>1.7315104206169212E-5</v>
      </c>
    </row>
    <row r="76" spans="9:11" x14ac:dyDescent="0.3">
      <c r="I76" s="5">
        <v>9882.2140681236742</v>
      </c>
      <c r="J76" s="5" t="e">
        <f t="shared" si="6"/>
        <v>#N/A</v>
      </c>
      <c r="K76" s="5">
        <f t="shared" si="7"/>
        <v>1.3142935584155745E-5</v>
      </c>
    </row>
    <row r="77" spans="9:11" x14ac:dyDescent="0.3">
      <c r="I77" s="5">
        <v>9914.3613827525387</v>
      </c>
      <c r="J77" s="5" t="e">
        <f t="shared" si="6"/>
        <v>#N/A</v>
      </c>
      <c r="K77" s="5">
        <f t="shared" si="7"/>
        <v>9.8891419321178273E-6</v>
      </c>
    </row>
    <row r="78" spans="9:11" x14ac:dyDescent="0.3">
      <c r="I78" s="5">
        <v>9946.5086973814032</v>
      </c>
      <c r="J78" s="5" t="e">
        <f t="shared" si="6"/>
        <v>#N/A</v>
      </c>
      <c r="K78" s="5">
        <f t="shared" si="7"/>
        <v>7.3760491461864459E-6</v>
      </c>
    </row>
    <row r="79" spans="9:11" x14ac:dyDescent="0.3">
      <c r="I79" s="5">
        <v>9978.6560120102677</v>
      </c>
      <c r="J79" s="5" t="e">
        <f t="shared" si="6"/>
        <v>#N/A</v>
      </c>
      <c r="K79" s="5">
        <f t="shared" si="7"/>
        <v>5.4536586853881079E-6</v>
      </c>
    </row>
    <row r="80" spans="9:11" x14ac:dyDescent="0.3">
      <c r="I80" s="5">
        <v>10010.803326639132</v>
      </c>
      <c r="J80" s="5" t="e">
        <f t="shared" si="6"/>
        <v>#N/A</v>
      </c>
      <c r="K80" s="5">
        <f t="shared" si="7"/>
        <v>3.9971557217975156E-6</v>
      </c>
    </row>
    <row r="81" spans="9:11" x14ac:dyDescent="0.3">
      <c r="I81" s="5">
        <v>10042.950641267998</v>
      </c>
      <c r="J81" s="5" t="e">
        <f t="shared" si="6"/>
        <v>#N/A</v>
      </c>
      <c r="K81" s="5">
        <f t="shared" si="7"/>
        <v>2.9041105358628475E-6</v>
      </c>
    </row>
    <row r="82" spans="9:11" x14ac:dyDescent="0.3">
      <c r="I82" s="5">
        <v>10075.097955896863</v>
      </c>
      <c r="J82" s="5" t="e">
        <f t="shared" si="6"/>
        <v>#N/A</v>
      </c>
      <c r="K82" s="5">
        <f t="shared" si="7"/>
        <v>2.0915785429440833E-6</v>
      </c>
    </row>
    <row r="83" spans="9:11" x14ac:dyDescent="0.3">
      <c r="I83" s="5">
        <v>10107.245270525727</v>
      </c>
      <c r="J83" s="5" t="e">
        <f t="shared" si="6"/>
        <v>#N/A</v>
      </c>
      <c r="K83" s="5">
        <f t="shared" si="7"/>
        <v>1.4932556760782316E-6</v>
      </c>
    </row>
    <row r="84" spans="9:11" x14ac:dyDescent="0.3">
      <c r="I84" s="5">
        <v>10139.392585154592</v>
      </c>
      <c r="J84" s="5" t="e">
        <f t="shared" si="6"/>
        <v>#N/A</v>
      </c>
      <c r="K84" s="5">
        <f t="shared" si="7"/>
        <v>1.0568007956339716E-6</v>
      </c>
    </row>
  </sheetData>
  <conditionalFormatting sqref="B38">
    <cfRule type="cellIs" dxfId="30" priority="1" operator="lessThan">
      <formula>0</formula>
    </cfRule>
  </conditionalFormatting>
  <conditionalFormatting sqref="B38">
    <cfRule type="cellIs" dxfId="29" priority="2" operator="greaterThan">
      <formula>0</formula>
    </cfRule>
  </conditionalFormatting>
  <conditionalFormatting sqref="B39">
    <cfRule type="cellIs" dxfId="28" priority="3" operator="lessThan">
      <formula>0.7</formula>
    </cfRule>
  </conditionalFormatting>
  <conditionalFormatting sqref="B39">
    <cfRule type="cellIs" dxfId="27" priority="4" operator="greaterThan">
      <formula>0.9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EC67-CF6A-4B20-80EF-29378A334754}">
  <sheetPr codeName="Sheet46"/>
  <dimension ref="A1:AA135"/>
  <sheetViews>
    <sheetView topLeftCell="D75" zoomScale="86" workbookViewId="0">
      <selection activeCell="O110" sqref="O110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17" width="6.44140625" customWidth="1"/>
    <col min="18" max="18" width="11.109375" bestFit="1" customWidth="1"/>
    <col min="19" max="19" width="10.21875" bestFit="1" customWidth="1"/>
    <col min="20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3" t="s">
        <v>333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11" t="s">
        <v>426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482</v>
      </c>
      <c r="C5" s="20"/>
      <c r="D5" s="20" t="s">
        <v>351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E17</f>
        <v>103</v>
      </c>
      <c r="E6" s="88">
        <f>F17</f>
        <v>8</v>
      </c>
      <c r="F6" s="88">
        <f>G17</f>
        <v>-2.5</v>
      </c>
      <c r="G6" s="88">
        <f>H17</f>
        <v>3</v>
      </c>
      <c r="H6" s="87">
        <f>I17</f>
        <v>51.5</v>
      </c>
      <c r="I6" s="87">
        <f>I17</f>
        <v>51.5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487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371</v>
      </c>
      <c r="O8" s="86" t="s">
        <v>171</v>
      </c>
      <c r="P8" s="86" t="s">
        <v>372</v>
      </c>
      <c r="Q8" s="86" t="s">
        <v>128</v>
      </c>
      <c r="R8" s="86" t="s">
        <v>373</v>
      </c>
      <c r="S8" s="86" t="s">
        <v>374</v>
      </c>
      <c r="T8" s="86" t="s">
        <v>375</v>
      </c>
      <c r="U8" s="86" t="s">
        <v>376</v>
      </c>
      <c r="V8" s="86" t="s">
        <v>377</v>
      </c>
      <c r="W8" s="86" t="s">
        <v>3</v>
      </c>
      <c r="X8" s="86" t="s">
        <v>556</v>
      </c>
      <c r="Y8" s="86" t="s">
        <v>557</v>
      </c>
      <c r="Z8" s="86" t="s">
        <v>567</v>
      </c>
      <c r="AA8" s="86" t="s">
        <v>568</v>
      </c>
    </row>
    <row r="9" spans="1:27" x14ac:dyDescent="0.3">
      <c r="A9" s="5">
        <v>1</v>
      </c>
      <c r="B9" s="5" t="s">
        <v>243</v>
      </c>
      <c r="C9" s="16">
        <v>1</v>
      </c>
      <c r="D9" s="80">
        <v>75</v>
      </c>
      <c r="E9" s="80">
        <f>IFERROR(C9*D9,0)</f>
        <v>75</v>
      </c>
      <c r="F9" s="17">
        <v>8</v>
      </c>
      <c r="G9" s="17">
        <v>-2.5</v>
      </c>
      <c r="H9" s="17">
        <v>3</v>
      </c>
      <c r="I9" s="17">
        <v>5</v>
      </c>
      <c r="J9" s="17">
        <v>2.5</v>
      </c>
      <c r="K9" s="17">
        <v>0.2</v>
      </c>
      <c r="L9" s="5" t="s">
        <v>117</v>
      </c>
      <c r="M9" s="5" t="s">
        <v>378</v>
      </c>
      <c r="N9" s="5"/>
      <c r="O9" s="5"/>
      <c r="P9" s="5"/>
      <c r="Q9" s="5" t="s">
        <v>378</v>
      </c>
      <c r="R9" s="5" t="s">
        <v>378</v>
      </c>
      <c r="S9" s="5"/>
      <c r="T9" s="5"/>
      <c r="U9" s="5"/>
      <c r="V9" s="78">
        <f>IF(UPPER(M9)="X",0.5,IF(UPPER(N9)="X",0.2,IF(UPPER(O9)="X",0.05,0)))</f>
        <v>0.5</v>
      </c>
      <c r="W9" s="5" t="s">
        <v>244</v>
      </c>
    </row>
    <row r="10" spans="1:27" x14ac:dyDescent="0.3">
      <c r="A10" s="5">
        <v>2</v>
      </c>
      <c r="B10" s="5" t="s">
        <v>245</v>
      </c>
      <c r="C10" s="16">
        <v>1</v>
      </c>
      <c r="D10" s="80">
        <v>22</v>
      </c>
      <c r="E10" s="80">
        <f>IFERROR(C10*D10,0)</f>
        <v>22</v>
      </c>
      <c r="F10" s="17">
        <v>8</v>
      </c>
      <c r="G10" s="17">
        <v>-2.5</v>
      </c>
      <c r="H10" s="17">
        <v>3</v>
      </c>
      <c r="I10" s="17">
        <v>5</v>
      </c>
      <c r="J10" s="17">
        <v>0.5</v>
      </c>
      <c r="K10" s="17">
        <v>0.5</v>
      </c>
      <c r="L10" s="5" t="s">
        <v>117</v>
      </c>
      <c r="M10" s="5" t="s">
        <v>378</v>
      </c>
      <c r="N10" s="5"/>
      <c r="O10" s="5"/>
      <c r="P10" s="5"/>
      <c r="Q10" s="5" t="s">
        <v>378</v>
      </c>
      <c r="R10" s="5" t="s">
        <v>378</v>
      </c>
      <c r="S10" s="5"/>
      <c r="T10" s="5"/>
      <c r="U10" s="5"/>
      <c r="V10" s="78">
        <f>IF(UPPER(M10)="X",0.5,IF(UPPER(N10)="X",0.2,IF(UPPER(O10)="X",0.05,0)))</f>
        <v>0.5</v>
      </c>
      <c r="W10" s="5"/>
    </row>
    <row r="11" spans="1:27" x14ac:dyDescent="0.3">
      <c r="A11" s="5">
        <v>3</v>
      </c>
      <c r="B11" s="5" t="s">
        <v>246</v>
      </c>
      <c r="C11" s="16">
        <v>1</v>
      </c>
      <c r="D11" s="80">
        <v>6</v>
      </c>
      <c r="E11" s="80">
        <f>IFERROR(C11*D11,0)</f>
        <v>6</v>
      </c>
      <c r="F11" s="17">
        <v>8</v>
      </c>
      <c r="G11" s="17">
        <v>-2.5</v>
      </c>
      <c r="H11" s="17">
        <v>3</v>
      </c>
      <c r="I11" s="17">
        <v>15</v>
      </c>
      <c r="J11" s="17">
        <v>0.1</v>
      </c>
      <c r="K11" s="17">
        <v>0.1</v>
      </c>
      <c r="L11" s="5" t="s">
        <v>117</v>
      </c>
      <c r="M11" s="5" t="s">
        <v>378</v>
      </c>
      <c r="N11" s="5"/>
      <c r="O11" s="5"/>
      <c r="P11" s="5"/>
      <c r="Q11" s="5" t="s">
        <v>378</v>
      </c>
      <c r="R11" s="5" t="s">
        <v>378</v>
      </c>
      <c r="S11" s="5"/>
      <c r="T11" s="5"/>
      <c r="U11" s="5"/>
      <c r="V11" s="78">
        <f>IF(UPPER(M11)="X",0.5,IF(UPPER(N11)="X",0.2,IF(UPPER(O11)="X",0.05,0)))</f>
        <v>0.5</v>
      </c>
      <c r="W11" s="5" t="s">
        <v>247</v>
      </c>
    </row>
    <row r="17" spans="1:27" ht="15" thickBot="1" x14ac:dyDescent="0.35">
      <c r="A17" s="28"/>
      <c r="B17" s="28" t="s">
        <v>427</v>
      </c>
      <c r="C17" s="28"/>
      <c r="D17" s="28"/>
      <c r="E17" s="89">
        <f>SUM(E9:E11)</f>
        <v>103</v>
      </c>
      <c r="F17" s="30">
        <f>IFERROR(SUMPRODUCT(E9:E11,F9:F11)/E17,0)</f>
        <v>8</v>
      </c>
      <c r="G17" s="30">
        <f>IFERROR(SUMPRODUCT(E9:E11,G9:G11)/E17,0)</f>
        <v>-2.5</v>
      </c>
      <c r="H17" s="30">
        <f>IFERROR(SUMPRODUCT(E9:E11,H9:H11)/E17,0)</f>
        <v>3</v>
      </c>
      <c r="I17" s="89">
        <f>SUMPRODUCT(E9:E11,V9:V11)</f>
        <v>51.5</v>
      </c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 t="s">
        <v>560</v>
      </c>
      <c r="Y17" s="29">
        <f>SUMIFS(Import!$O:$O,Import!$S:$S,"5200")</f>
        <v>102.99987750718819</v>
      </c>
      <c r="Z17" s="29">
        <f>Y17-E17</f>
        <v>-1.2249281181198057E-4</v>
      </c>
      <c r="AA17" s="95">
        <f>IFERROR((Y17-E17)/E17,0)</f>
        <v>-1.1892506001163162E-6</v>
      </c>
    </row>
    <row r="18" spans="1:27" ht="15" thickTop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ht="15" thickBot="1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7" ht="16.2" thickTop="1" x14ac:dyDescent="0.3">
      <c r="A22" s="111" t="s">
        <v>428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4"/>
      <c r="Y22" s="14"/>
      <c r="Z22" s="14"/>
      <c r="AA22" s="14"/>
    </row>
    <row r="23" spans="1:2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7" x14ac:dyDescent="0.3">
      <c r="A24" s="85"/>
      <c r="B24" s="20" t="s">
        <v>482</v>
      </c>
      <c r="C24" s="20"/>
      <c r="D24" s="20" t="s">
        <v>351</v>
      </c>
      <c r="E24" s="20" t="s">
        <v>91</v>
      </c>
      <c r="F24" s="20" t="s">
        <v>92</v>
      </c>
      <c r="G24" s="20" t="s">
        <v>93</v>
      </c>
      <c r="H24" s="20" t="s">
        <v>83</v>
      </c>
      <c r="I24" s="20" t="s">
        <v>84</v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20"/>
      <c r="Y24" s="20"/>
      <c r="Z24" s="20"/>
      <c r="AA24" s="20"/>
    </row>
    <row r="25" spans="1:27" x14ac:dyDescent="0.3">
      <c r="A25" s="45"/>
      <c r="B25" s="45"/>
      <c r="C25" s="45"/>
      <c r="D25" s="87">
        <f>E44</f>
        <v>1785</v>
      </c>
      <c r="E25" s="88">
        <f>F44</f>
        <v>16.595518207282915</v>
      </c>
      <c r="F25" s="88">
        <f>G44</f>
        <v>0</v>
      </c>
      <c r="G25" s="88">
        <f>H44</f>
        <v>2.7512605042016807</v>
      </c>
      <c r="H25" s="87">
        <f>I44</f>
        <v>892.5</v>
      </c>
      <c r="I25" s="87">
        <f>I44</f>
        <v>892.5</v>
      </c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85"/>
      <c r="Y25" s="85"/>
      <c r="Z25" s="85"/>
      <c r="AA25" s="85"/>
    </row>
    <row r="26" spans="1:2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110" t="s">
        <v>110</v>
      </c>
      <c r="N26" s="110"/>
      <c r="O26" s="110"/>
      <c r="P26" s="110" t="s">
        <v>487</v>
      </c>
      <c r="Q26" s="110"/>
      <c r="R26" s="110" t="s">
        <v>111</v>
      </c>
      <c r="S26" s="110"/>
      <c r="T26" s="110"/>
      <c r="U26" s="110"/>
      <c r="V26" s="5"/>
      <c r="W26" s="5"/>
    </row>
    <row r="27" spans="1:27" x14ac:dyDescent="0.3">
      <c r="A27" s="86" t="s">
        <v>105</v>
      </c>
      <c r="B27" s="86" t="s">
        <v>106</v>
      </c>
      <c r="C27" s="86" t="s">
        <v>2</v>
      </c>
      <c r="D27" s="86" t="s">
        <v>71</v>
      </c>
      <c r="E27" s="86" t="s">
        <v>72</v>
      </c>
      <c r="F27" s="86" t="s">
        <v>91</v>
      </c>
      <c r="G27" s="86" t="s">
        <v>92</v>
      </c>
      <c r="H27" s="86" t="s">
        <v>93</v>
      </c>
      <c r="I27" s="86" t="s">
        <v>107</v>
      </c>
      <c r="J27" s="86" t="s">
        <v>108</v>
      </c>
      <c r="K27" s="86" t="s">
        <v>109</v>
      </c>
      <c r="L27" s="86" t="s">
        <v>94</v>
      </c>
      <c r="M27" s="86" t="s">
        <v>127</v>
      </c>
      <c r="N27" s="86" t="s">
        <v>371</v>
      </c>
      <c r="O27" s="86" t="s">
        <v>171</v>
      </c>
      <c r="P27" s="86" t="s">
        <v>372</v>
      </c>
      <c r="Q27" s="86" t="s">
        <v>128</v>
      </c>
      <c r="R27" s="86" t="s">
        <v>373</v>
      </c>
      <c r="S27" s="86" t="s">
        <v>374</v>
      </c>
      <c r="T27" s="86" t="s">
        <v>375</v>
      </c>
      <c r="U27" s="86" t="s">
        <v>376</v>
      </c>
      <c r="V27" s="86" t="s">
        <v>377</v>
      </c>
      <c r="W27" s="86" t="s">
        <v>3</v>
      </c>
      <c r="X27" s="86" t="s">
        <v>556</v>
      </c>
      <c r="Y27" s="86" t="s">
        <v>557</v>
      </c>
      <c r="Z27" s="86" t="s">
        <v>567</v>
      </c>
      <c r="AA27" s="86" t="s">
        <v>568</v>
      </c>
    </row>
    <row r="28" spans="1:27" x14ac:dyDescent="0.3">
      <c r="A28" s="5">
        <v>1</v>
      </c>
      <c r="B28" s="5" t="s">
        <v>248</v>
      </c>
      <c r="C28" s="16">
        <v>6</v>
      </c>
      <c r="D28" s="80">
        <v>14</v>
      </c>
      <c r="E28" s="80">
        <f t="shared" ref="E28:E38" si="0">IFERROR(C28*D28,0)</f>
        <v>84</v>
      </c>
      <c r="F28" s="17">
        <v>5</v>
      </c>
      <c r="G28" s="17">
        <v>0</v>
      </c>
      <c r="H28" s="17">
        <v>3</v>
      </c>
      <c r="I28" s="17">
        <v>0.5</v>
      </c>
      <c r="J28" s="17">
        <v>5</v>
      </c>
      <c r="K28" s="17">
        <v>5</v>
      </c>
      <c r="L28" s="5" t="s">
        <v>117</v>
      </c>
      <c r="M28" s="5" t="s">
        <v>378</v>
      </c>
      <c r="N28" s="5"/>
      <c r="O28" s="5"/>
      <c r="P28" s="5"/>
      <c r="Q28" s="5" t="s">
        <v>378</v>
      </c>
      <c r="R28" s="5" t="s">
        <v>378</v>
      </c>
      <c r="S28" s="5"/>
      <c r="T28" s="5"/>
      <c r="U28" s="5"/>
      <c r="V28" s="78">
        <f t="shared" ref="V28:V38" si="1">IF(UPPER(M28)="X",0.5,IF(UPPER(N28)="X",0.2,IF(UPPER(O28)="X",0.05,0)))</f>
        <v>0.5</v>
      </c>
      <c r="W28" s="5" t="s">
        <v>249</v>
      </c>
    </row>
    <row r="29" spans="1:27" x14ac:dyDescent="0.3">
      <c r="A29" s="5">
        <v>2</v>
      </c>
      <c r="B29" s="5" t="s">
        <v>250</v>
      </c>
      <c r="C29" s="16">
        <v>8</v>
      </c>
      <c r="D29" s="80">
        <v>18</v>
      </c>
      <c r="E29" s="80">
        <f t="shared" si="0"/>
        <v>144</v>
      </c>
      <c r="F29" s="17">
        <v>17</v>
      </c>
      <c r="G29" s="17">
        <v>0</v>
      </c>
      <c r="H29" s="17">
        <v>3</v>
      </c>
      <c r="I29" s="17">
        <v>0.5</v>
      </c>
      <c r="J29" s="17">
        <v>6</v>
      </c>
      <c r="K29" s="17">
        <v>5</v>
      </c>
      <c r="L29" s="5" t="s">
        <v>117</v>
      </c>
      <c r="M29" s="5" t="s">
        <v>378</v>
      </c>
      <c r="N29" s="5"/>
      <c r="O29" s="5"/>
      <c r="P29" s="5"/>
      <c r="Q29" s="5" t="s">
        <v>378</v>
      </c>
      <c r="R29" s="5" t="s">
        <v>378</v>
      </c>
      <c r="S29" s="5"/>
      <c r="T29" s="5"/>
      <c r="U29" s="5"/>
      <c r="V29" s="78">
        <f t="shared" si="1"/>
        <v>0.5</v>
      </c>
      <c r="W29" s="5" t="s">
        <v>251</v>
      </c>
    </row>
    <row r="30" spans="1:27" x14ac:dyDescent="0.3">
      <c r="A30" s="5">
        <v>3</v>
      </c>
      <c r="B30" s="5" t="s">
        <v>252</v>
      </c>
      <c r="C30" s="16">
        <v>6</v>
      </c>
      <c r="D30" s="80">
        <v>12</v>
      </c>
      <c r="E30" s="80">
        <f t="shared" si="0"/>
        <v>72</v>
      </c>
      <c r="F30" s="17">
        <v>30</v>
      </c>
      <c r="G30" s="17">
        <v>0</v>
      </c>
      <c r="H30" s="17">
        <v>3</v>
      </c>
      <c r="I30" s="17">
        <v>0.5</v>
      </c>
      <c r="J30" s="17">
        <v>5</v>
      </c>
      <c r="K30" s="17">
        <v>4</v>
      </c>
      <c r="L30" s="5" t="s">
        <v>117</v>
      </c>
      <c r="M30" s="5" t="s">
        <v>378</v>
      </c>
      <c r="N30" s="5"/>
      <c r="O30" s="5"/>
      <c r="P30" s="5"/>
      <c r="Q30" s="5" t="s">
        <v>378</v>
      </c>
      <c r="R30" s="5" t="s">
        <v>378</v>
      </c>
      <c r="S30" s="5"/>
      <c r="T30" s="5"/>
      <c r="U30" s="5"/>
      <c r="V30" s="78">
        <f t="shared" si="1"/>
        <v>0.5</v>
      </c>
      <c r="W30" s="5" t="s">
        <v>253</v>
      </c>
    </row>
    <row r="31" spans="1:27" x14ac:dyDescent="0.3">
      <c r="A31" s="5">
        <v>4</v>
      </c>
      <c r="B31" s="5" t="s">
        <v>254</v>
      </c>
      <c r="C31" s="16">
        <v>1</v>
      </c>
      <c r="D31" s="80">
        <v>280</v>
      </c>
      <c r="E31" s="80">
        <f t="shared" si="0"/>
        <v>280</v>
      </c>
      <c r="F31" s="17">
        <v>17</v>
      </c>
      <c r="G31" s="17">
        <v>0</v>
      </c>
      <c r="H31" s="17">
        <v>3</v>
      </c>
      <c r="I31" s="17">
        <v>35</v>
      </c>
      <c r="J31" s="17">
        <v>0.2</v>
      </c>
      <c r="K31" s="17">
        <v>0.2</v>
      </c>
      <c r="L31" s="5" t="s">
        <v>117</v>
      </c>
      <c r="M31" s="5" t="s">
        <v>378</v>
      </c>
      <c r="N31" s="5"/>
      <c r="O31" s="5"/>
      <c r="P31" s="5"/>
      <c r="Q31" s="5" t="s">
        <v>378</v>
      </c>
      <c r="R31" s="5" t="s">
        <v>378</v>
      </c>
      <c r="S31" s="5"/>
      <c r="T31" s="5"/>
      <c r="U31" s="5"/>
      <c r="V31" s="78">
        <f t="shared" si="1"/>
        <v>0.5</v>
      </c>
      <c r="W31" s="5"/>
    </row>
    <row r="32" spans="1:27" x14ac:dyDescent="0.3">
      <c r="A32" s="5">
        <v>5</v>
      </c>
      <c r="B32" s="5" t="s">
        <v>255</v>
      </c>
      <c r="C32" s="16">
        <v>1</v>
      </c>
      <c r="D32" s="80">
        <v>220</v>
      </c>
      <c r="E32" s="80">
        <f t="shared" si="0"/>
        <v>220</v>
      </c>
      <c r="F32" s="17">
        <v>5</v>
      </c>
      <c r="G32" s="17">
        <v>0</v>
      </c>
      <c r="H32" s="17">
        <v>3</v>
      </c>
      <c r="I32" s="17">
        <v>10</v>
      </c>
      <c r="J32" s="17">
        <v>6</v>
      </c>
      <c r="K32" s="17">
        <v>0.05</v>
      </c>
      <c r="L32" s="5" t="s">
        <v>117</v>
      </c>
      <c r="M32" s="5" t="s">
        <v>378</v>
      </c>
      <c r="N32" s="5"/>
      <c r="O32" s="5"/>
      <c r="P32" s="5"/>
      <c r="Q32" s="5" t="s">
        <v>378</v>
      </c>
      <c r="R32" s="5" t="s">
        <v>378</v>
      </c>
      <c r="S32" s="5"/>
      <c r="T32" s="5"/>
      <c r="U32" s="5"/>
      <c r="V32" s="78">
        <f t="shared" si="1"/>
        <v>0.5</v>
      </c>
      <c r="W32" s="5"/>
    </row>
    <row r="33" spans="1:27" x14ac:dyDescent="0.3">
      <c r="A33" s="5">
        <v>6</v>
      </c>
      <c r="B33" s="5" t="s">
        <v>256</v>
      </c>
      <c r="C33" s="16">
        <v>1</v>
      </c>
      <c r="D33" s="80">
        <v>380</v>
      </c>
      <c r="E33" s="80">
        <f t="shared" si="0"/>
        <v>380</v>
      </c>
      <c r="F33" s="17">
        <v>17</v>
      </c>
      <c r="G33" s="17">
        <v>0</v>
      </c>
      <c r="H33" s="17">
        <v>3</v>
      </c>
      <c r="I33" s="17">
        <v>15</v>
      </c>
      <c r="J33" s="17">
        <v>6</v>
      </c>
      <c r="K33" s="17">
        <v>0.05</v>
      </c>
      <c r="L33" s="5" t="s">
        <v>117</v>
      </c>
      <c r="M33" s="5" t="s">
        <v>378</v>
      </c>
      <c r="N33" s="5"/>
      <c r="O33" s="5"/>
      <c r="P33" s="5"/>
      <c r="Q33" s="5" t="s">
        <v>378</v>
      </c>
      <c r="R33" s="5" t="s">
        <v>378</v>
      </c>
      <c r="S33" s="5"/>
      <c r="T33" s="5"/>
      <c r="U33" s="5"/>
      <c r="V33" s="78">
        <f t="shared" si="1"/>
        <v>0.5</v>
      </c>
      <c r="W33" s="5" t="s">
        <v>257</v>
      </c>
    </row>
    <row r="34" spans="1:27" x14ac:dyDescent="0.3">
      <c r="A34" s="5">
        <v>7</v>
      </c>
      <c r="B34" s="5" t="s">
        <v>258</v>
      </c>
      <c r="C34" s="16">
        <v>1</v>
      </c>
      <c r="D34" s="80">
        <v>180</v>
      </c>
      <c r="E34" s="80">
        <f t="shared" si="0"/>
        <v>180</v>
      </c>
      <c r="F34" s="17">
        <v>30</v>
      </c>
      <c r="G34" s="17">
        <v>0</v>
      </c>
      <c r="H34" s="17">
        <v>3</v>
      </c>
      <c r="I34" s="17">
        <v>10</v>
      </c>
      <c r="J34" s="17">
        <v>5</v>
      </c>
      <c r="K34" s="17">
        <v>0.05</v>
      </c>
      <c r="L34" s="5" t="s">
        <v>117</v>
      </c>
      <c r="M34" s="5" t="s">
        <v>378</v>
      </c>
      <c r="N34" s="5"/>
      <c r="O34" s="5"/>
      <c r="P34" s="5"/>
      <c r="Q34" s="5" t="s">
        <v>378</v>
      </c>
      <c r="R34" s="5" t="s">
        <v>378</v>
      </c>
      <c r="S34" s="5"/>
      <c r="T34" s="5"/>
      <c r="U34" s="5"/>
      <c r="V34" s="78">
        <f t="shared" si="1"/>
        <v>0.5</v>
      </c>
      <c r="W34" s="5"/>
    </row>
    <row r="35" spans="1:27" x14ac:dyDescent="0.3">
      <c r="A35" s="5">
        <v>8</v>
      </c>
      <c r="B35" s="5" t="s">
        <v>259</v>
      </c>
      <c r="C35" s="16">
        <v>1</v>
      </c>
      <c r="D35" s="80">
        <v>45</v>
      </c>
      <c r="E35" s="80">
        <f t="shared" si="0"/>
        <v>45</v>
      </c>
      <c r="F35" s="17">
        <v>4</v>
      </c>
      <c r="G35" s="17">
        <v>0</v>
      </c>
      <c r="H35" s="17">
        <v>3</v>
      </c>
      <c r="I35" s="17">
        <v>0.3</v>
      </c>
      <c r="J35" s="17">
        <v>5</v>
      </c>
      <c r="K35" s="17">
        <v>5</v>
      </c>
      <c r="L35" s="5" t="s">
        <v>117</v>
      </c>
      <c r="M35" s="5" t="s">
        <v>378</v>
      </c>
      <c r="N35" s="5"/>
      <c r="O35" s="5"/>
      <c r="P35" s="5"/>
      <c r="Q35" s="5" t="s">
        <v>378</v>
      </c>
      <c r="R35" s="5" t="s">
        <v>378</v>
      </c>
      <c r="S35" s="5"/>
      <c r="T35" s="5"/>
      <c r="U35" s="5"/>
      <c r="V35" s="78">
        <f t="shared" si="1"/>
        <v>0.5</v>
      </c>
      <c r="W35" s="5"/>
    </row>
    <row r="36" spans="1:27" x14ac:dyDescent="0.3">
      <c r="A36" s="5">
        <v>9</v>
      </c>
      <c r="B36" s="5" t="s">
        <v>260</v>
      </c>
      <c r="C36" s="16">
        <v>1</v>
      </c>
      <c r="D36" s="80">
        <v>65</v>
      </c>
      <c r="E36" s="80">
        <f t="shared" si="0"/>
        <v>65</v>
      </c>
      <c r="F36" s="17">
        <v>25</v>
      </c>
      <c r="G36" s="17">
        <v>0</v>
      </c>
      <c r="H36" s="17">
        <v>3</v>
      </c>
      <c r="I36" s="17">
        <v>0.3</v>
      </c>
      <c r="J36" s="17">
        <v>5</v>
      </c>
      <c r="K36" s="17">
        <v>5</v>
      </c>
      <c r="L36" s="5" t="s">
        <v>117</v>
      </c>
      <c r="M36" s="5" t="s">
        <v>378</v>
      </c>
      <c r="N36" s="5"/>
      <c r="O36" s="5"/>
      <c r="P36" s="5"/>
      <c r="Q36" s="5" t="s">
        <v>378</v>
      </c>
      <c r="R36" s="5" t="s">
        <v>378</v>
      </c>
      <c r="S36" s="5"/>
      <c r="T36" s="5"/>
      <c r="U36" s="5"/>
      <c r="V36" s="78">
        <f t="shared" si="1"/>
        <v>0.5</v>
      </c>
      <c r="W36" s="5"/>
    </row>
    <row r="37" spans="1:27" x14ac:dyDescent="0.3">
      <c r="A37" s="5">
        <v>10</v>
      </c>
      <c r="B37" s="5" t="s">
        <v>261</v>
      </c>
      <c r="C37" s="16">
        <v>1</v>
      </c>
      <c r="D37" s="80">
        <v>220</v>
      </c>
      <c r="E37" s="80">
        <f t="shared" si="0"/>
        <v>220</v>
      </c>
      <c r="F37" s="17">
        <v>17</v>
      </c>
      <c r="G37" s="17">
        <v>0</v>
      </c>
      <c r="H37" s="17">
        <v>1.5</v>
      </c>
      <c r="I37" s="17">
        <v>4</v>
      </c>
      <c r="J37" s="17">
        <v>5</v>
      </c>
      <c r="K37" s="17">
        <v>1.5</v>
      </c>
      <c r="L37" s="5" t="s">
        <v>117</v>
      </c>
      <c r="M37" s="5" t="s">
        <v>378</v>
      </c>
      <c r="N37" s="5"/>
      <c r="O37" s="5"/>
      <c r="P37" s="5"/>
      <c r="Q37" s="5" t="s">
        <v>378</v>
      </c>
      <c r="R37" s="5" t="s">
        <v>378</v>
      </c>
      <c r="S37" s="5"/>
      <c r="T37" s="5"/>
      <c r="U37" s="5"/>
      <c r="V37" s="78">
        <f t="shared" si="1"/>
        <v>0.5</v>
      </c>
      <c r="W37" s="5" t="s">
        <v>262</v>
      </c>
    </row>
    <row r="38" spans="1:27" x14ac:dyDescent="0.3">
      <c r="A38" s="5">
        <v>11</v>
      </c>
      <c r="B38" s="5" t="s">
        <v>263</v>
      </c>
      <c r="C38" s="16">
        <v>1</v>
      </c>
      <c r="D38" s="80">
        <v>95</v>
      </c>
      <c r="E38" s="80">
        <f t="shared" si="0"/>
        <v>95</v>
      </c>
      <c r="F38" s="17">
        <v>14</v>
      </c>
      <c r="G38" s="17">
        <v>0</v>
      </c>
      <c r="H38" s="17">
        <v>1.8</v>
      </c>
      <c r="I38" s="17">
        <v>18</v>
      </c>
      <c r="J38" s="17">
        <v>5</v>
      </c>
      <c r="K38" s="17">
        <v>0.3</v>
      </c>
      <c r="L38" s="5" t="s">
        <v>117</v>
      </c>
      <c r="M38" s="5" t="s">
        <v>378</v>
      </c>
      <c r="N38" s="5"/>
      <c r="O38" s="5"/>
      <c r="P38" s="5"/>
      <c r="Q38" s="5" t="s">
        <v>378</v>
      </c>
      <c r="R38" s="5" t="s">
        <v>378</v>
      </c>
      <c r="S38" s="5"/>
      <c r="T38" s="5"/>
      <c r="U38" s="5"/>
      <c r="V38" s="78">
        <f t="shared" si="1"/>
        <v>0.5</v>
      </c>
      <c r="W38" s="5"/>
    </row>
    <row r="44" spans="1:27" ht="15" thickBot="1" x14ac:dyDescent="0.35">
      <c r="A44" s="28"/>
      <c r="B44" s="28" t="s">
        <v>429</v>
      </c>
      <c r="C44" s="28"/>
      <c r="D44" s="28"/>
      <c r="E44" s="89">
        <f>SUM(E28:E38)</f>
        <v>1785</v>
      </c>
      <c r="F44" s="30">
        <f>IFERROR(SUMPRODUCT(E28:E38,F28:F38)/E44,0)</f>
        <v>16.595518207282915</v>
      </c>
      <c r="G44" s="30">
        <f>IFERROR(SUMPRODUCT(E28:E38,G28:G38)/E44,0)</f>
        <v>0</v>
      </c>
      <c r="H44" s="30">
        <f>IFERROR(SUMPRODUCT(E28:E38,H28:H38)/E44,0)</f>
        <v>2.7512605042016807</v>
      </c>
      <c r="I44" s="89">
        <f>SUMPRODUCT(E28:E38,V28:V38)</f>
        <v>892.5</v>
      </c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 t="s">
        <v>560</v>
      </c>
      <c r="Y44" s="29">
        <f>SUMIFS(Import!$O:$O,Import!$S:$S,"5300")</f>
        <v>7672.8447106936674</v>
      </c>
      <c r="Z44" s="29">
        <f>Y44-E44</f>
        <v>5887.8447106936674</v>
      </c>
      <c r="AA44" s="95">
        <f>IFERROR((Y44-E44)/E44,0)</f>
        <v>3.2985124429656398</v>
      </c>
    </row>
    <row r="45" spans="1:27" ht="15" thickTop="1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7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7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7" ht="15" thickBot="1" x14ac:dyDescent="0.3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7" ht="16.2" thickTop="1" x14ac:dyDescent="0.3">
      <c r="A49" s="111" t="s">
        <v>430</v>
      </c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4"/>
      <c r="Y49" s="14"/>
      <c r="Z49" s="14"/>
      <c r="AA49" s="14"/>
    </row>
    <row r="50" spans="1:27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7" x14ac:dyDescent="0.3">
      <c r="A51" s="85"/>
      <c r="B51" s="20" t="s">
        <v>482</v>
      </c>
      <c r="C51" s="20"/>
      <c r="D51" s="20" t="s">
        <v>351</v>
      </c>
      <c r="E51" s="20" t="s">
        <v>91</v>
      </c>
      <c r="F51" s="20" t="s">
        <v>92</v>
      </c>
      <c r="G51" s="20" t="s">
        <v>93</v>
      </c>
      <c r="H51" s="20" t="s">
        <v>83</v>
      </c>
      <c r="I51" s="20" t="s">
        <v>84</v>
      </c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20"/>
      <c r="Y51" s="20"/>
      <c r="Z51" s="20"/>
      <c r="AA51" s="20"/>
    </row>
    <row r="52" spans="1:27" x14ac:dyDescent="0.3">
      <c r="A52" s="45"/>
      <c r="B52" s="45"/>
      <c r="C52" s="45"/>
      <c r="D52" s="87">
        <f>E67</f>
        <v>330</v>
      </c>
      <c r="E52" s="88">
        <f>F67</f>
        <v>32.103030303030302</v>
      </c>
      <c r="F52" s="88">
        <f>G67</f>
        <v>0.72727272727272729</v>
      </c>
      <c r="G52" s="88">
        <f>H67</f>
        <v>5.9030303030303033</v>
      </c>
      <c r="H52" s="87">
        <f>I67</f>
        <v>165</v>
      </c>
      <c r="I52" s="87">
        <f>I67</f>
        <v>165</v>
      </c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85"/>
      <c r="Y52" s="85"/>
      <c r="Z52" s="85"/>
      <c r="AA52" s="85"/>
    </row>
    <row r="53" spans="1:27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110" t="s">
        <v>110</v>
      </c>
      <c r="N53" s="110"/>
      <c r="O53" s="110"/>
      <c r="P53" s="110" t="s">
        <v>487</v>
      </c>
      <c r="Q53" s="110"/>
      <c r="R53" s="110" t="s">
        <v>111</v>
      </c>
      <c r="S53" s="110"/>
      <c r="T53" s="110"/>
      <c r="U53" s="110"/>
      <c r="V53" s="5"/>
      <c r="W53" s="5"/>
    </row>
    <row r="54" spans="1:27" x14ac:dyDescent="0.3">
      <c r="A54" s="86" t="s">
        <v>105</v>
      </c>
      <c r="B54" s="86" t="s">
        <v>106</v>
      </c>
      <c r="C54" s="86" t="s">
        <v>2</v>
      </c>
      <c r="D54" s="86" t="s">
        <v>71</v>
      </c>
      <c r="E54" s="86" t="s">
        <v>72</v>
      </c>
      <c r="F54" s="86" t="s">
        <v>91</v>
      </c>
      <c r="G54" s="86" t="s">
        <v>92</v>
      </c>
      <c r="H54" s="86" t="s">
        <v>93</v>
      </c>
      <c r="I54" s="86" t="s">
        <v>107</v>
      </c>
      <c r="J54" s="86" t="s">
        <v>108</v>
      </c>
      <c r="K54" s="86" t="s">
        <v>109</v>
      </c>
      <c r="L54" s="86" t="s">
        <v>94</v>
      </c>
      <c r="M54" s="86" t="s">
        <v>127</v>
      </c>
      <c r="N54" s="86" t="s">
        <v>371</v>
      </c>
      <c r="O54" s="86" t="s">
        <v>171</v>
      </c>
      <c r="P54" s="86" t="s">
        <v>372</v>
      </c>
      <c r="Q54" s="86" t="s">
        <v>128</v>
      </c>
      <c r="R54" s="86" t="s">
        <v>373</v>
      </c>
      <c r="S54" s="86" t="s">
        <v>374</v>
      </c>
      <c r="T54" s="86" t="s">
        <v>375</v>
      </c>
      <c r="U54" s="86" t="s">
        <v>376</v>
      </c>
      <c r="V54" s="86" t="s">
        <v>377</v>
      </c>
      <c r="W54" s="86" t="s">
        <v>3</v>
      </c>
      <c r="X54" s="86" t="s">
        <v>556</v>
      </c>
      <c r="Y54" s="86" t="s">
        <v>557</v>
      </c>
      <c r="Z54" s="86" t="s">
        <v>567</v>
      </c>
      <c r="AA54" s="86" t="s">
        <v>568</v>
      </c>
    </row>
    <row r="55" spans="1:27" x14ac:dyDescent="0.3">
      <c r="A55" s="5">
        <v>1</v>
      </c>
      <c r="B55" s="5" t="s">
        <v>264</v>
      </c>
      <c r="C55" s="16">
        <v>1</v>
      </c>
      <c r="D55" s="80">
        <v>65</v>
      </c>
      <c r="E55" s="80">
        <f t="shared" ref="E55:E61" si="2">IFERROR(C55*D55,0)</f>
        <v>65</v>
      </c>
      <c r="F55" s="17">
        <v>32</v>
      </c>
      <c r="G55" s="17">
        <v>4</v>
      </c>
      <c r="H55" s="17">
        <v>6</v>
      </c>
      <c r="I55" s="17">
        <v>8</v>
      </c>
      <c r="J55" s="17">
        <v>0.5</v>
      </c>
      <c r="K55" s="17">
        <v>0.8</v>
      </c>
      <c r="L55" s="5" t="s">
        <v>117</v>
      </c>
      <c r="M55" s="5" t="s">
        <v>378</v>
      </c>
      <c r="N55" s="5"/>
      <c r="O55" s="5"/>
      <c r="P55" s="5"/>
      <c r="Q55" s="5" t="s">
        <v>378</v>
      </c>
      <c r="R55" s="5" t="s">
        <v>378</v>
      </c>
      <c r="S55" s="5"/>
      <c r="T55" s="5"/>
      <c r="U55" s="5"/>
      <c r="V55" s="78">
        <f t="shared" ref="V55:V61" si="3">IF(UPPER(M55)="X",0.5,IF(UPPER(N55)="X",0.2,IF(UPPER(O55)="X",0.05,0)))</f>
        <v>0.5</v>
      </c>
      <c r="W55" s="5" t="s">
        <v>265</v>
      </c>
    </row>
    <row r="56" spans="1:27" x14ac:dyDescent="0.3">
      <c r="A56" s="5">
        <v>2</v>
      </c>
      <c r="B56" s="5" t="s">
        <v>266</v>
      </c>
      <c r="C56" s="16">
        <v>1</v>
      </c>
      <c r="D56" s="80">
        <v>65</v>
      </c>
      <c r="E56" s="80">
        <f t="shared" si="2"/>
        <v>65</v>
      </c>
      <c r="F56" s="17">
        <v>32</v>
      </c>
      <c r="G56" s="17">
        <v>-4</v>
      </c>
      <c r="H56" s="17">
        <v>6</v>
      </c>
      <c r="I56" s="17">
        <v>8</v>
      </c>
      <c r="J56" s="17">
        <v>0.5</v>
      </c>
      <c r="K56" s="17">
        <v>0.8</v>
      </c>
      <c r="L56" s="5" t="s">
        <v>117</v>
      </c>
      <c r="M56" s="5" t="s">
        <v>378</v>
      </c>
      <c r="N56" s="5"/>
      <c r="O56" s="5"/>
      <c r="P56" s="5"/>
      <c r="Q56" s="5" t="s">
        <v>378</v>
      </c>
      <c r="R56" s="5" t="s">
        <v>378</v>
      </c>
      <c r="S56" s="5"/>
      <c r="T56" s="5"/>
      <c r="U56" s="5"/>
      <c r="V56" s="78">
        <f t="shared" si="3"/>
        <v>0.5</v>
      </c>
      <c r="W56" s="5" t="s">
        <v>265</v>
      </c>
    </row>
    <row r="57" spans="1:27" x14ac:dyDescent="0.3">
      <c r="A57" s="5">
        <v>3</v>
      </c>
      <c r="B57" s="5" t="s">
        <v>267</v>
      </c>
      <c r="C57" s="16">
        <v>12</v>
      </c>
      <c r="D57" s="80">
        <v>4</v>
      </c>
      <c r="E57" s="80">
        <f t="shared" si="2"/>
        <v>48</v>
      </c>
      <c r="F57" s="17">
        <v>32</v>
      </c>
      <c r="G57" s="17">
        <v>0</v>
      </c>
      <c r="H57" s="17">
        <v>6</v>
      </c>
      <c r="I57" s="17">
        <v>0.3</v>
      </c>
      <c r="J57" s="17">
        <v>0.5</v>
      </c>
      <c r="K57" s="17">
        <v>1</v>
      </c>
      <c r="L57" s="5" t="s">
        <v>117</v>
      </c>
      <c r="M57" s="5" t="s">
        <v>378</v>
      </c>
      <c r="N57" s="5"/>
      <c r="O57" s="5"/>
      <c r="P57" s="5"/>
      <c r="Q57" s="5" t="s">
        <v>378</v>
      </c>
      <c r="R57" s="5" t="s">
        <v>378</v>
      </c>
      <c r="S57" s="5"/>
      <c r="T57" s="5"/>
      <c r="U57" s="5"/>
      <c r="V57" s="78">
        <f t="shared" si="3"/>
        <v>0.5</v>
      </c>
      <c r="W57" s="5"/>
    </row>
    <row r="58" spans="1:27" x14ac:dyDescent="0.3">
      <c r="A58" s="5">
        <v>4</v>
      </c>
      <c r="B58" s="5" t="s">
        <v>268</v>
      </c>
      <c r="C58" s="16">
        <v>1</v>
      </c>
      <c r="D58" s="80">
        <v>38</v>
      </c>
      <c r="E58" s="80">
        <f t="shared" si="2"/>
        <v>38</v>
      </c>
      <c r="F58" s="17">
        <v>32</v>
      </c>
      <c r="G58" s="17">
        <v>4</v>
      </c>
      <c r="H58" s="17">
        <v>6</v>
      </c>
      <c r="I58" s="17">
        <v>8</v>
      </c>
      <c r="J58" s="17">
        <v>4</v>
      </c>
      <c r="K58" s="17">
        <v>0.05</v>
      </c>
      <c r="L58" s="5" t="s">
        <v>117</v>
      </c>
      <c r="M58" s="5" t="s">
        <v>378</v>
      </c>
      <c r="N58" s="5"/>
      <c r="O58" s="5"/>
      <c r="P58" s="5"/>
      <c r="Q58" s="5" t="s">
        <v>378</v>
      </c>
      <c r="R58" s="5" t="s">
        <v>378</v>
      </c>
      <c r="S58" s="5"/>
      <c r="T58" s="5"/>
      <c r="U58" s="5"/>
      <c r="V58" s="78">
        <f t="shared" si="3"/>
        <v>0.5</v>
      </c>
      <c r="W58" s="5"/>
    </row>
    <row r="59" spans="1:27" x14ac:dyDescent="0.3">
      <c r="A59" s="5">
        <v>5</v>
      </c>
      <c r="B59" s="5" t="s">
        <v>269</v>
      </c>
      <c r="C59" s="16">
        <v>1</v>
      </c>
      <c r="D59" s="80">
        <v>38</v>
      </c>
      <c r="E59" s="80">
        <f t="shared" si="2"/>
        <v>38</v>
      </c>
      <c r="F59" s="17">
        <v>32</v>
      </c>
      <c r="G59" s="17">
        <v>-4</v>
      </c>
      <c r="H59" s="17">
        <v>6</v>
      </c>
      <c r="I59" s="17">
        <v>8</v>
      </c>
      <c r="J59" s="17">
        <v>4</v>
      </c>
      <c r="K59" s="17">
        <v>0.05</v>
      </c>
      <c r="L59" s="5" t="s">
        <v>117</v>
      </c>
      <c r="M59" s="5" t="s">
        <v>378</v>
      </c>
      <c r="N59" s="5"/>
      <c r="O59" s="5"/>
      <c r="P59" s="5"/>
      <c r="Q59" s="5" t="s">
        <v>378</v>
      </c>
      <c r="R59" s="5" t="s">
        <v>378</v>
      </c>
      <c r="S59" s="5"/>
      <c r="T59" s="5"/>
      <c r="U59" s="5"/>
      <c r="V59" s="78">
        <f t="shared" si="3"/>
        <v>0.5</v>
      </c>
      <c r="W59" s="5"/>
    </row>
    <row r="60" spans="1:27" x14ac:dyDescent="0.3">
      <c r="A60" s="5">
        <v>6</v>
      </c>
      <c r="B60" s="5" t="s">
        <v>270</v>
      </c>
      <c r="C60" s="16">
        <v>2</v>
      </c>
      <c r="D60" s="80">
        <v>22</v>
      </c>
      <c r="E60" s="80">
        <f t="shared" si="2"/>
        <v>44</v>
      </c>
      <c r="F60" s="17">
        <v>33.5</v>
      </c>
      <c r="G60" s="17">
        <v>4</v>
      </c>
      <c r="H60" s="17">
        <v>6</v>
      </c>
      <c r="I60" s="17">
        <v>6</v>
      </c>
      <c r="J60" s="17">
        <v>1.5</v>
      </c>
      <c r="K60" s="17">
        <v>0.3</v>
      </c>
      <c r="L60" s="5" t="s">
        <v>117</v>
      </c>
      <c r="M60" s="5" t="s">
        <v>378</v>
      </c>
      <c r="N60" s="5"/>
      <c r="O60" s="5"/>
      <c r="P60" s="5"/>
      <c r="Q60" s="5" t="s">
        <v>378</v>
      </c>
      <c r="R60" s="5" t="s">
        <v>378</v>
      </c>
      <c r="S60" s="5"/>
      <c r="T60" s="5"/>
      <c r="U60" s="5"/>
      <c r="V60" s="78">
        <f t="shared" si="3"/>
        <v>0.5</v>
      </c>
      <c r="W60" s="5" t="s">
        <v>271</v>
      </c>
    </row>
    <row r="61" spans="1:27" x14ac:dyDescent="0.3">
      <c r="A61" s="5">
        <v>7</v>
      </c>
      <c r="B61" s="5" t="s">
        <v>272</v>
      </c>
      <c r="C61" s="16">
        <v>4</v>
      </c>
      <c r="D61" s="80">
        <v>8</v>
      </c>
      <c r="E61" s="80">
        <f t="shared" si="2"/>
        <v>32</v>
      </c>
      <c r="F61" s="17">
        <v>31</v>
      </c>
      <c r="G61" s="17">
        <v>2</v>
      </c>
      <c r="H61" s="17">
        <v>5</v>
      </c>
      <c r="I61" s="17">
        <v>0.5</v>
      </c>
      <c r="J61" s="17">
        <v>0.5</v>
      </c>
      <c r="K61" s="17">
        <v>0.5</v>
      </c>
      <c r="L61" s="5" t="s">
        <v>117</v>
      </c>
      <c r="M61" s="5" t="s">
        <v>378</v>
      </c>
      <c r="N61" s="5"/>
      <c r="O61" s="5"/>
      <c r="P61" s="5"/>
      <c r="Q61" s="5" t="s">
        <v>378</v>
      </c>
      <c r="R61" s="5" t="s">
        <v>378</v>
      </c>
      <c r="S61" s="5"/>
      <c r="T61" s="5"/>
      <c r="U61" s="5"/>
      <c r="V61" s="78">
        <f t="shared" si="3"/>
        <v>0.5</v>
      </c>
      <c r="W61" s="5"/>
    </row>
    <row r="67" spans="1:27" ht="15" thickBot="1" x14ac:dyDescent="0.35">
      <c r="A67" s="28"/>
      <c r="B67" s="28" t="s">
        <v>431</v>
      </c>
      <c r="C67" s="28"/>
      <c r="D67" s="28"/>
      <c r="E67" s="89">
        <f>SUM(E55:E61)</f>
        <v>330</v>
      </c>
      <c r="F67" s="30">
        <f>IFERROR(SUMPRODUCT(E55:E61,F55:F61)/E67,0)</f>
        <v>32.103030303030302</v>
      </c>
      <c r="G67" s="30">
        <f>IFERROR(SUMPRODUCT(E55:E61,G55:G61)/E67,0)</f>
        <v>0.72727272727272729</v>
      </c>
      <c r="H67" s="30">
        <f>IFERROR(SUMPRODUCT(E55:E61,H55:H61)/E67,0)</f>
        <v>5.9030303030303033</v>
      </c>
      <c r="I67" s="89">
        <f>SUMPRODUCT(E55:E61,V55:V61)</f>
        <v>165</v>
      </c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 t="s">
        <v>560</v>
      </c>
      <c r="Y67" s="29">
        <f>SUMIFS(Import!$O:$O,Import!$S:$S,"5500")</f>
        <v>263.70814364207632</v>
      </c>
      <c r="Z67" s="29">
        <f>Y67-E67</f>
        <v>-66.291856357923677</v>
      </c>
      <c r="AA67" s="95">
        <f>IFERROR((Y67-E67)/E67,0)</f>
        <v>-0.20088441320582934</v>
      </c>
    </row>
    <row r="68" spans="1:27" ht="15" thickTop="1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7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7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7" ht="15" thickBot="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7" ht="16.2" thickTop="1" x14ac:dyDescent="0.3">
      <c r="A72" s="111" t="s">
        <v>432</v>
      </c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4"/>
      <c r="Y72" s="14"/>
      <c r="Z72" s="14"/>
      <c r="AA72" s="14"/>
    </row>
    <row r="73" spans="1:27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7" x14ac:dyDescent="0.3">
      <c r="A74" s="85"/>
      <c r="B74" s="20" t="s">
        <v>482</v>
      </c>
      <c r="C74" s="20"/>
      <c r="D74" s="20" t="s">
        <v>351</v>
      </c>
      <c r="E74" s="20" t="s">
        <v>91</v>
      </c>
      <c r="F74" s="20" t="s">
        <v>92</v>
      </c>
      <c r="G74" s="20" t="s">
        <v>93</v>
      </c>
      <c r="H74" s="20" t="s">
        <v>83</v>
      </c>
      <c r="I74" s="20" t="s">
        <v>84</v>
      </c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20"/>
      <c r="Y74" s="20"/>
      <c r="Z74" s="20"/>
      <c r="AA74" s="20"/>
    </row>
    <row r="75" spans="1:27" x14ac:dyDescent="0.3">
      <c r="A75" s="45"/>
      <c r="B75" s="45"/>
      <c r="C75" s="45"/>
      <c r="D75" s="87">
        <f>E86</f>
        <v>124</v>
      </c>
      <c r="E75" s="88">
        <f>F86</f>
        <v>9.1612903225806459</v>
      </c>
      <c r="F75" s="88">
        <f>G86</f>
        <v>2.2129032258064516</v>
      </c>
      <c r="G75" s="88">
        <f>H86</f>
        <v>4.725806451612903</v>
      </c>
      <c r="H75" s="87">
        <f>I86</f>
        <v>30.800000000000004</v>
      </c>
      <c r="I75" s="87">
        <f>I86</f>
        <v>30.800000000000004</v>
      </c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85"/>
      <c r="Y75" s="85"/>
      <c r="Z75" s="85"/>
      <c r="AA75" s="85"/>
    </row>
    <row r="76" spans="1:27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110" t="s">
        <v>110</v>
      </c>
      <c r="N76" s="110"/>
      <c r="O76" s="110"/>
      <c r="P76" s="110" t="s">
        <v>487</v>
      </c>
      <c r="Q76" s="110"/>
      <c r="R76" s="110" t="s">
        <v>111</v>
      </c>
      <c r="S76" s="110"/>
      <c r="T76" s="110"/>
      <c r="U76" s="110"/>
      <c r="V76" s="5"/>
      <c r="W76" s="5"/>
    </row>
    <row r="77" spans="1:27" x14ac:dyDescent="0.3">
      <c r="A77" s="86" t="s">
        <v>105</v>
      </c>
      <c r="B77" s="86" t="s">
        <v>106</v>
      </c>
      <c r="C77" s="86" t="s">
        <v>2</v>
      </c>
      <c r="D77" s="86" t="s">
        <v>71</v>
      </c>
      <c r="E77" s="86" t="s">
        <v>72</v>
      </c>
      <c r="F77" s="86" t="s">
        <v>91</v>
      </c>
      <c r="G77" s="86" t="s">
        <v>92</v>
      </c>
      <c r="H77" s="86" t="s">
        <v>93</v>
      </c>
      <c r="I77" s="86" t="s">
        <v>107</v>
      </c>
      <c r="J77" s="86" t="s">
        <v>108</v>
      </c>
      <c r="K77" s="86" t="s">
        <v>109</v>
      </c>
      <c r="L77" s="86" t="s">
        <v>94</v>
      </c>
      <c r="M77" s="86" t="s">
        <v>127</v>
      </c>
      <c r="N77" s="86" t="s">
        <v>371</v>
      </c>
      <c r="O77" s="86" t="s">
        <v>171</v>
      </c>
      <c r="P77" s="86" t="s">
        <v>372</v>
      </c>
      <c r="Q77" s="86" t="s">
        <v>128</v>
      </c>
      <c r="R77" s="86" t="s">
        <v>373</v>
      </c>
      <c r="S77" s="86" t="s">
        <v>374</v>
      </c>
      <c r="T77" s="86" t="s">
        <v>375</v>
      </c>
      <c r="U77" s="86" t="s">
        <v>376</v>
      </c>
      <c r="V77" s="86" t="s">
        <v>377</v>
      </c>
      <c r="W77" s="86" t="s">
        <v>3</v>
      </c>
      <c r="X77" s="86" t="s">
        <v>556</v>
      </c>
      <c r="Y77" s="86" t="s">
        <v>557</v>
      </c>
      <c r="Z77" s="86" t="s">
        <v>567</v>
      </c>
      <c r="AA77" s="86" t="s">
        <v>568</v>
      </c>
    </row>
    <row r="78" spans="1:27" x14ac:dyDescent="0.3">
      <c r="A78" s="5">
        <v>1</v>
      </c>
      <c r="B78" s="5" t="s">
        <v>273</v>
      </c>
      <c r="C78" s="16">
        <v>2</v>
      </c>
      <c r="D78" s="80">
        <v>28</v>
      </c>
      <c r="E78" s="80">
        <f>IFERROR(C78*D78,0)</f>
        <v>56</v>
      </c>
      <c r="F78" s="17">
        <v>4</v>
      </c>
      <c r="G78" s="17">
        <v>1.5</v>
      </c>
      <c r="H78" s="17">
        <v>5</v>
      </c>
      <c r="I78" s="17">
        <v>2.5</v>
      </c>
      <c r="J78" s="17">
        <v>2</v>
      </c>
      <c r="K78" s="17">
        <v>0.05</v>
      </c>
      <c r="L78" s="5" t="s">
        <v>117</v>
      </c>
      <c r="M78" s="5"/>
      <c r="N78" s="5" t="s">
        <v>378</v>
      </c>
      <c r="O78" s="5"/>
      <c r="P78" s="5"/>
      <c r="Q78" s="5" t="s">
        <v>378</v>
      </c>
      <c r="R78" s="5"/>
      <c r="S78" s="5" t="s">
        <v>378</v>
      </c>
      <c r="T78" s="5"/>
      <c r="U78" s="5"/>
      <c r="V78" s="78">
        <f>IF(UPPER(M78)="X",0.5,IF(UPPER(N78)="X",0.2,IF(UPPER(O78)="X",0.05,0)))</f>
        <v>0.2</v>
      </c>
      <c r="W78" s="5" t="s">
        <v>274</v>
      </c>
    </row>
    <row r="79" spans="1:27" x14ac:dyDescent="0.3">
      <c r="A79" s="5">
        <v>2</v>
      </c>
      <c r="B79" s="5" t="s">
        <v>275</v>
      </c>
      <c r="C79" s="16">
        <v>8</v>
      </c>
      <c r="D79" s="80">
        <v>6</v>
      </c>
      <c r="E79" s="80">
        <f>IFERROR(C79*D79,0)</f>
        <v>48</v>
      </c>
      <c r="F79" s="17">
        <v>14</v>
      </c>
      <c r="G79" s="17">
        <v>2.8</v>
      </c>
      <c r="H79" s="17">
        <v>4.5</v>
      </c>
      <c r="I79" s="17">
        <v>1.2</v>
      </c>
      <c r="J79" s="17">
        <v>1</v>
      </c>
      <c r="K79" s="17">
        <v>0.05</v>
      </c>
      <c r="L79" s="5" t="s">
        <v>117</v>
      </c>
      <c r="M79" s="5"/>
      <c r="N79" s="5" t="s">
        <v>378</v>
      </c>
      <c r="O79" s="5"/>
      <c r="P79" s="5"/>
      <c r="Q79" s="5" t="s">
        <v>378</v>
      </c>
      <c r="R79" s="5"/>
      <c r="S79" s="5" t="s">
        <v>378</v>
      </c>
      <c r="T79" s="5"/>
      <c r="U79" s="5"/>
      <c r="V79" s="78">
        <f>IF(UPPER(M79)="X",0.5,IF(UPPER(N79)="X",0.2,IF(UPPER(O79)="X",0.05,0)))</f>
        <v>0.2</v>
      </c>
      <c r="W79" s="5" t="s">
        <v>276</v>
      </c>
    </row>
    <row r="80" spans="1:27" x14ac:dyDescent="0.3">
      <c r="A80" s="5">
        <v>3</v>
      </c>
      <c r="B80" s="5" t="s">
        <v>277</v>
      </c>
      <c r="C80" s="16">
        <v>10</v>
      </c>
      <c r="D80" s="80">
        <v>2</v>
      </c>
      <c r="E80" s="80">
        <f>IFERROR(C80*D80,0)</f>
        <v>20</v>
      </c>
      <c r="F80" s="17">
        <v>12</v>
      </c>
      <c r="G80" s="17">
        <v>2.8</v>
      </c>
      <c r="H80" s="17">
        <v>4.5</v>
      </c>
      <c r="I80" s="17">
        <v>0.3</v>
      </c>
      <c r="J80" s="17">
        <v>0.3</v>
      </c>
      <c r="K80" s="17">
        <v>0.1</v>
      </c>
      <c r="L80" s="5" t="s">
        <v>117</v>
      </c>
      <c r="M80" s="5" t="s">
        <v>378</v>
      </c>
      <c r="N80" s="5"/>
      <c r="O80" s="5"/>
      <c r="P80" s="5"/>
      <c r="Q80" s="5" t="s">
        <v>378</v>
      </c>
      <c r="R80" s="5" t="s">
        <v>378</v>
      </c>
      <c r="S80" s="5"/>
      <c r="T80" s="5"/>
      <c r="U80" s="5"/>
      <c r="V80" s="78">
        <f>IF(UPPER(M80)="X",0.5,IF(UPPER(N80)="X",0.2,IF(UPPER(O80)="X",0.05,0)))</f>
        <v>0.5</v>
      </c>
      <c r="W80" s="5"/>
    </row>
    <row r="86" spans="1:27" ht="15" thickBot="1" x14ac:dyDescent="0.35">
      <c r="A86" s="28"/>
      <c r="B86" s="28" t="s">
        <v>433</v>
      </c>
      <c r="C86" s="28"/>
      <c r="D86" s="28"/>
      <c r="E86" s="89">
        <f>SUM(E78:E80)</f>
        <v>124</v>
      </c>
      <c r="F86" s="30">
        <f>IFERROR(SUMPRODUCT(E78:E80,F78:F80)/E86,0)</f>
        <v>9.1612903225806459</v>
      </c>
      <c r="G86" s="30">
        <f>IFERROR(SUMPRODUCT(E78:E80,G78:G80)/E86,0)</f>
        <v>2.2129032258064516</v>
      </c>
      <c r="H86" s="30">
        <f>IFERROR(SUMPRODUCT(E78:E80,H78:H80)/E86,0)</f>
        <v>4.725806451612903</v>
      </c>
      <c r="I86" s="89">
        <f>SUMPRODUCT(E78:E80,V78:V80)</f>
        <v>30.800000000000004</v>
      </c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 t="s">
        <v>560</v>
      </c>
      <c r="Y86" s="29">
        <f>SUMIFS(Import!$O:$O,Import!$S:$S,"5600")</f>
        <v>123.99985253292559</v>
      </c>
      <c r="Z86" s="29">
        <f>Y86-E86</f>
        <v>-1.4746707441304352E-4</v>
      </c>
      <c r="AA86" s="95">
        <f>IFERROR((Y86-E86)/E86,0)</f>
        <v>-1.1892506001051896E-6</v>
      </c>
    </row>
    <row r="87" spans="1:27" ht="15" thickTop="1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7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7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7" ht="15" thickBot="1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7" ht="16.2" thickTop="1" x14ac:dyDescent="0.3">
      <c r="A91" s="111" t="s">
        <v>434</v>
      </c>
      <c r="B91" s="112"/>
      <c r="C91" s="112"/>
      <c r="D91" s="112"/>
      <c r="E91" s="112"/>
      <c r="F91" s="112"/>
      <c r="G91" s="112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4"/>
      <c r="Y91" s="14"/>
      <c r="Z91" s="14"/>
      <c r="AA91" s="14"/>
    </row>
    <row r="92" spans="1:27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7" x14ac:dyDescent="0.3">
      <c r="A93" s="85"/>
      <c r="B93" s="20" t="s">
        <v>482</v>
      </c>
      <c r="C93" s="20"/>
      <c r="D93" s="20" t="s">
        <v>351</v>
      </c>
      <c r="E93" s="20" t="s">
        <v>91</v>
      </c>
      <c r="F93" s="20" t="s">
        <v>92</v>
      </c>
      <c r="G93" s="20" t="s">
        <v>93</v>
      </c>
      <c r="H93" s="20" t="s">
        <v>83</v>
      </c>
      <c r="I93" s="20" t="s">
        <v>84</v>
      </c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20"/>
      <c r="Y93" s="20"/>
      <c r="Z93" s="20"/>
      <c r="AA93" s="20"/>
    </row>
    <row r="94" spans="1:27" x14ac:dyDescent="0.3">
      <c r="A94" s="45"/>
      <c r="B94" s="45"/>
      <c r="C94" s="45"/>
      <c r="D94" s="87">
        <f>E114</f>
        <v>1158</v>
      </c>
      <c r="E94" s="88">
        <f>F114</f>
        <v>17.26511226252159</v>
      </c>
      <c r="F94" s="88">
        <f>G114</f>
        <v>1.4093264248704662</v>
      </c>
      <c r="G94" s="88">
        <f>H114</f>
        <v>2</v>
      </c>
      <c r="H94" s="87">
        <f>I114</f>
        <v>579</v>
      </c>
      <c r="I94" s="87">
        <f>I114</f>
        <v>579</v>
      </c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85"/>
      <c r="Y94" s="85"/>
      <c r="Z94" s="85"/>
      <c r="AA94" s="85"/>
    </row>
    <row r="95" spans="1:27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110" t="s">
        <v>110</v>
      </c>
      <c r="N95" s="110"/>
      <c r="O95" s="110"/>
      <c r="P95" s="110" t="s">
        <v>487</v>
      </c>
      <c r="Q95" s="110"/>
      <c r="R95" s="110" t="s">
        <v>111</v>
      </c>
      <c r="S95" s="110"/>
      <c r="T95" s="110"/>
      <c r="U95" s="110"/>
      <c r="V95" s="5"/>
      <c r="W95" s="5"/>
    </row>
    <row r="96" spans="1:27" x14ac:dyDescent="0.3">
      <c r="A96" s="86" t="s">
        <v>105</v>
      </c>
      <c r="B96" s="86" t="s">
        <v>106</v>
      </c>
      <c r="C96" s="86" t="s">
        <v>2</v>
      </c>
      <c r="D96" s="86" t="s">
        <v>71</v>
      </c>
      <c r="E96" s="86" t="s">
        <v>72</v>
      </c>
      <c r="F96" s="86" t="s">
        <v>91</v>
      </c>
      <c r="G96" s="86" t="s">
        <v>92</v>
      </c>
      <c r="H96" s="86" t="s">
        <v>93</v>
      </c>
      <c r="I96" s="86" t="s">
        <v>107</v>
      </c>
      <c r="J96" s="86" t="s">
        <v>108</v>
      </c>
      <c r="K96" s="86" t="s">
        <v>109</v>
      </c>
      <c r="L96" s="86" t="s">
        <v>94</v>
      </c>
      <c r="M96" s="86" t="s">
        <v>127</v>
      </c>
      <c r="N96" s="86" t="s">
        <v>371</v>
      </c>
      <c r="O96" s="86" t="s">
        <v>171</v>
      </c>
      <c r="P96" s="86" t="s">
        <v>372</v>
      </c>
      <c r="Q96" s="86" t="s">
        <v>128</v>
      </c>
      <c r="R96" s="86" t="s">
        <v>373</v>
      </c>
      <c r="S96" s="86" t="s">
        <v>374</v>
      </c>
      <c r="T96" s="86" t="s">
        <v>375</v>
      </c>
      <c r="U96" s="86" t="s">
        <v>376</v>
      </c>
      <c r="V96" s="86" t="s">
        <v>377</v>
      </c>
      <c r="W96" s="86" t="s">
        <v>3</v>
      </c>
      <c r="X96" s="86" t="s">
        <v>556</v>
      </c>
      <c r="Y96" s="86" t="s">
        <v>557</v>
      </c>
      <c r="Z96" s="86" t="s">
        <v>567</v>
      </c>
      <c r="AA96" s="86" t="s">
        <v>568</v>
      </c>
    </row>
    <row r="97" spans="1:23" x14ac:dyDescent="0.3">
      <c r="A97" s="5">
        <v>1</v>
      </c>
      <c r="B97" s="5" t="s">
        <v>278</v>
      </c>
      <c r="C97" s="16">
        <v>1</v>
      </c>
      <c r="D97" s="80">
        <v>140</v>
      </c>
      <c r="E97" s="80">
        <f t="shared" ref="E97:E108" si="4">IFERROR(C97*D97,0)</f>
        <v>140</v>
      </c>
      <c r="F97" s="17">
        <v>17</v>
      </c>
      <c r="G97" s="17">
        <v>8</v>
      </c>
      <c r="H97" s="17">
        <v>2</v>
      </c>
      <c r="I97" s="17">
        <v>15</v>
      </c>
      <c r="J97" s="17">
        <v>0.6</v>
      </c>
      <c r="K97" s="17">
        <v>1</v>
      </c>
      <c r="L97" s="5" t="s">
        <v>117</v>
      </c>
      <c r="M97" s="5" t="s">
        <v>378</v>
      </c>
      <c r="N97" s="5"/>
      <c r="O97" s="5"/>
      <c r="P97" s="5"/>
      <c r="Q97" s="5" t="s">
        <v>378</v>
      </c>
      <c r="R97" s="5" t="s">
        <v>378</v>
      </c>
      <c r="S97" s="5"/>
      <c r="T97" s="5"/>
      <c r="U97" s="5"/>
      <c r="V97" s="78">
        <f t="shared" ref="V97:V108" si="5">IF(UPPER(M97)="X",0.5,IF(UPPER(N97)="X",0.2,IF(UPPER(O97)="X",0.05,0)))</f>
        <v>0.5</v>
      </c>
      <c r="W97" s="5" t="s">
        <v>279</v>
      </c>
    </row>
    <row r="98" spans="1:23" x14ac:dyDescent="0.3">
      <c r="A98" s="5">
        <v>2</v>
      </c>
      <c r="B98" s="5" t="s">
        <v>280</v>
      </c>
      <c r="C98" s="16">
        <v>1</v>
      </c>
      <c r="D98" s="80">
        <v>140</v>
      </c>
      <c r="E98" s="80">
        <f t="shared" si="4"/>
        <v>140</v>
      </c>
      <c r="F98" s="17">
        <v>17</v>
      </c>
      <c r="G98" s="17">
        <v>-8</v>
      </c>
      <c r="H98" s="17">
        <v>2</v>
      </c>
      <c r="I98" s="17">
        <v>15</v>
      </c>
      <c r="J98" s="17">
        <v>0.6</v>
      </c>
      <c r="K98" s="17">
        <v>1</v>
      </c>
      <c r="L98" s="5" t="s">
        <v>117</v>
      </c>
      <c r="M98" s="5" t="s">
        <v>378</v>
      </c>
      <c r="N98" s="5"/>
      <c r="O98" s="5"/>
      <c r="P98" s="5"/>
      <c r="Q98" s="5" t="s">
        <v>378</v>
      </c>
      <c r="R98" s="5" t="s">
        <v>378</v>
      </c>
      <c r="S98" s="5"/>
      <c r="T98" s="5"/>
      <c r="U98" s="5"/>
      <c r="V98" s="78">
        <f t="shared" si="5"/>
        <v>0.5</v>
      </c>
      <c r="W98" s="5" t="s">
        <v>279</v>
      </c>
    </row>
    <row r="99" spans="1:23" x14ac:dyDescent="0.3">
      <c r="A99" s="5">
        <v>3</v>
      </c>
      <c r="B99" s="5" t="s">
        <v>281</v>
      </c>
      <c r="C99" s="16">
        <v>1</v>
      </c>
      <c r="D99" s="80">
        <v>75</v>
      </c>
      <c r="E99" s="80">
        <f t="shared" si="4"/>
        <v>75</v>
      </c>
      <c r="F99" s="17">
        <v>18.5</v>
      </c>
      <c r="G99" s="17">
        <v>8</v>
      </c>
      <c r="H99" s="17">
        <v>2</v>
      </c>
      <c r="I99" s="17">
        <v>15</v>
      </c>
      <c r="J99" s="17">
        <v>0.4</v>
      </c>
      <c r="K99" s="17">
        <v>0.8</v>
      </c>
      <c r="L99" s="5" t="s">
        <v>117</v>
      </c>
      <c r="M99" s="5" t="s">
        <v>378</v>
      </c>
      <c r="N99" s="5"/>
      <c r="O99" s="5"/>
      <c r="P99" s="5"/>
      <c r="Q99" s="5" t="s">
        <v>378</v>
      </c>
      <c r="R99" s="5" t="s">
        <v>378</v>
      </c>
      <c r="S99" s="5"/>
      <c r="T99" s="5"/>
      <c r="U99" s="5"/>
      <c r="V99" s="78">
        <f t="shared" si="5"/>
        <v>0.5</v>
      </c>
      <c r="W99" s="5"/>
    </row>
    <row r="100" spans="1:23" x14ac:dyDescent="0.3">
      <c r="A100" s="5">
        <v>4</v>
      </c>
      <c r="B100" s="5" t="s">
        <v>282</v>
      </c>
      <c r="C100" s="16">
        <v>1</v>
      </c>
      <c r="D100" s="80">
        <v>75</v>
      </c>
      <c r="E100" s="80">
        <f t="shared" si="4"/>
        <v>75</v>
      </c>
      <c r="F100" s="17">
        <v>18.5</v>
      </c>
      <c r="G100" s="17">
        <v>-8</v>
      </c>
      <c r="H100" s="17">
        <v>2</v>
      </c>
      <c r="I100" s="17">
        <v>15</v>
      </c>
      <c r="J100" s="17">
        <v>0.4</v>
      </c>
      <c r="K100" s="17">
        <v>0.8</v>
      </c>
      <c r="L100" s="5" t="s">
        <v>117</v>
      </c>
      <c r="M100" s="5" t="s">
        <v>378</v>
      </c>
      <c r="N100" s="5"/>
      <c r="O100" s="5"/>
      <c r="P100" s="5"/>
      <c r="Q100" s="5" t="s">
        <v>378</v>
      </c>
      <c r="R100" s="5" t="s">
        <v>378</v>
      </c>
      <c r="S100" s="5"/>
      <c r="T100" s="5"/>
      <c r="U100" s="5"/>
      <c r="V100" s="78">
        <f t="shared" si="5"/>
        <v>0.5</v>
      </c>
      <c r="W100" s="5"/>
    </row>
    <row r="101" spans="1:23" x14ac:dyDescent="0.3">
      <c r="A101" s="5">
        <v>5</v>
      </c>
      <c r="B101" s="5" t="s">
        <v>283</v>
      </c>
      <c r="C101" s="16">
        <v>14</v>
      </c>
      <c r="D101" s="80">
        <v>5</v>
      </c>
      <c r="E101" s="80">
        <f t="shared" si="4"/>
        <v>70</v>
      </c>
      <c r="F101" s="17">
        <v>17</v>
      </c>
      <c r="G101" s="17">
        <v>8</v>
      </c>
      <c r="H101" s="17">
        <v>2</v>
      </c>
      <c r="I101" s="17">
        <v>0.3</v>
      </c>
      <c r="J101" s="17">
        <v>5</v>
      </c>
      <c r="K101" s="17">
        <v>1</v>
      </c>
      <c r="L101" s="5" t="s">
        <v>117</v>
      </c>
      <c r="M101" s="5" t="s">
        <v>378</v>
      </c>
      <c r="N101" s="5"/>
      <c r="O101" s="5"/>
      <c r="P101" s="5"/>
      <c r="Q101" s="5" t="s">
        <v>378</v>
      </c>
      <c r="R101" s="5" t="s">
        <v>378</v>
      </c>
      <c r="S101" s="5"/>
      <c r="T101" s="5"/>
      <c r="U101" s="5"/>
      <c r="V101" s="78">
        <f t="shared" si="5"/>
        <v>0.5</v>
      </c>
      <c r="W101" s="5"/>
    </row>
    <row r="102" spans="1:23" x14ac:dyDescent="0.3">
      <c r="A102" s="5">
        <v>6</v>
      </c>
      <c r="B102" s="5" t="s">
        <v>284</v>
      </c>
      <c r="C102" s="16">
        <v>14</v>
      </c>
      <c r="D102" s="80">
        <v>5</v>
      </c>
      <c r="E102" s="80">
        <f t="shared" si="4"/>
        <v>70</v>
      </c>
      <c r="F102" s="17">
        <v>17</v>
      </c>
      <c r="G102" s="17">
        <v>-8</v>
      </c>
      <c r="H102" s="17">
        <v>2</v>
      </c>
      <c r="I102" s="17">
        <v>0.3</v>
      </c>
      <c r="J102" s="17">
        <v>5</v>
      </c>
      <c r="K102" s="17">
        <v>1</v>
      </c>
      <c r="L102" s="5" t="s">
        <v>117</v>
      </c>
      <c r="M102" s="5" t="s">
        <v>378</v>
      </c>
      <c r="N102" s="5"/>
      <c r="O102" s="5"/>
      <c r="P102" s="5"/>
      <c r="Q102" s="5" t="s">
        <v>378</v>
      </c>
      <c r="R102" s="5" t="s">
        <v>378</v>
      </c>
      <c r="S102" s="5"/>
      <c r="T102" s="5"/>
      <c r="U102" s="5"/>
      <c r="V102" s="78">
        <f t="shared" si="5"/>
        <v>0.5</v>
      </c>
      <c r="W102" s="5"/>
    </row>
    <row r="103" spans="1:23" x14ac:dyDescent="0.3">
      <c r="A103" s="5">
        <v>7</v>
      </c>
      <c r="B103" s="5" t="s">
        <v>285</v>
      </c>
      <c r="C103" s="16">
        <v>1</v>
      </c>
      <c r="D103" s="80">
        <v>180</v>
      </c>
      <c r="E103" s="80">
        <f t="shared" si="4"/>
        <v>180</v>
      </c>
      <c r="F103" s="17">
        <v>17</v>
      </c>
      <c r="G103" s="17">
        <v>8</v>
      </c>
      <c r="H103" s="17">
        <v>2</v>
      </c>
      <c r="I103" s="17">
        <v>18</v>
      </c>
      <c r="J103" s="17">
        <v>5</v>
      </c>
      <c r="K103" s="17">
        <v>0.05</v>
      </c>
      <c r="L103" s="5" t="s">
        <v>117</v>
      </c>
      <c r="M103" s="5" t="s">
        <v>378</v>
      </c>
      <c r="N103" s="5"/>
      <c r="O103" s="5"/>
      <c r="P103" s="5"/>
      <c r="Q103" s="5" t="s">
        <v>378</v>
      </c>
      <c r="R103" s="5" t="s">
        <v>378</v>
      </c>
      <c r="S103" s="5"/>
      <c r="T103" s="5"/>
      <c r="U103" s="5"/>
      <c r="V103" s="78">
        <f t="shared" si="5"/>
        <v>0.5</v>
      </c>
      <c r="W103" s="5"/>
    </row>
    <row r="104" spans="1:23" x14ac:dyDescent="0.3">
      <c r="A104" s="5">
        <v>8</v>
      </c>
      <c r="B104" s="5" t="s">
        <v>286</v>
      </c>
      <c r="C104" s="16">
        <v>1</v>
      </c>
      <c r="D104" s="80">
        <v>180</v>
      </c>
      <c r="E104" s="80">
        <f t="shared" si="4"/>
        <v>180</v>
      </c>
      <c r="F104" s="17">
        <v>17</v>
      </c>
      <c r="G104" s="17">
        <v>-8</v>
      </c>
      <c r="H104" s="17">
        <v>2</v>
      </c>
      <c r="I104" s="17">
        <v>18</v>
      </c>
      <c r="J104" s="17">
        <v>5</v>
      </c>
      <c r="K104" s="17">
        <v>0.05</v>
      </c>
      <c r="L104" s="5" t="s">
        <v>117</v>
      </c>
      <c r="M104" s="5" t="s">
        <v>378</v>
      </c>
      <c r="N104" s="5"/>
      <c r="O104" s="5"/>
      <c r="P104" s="5"/>
      <c r="Q104" s="5" t="s">
        <v>378</v>
      </c>
      <c r="R104" s="5" t="s">
        <v>378</v>
      </c>
      <c r="S104" s="5"/>
      <c r="T104" s="5"/>
      <c r="U104" s="5"/>
      <c r="V104" s="78">
        <f t="shared" si="5"/>
        <v>0.5</v>
      </c>
      <c r="W104" s="5"/>
    </row>
    <row r="105" spans="1:23" x14ac:dyDescent="0.3">
      <c r="A105" s="5">
        <v>9</v>
      </c>
      <c r="B105" s="5" t="s">
        <v>287</v>
      </c>
      <c r="C105" s="16">
        <v>2</v>
      </c>
      <c r="D105" s="80">
        <v>22</v>
      </c>
      <c r="E105" s="80">
        <f t="shared" si="4"/>
        <v>44</v>
      </c>
      <c r="F105" s="17">
        <v>18</v>
      </c>
      <c r="G105" s="17">
        <v>12</v>
      </c>
      <c r="H105" s="17">
        <v>2</v>
      </c>
      <c r="I105" s="17">
        <v>4</v>
      </c>
      <c r="J105" s="17">
        <v>1.2</v>
      </c>
      <c r="K105" s="17">
        <v>0.3</v>
      </c>
      <c r="L105" s="5" t="s">
        <v>117</v>
      </c>
      <c r="M105" s="5" t="s">
        <v>378</v>
      </c>
      <c r="N105" s="5"/>
      <c r="O105" s="5"/>
      <c r="P105" s="5"/>
      <c r="Q105" s="5" t="s">
        <v>378</v>
      </c>
      <c r="R105" s="5" t="s">
        <v>378</v>
      </c>
      <c r="S105" s="5"/>
      <c r="T105" s="5"/>
      <c r="U105" s="5"/>
      <c r="V105" s="78">
        <f t="shared" si="5"/>
        <v>0.5</v>
      </c>
      <c r="W105" s="5"/>
    </row>
    <row r="106" spans="1:23" x14ac:dyDescent="0.3">
      <c r="A106" s="5">
        <v>10</v>
      </c>
      <c r="B106" s="5" t="s">
        <v>288</v>
      </c>
      <c r="C106" s="16">
        <v>2</v>
      </c>
      <c r="D106" s="80">
        <v>38</v>
      </c>
      <c r="E106" s="80">
        <f t="shared" si="4"/>
        <v>76</v>
      </c>
      <c r="F106" s="17">
        <v>17.5</v>
      </c>
      <c r="G106" s="17">
        <v>6</v>
      </c>
      <c r="H106" s="17">
        <v>2</v>
      </c>
      <c r="I106" s="17">
        <v>5</v>
      </c>
      <c r="J106" s="17">
        <v>1.5</v>
      </c>
      <c r="K106" s="17">
        <v>0.3</v>
      </c>
      <c r="L106" s="5" t="s">
        <v>117</v>
      </c>
      <c r="M106" s="5" t="s">
        <v>378</v>
      </c>
      <c r="N106" s="5"/>
      <c r="O106" s="5"/>
      <c r="P106" s="5"/>
      <c r="Q106" s="5" t="s">
        <v>378</v>
      </c>
      <c r="R106" s="5" t="s">
        <v>378</v>
      </c>
      <c r="S106" s="5"/>
      <c r="T106" s="5"/>
      <c r="U106" s="5"/>
      <c r="V106" s="78">
        <f t="shared" si="5"/>
        <v>0.5</v>
      </c>
      <c r="W106" s="5"/>
    </row>
    <row r="107" spans="1:23" x14ac:dyDescent="0.3">
      <c r="A107" s="5">
        <v>11</v>
      </c>
      <c r="B107" s="5" t="s">
        <v>289</v>
      </c>
      <c r="C107" s="16">
        <v>4</v>
      </c>
      <c r="D107" s="80">
        <v>18</v>
      </c>
      <c r="E107" s="80">
        <f t="shared" si="4"/>
        <v>72</v>
      </c>
      <c r="F107" s="17">
        <v>17</v>
      </c>
      <c r="G107" s="17">
        <v>2</v>
      </c>
      <c r="H107" s="17">
        <v>1.5</v>
      </c>
      <c r="I107" s="17">
        <v>0.6</v>
      </c>
      <c r="J107" s="17">
        <v>0.6</v>
      </c>
      <c r="K107" s="17">
        <v>0.6</v>
      </c>
      <c r="L107" s="5" t="s">
        <v>117</v>
      </c>
      <c r="M107" s="5" t="s">
        <v>378</v>
      </c>
      <c r="N107" s="5"/>
      <c r="O107" s="5"/>
      <c r="P107" s="5"/>
      <c r="Q107" s="5" t="s">
        <v>378</v>
      </c>
      <c r="R107" s="5" t="s">
        <v>378</v>
      </c>
      <c r="S107" s="5"/>
      <c r="T107" s="5"/>
      <c r="U107" s="5"/>
      <c r="V107" s="78">
        <f t="shared" si="5"/>
        <v>0.5</v>
      </c>
      <c r="W107" s="5"/>
    </row>
    <row r="108" spans="1:23" x14ac:dyDescent="0.3">
      <c r="A108" s="5">
        <v>12</v>
      </c>
      <c r="B108" s="5" t="s">
        <v>290</v>
      </c>
      <c r="C108" s="16">
        <v>2</v>
      </c>
      <c r="D108" s="80">
        <v>18</v>
      </c>
      <c r="E108" s="80">
        <f t="shared" si="4"/>
        <v>36</v>
      </c>
      <c r="F108" s="17">
        <v>17</v>
      </c>
      <c r="G108" s="17">
        <v>14</v>
      </c>
      <c r="H108" s="17">
        <v>3</v>
      </c>
      <c r="I108" s="17">
        <v>3</v>
      </c>
      <c r="J108" s="17">
        <v>0.8</v>
      </c>
      <c r="K108" s="17">
        <v>2</v>
      </c>
      <c r="L108" s="5" t="s">
        <v>117</v>
      </c>
      <c r="M108" s="5" t="s">
        <v>378</v>
      </c>
      <c r="N108" s="5"/>
      <c r="O108" s="5"/>
      <c r="P108" s="5"/>
      <c r="Q108" s="5" t="s">
        <v>378</v>
      </c>
      <c r="R108" s="5" t="s">
        <v>378</v>
      </c>
      <c r="S108" s="5"/>
      <c r="T108" s="5"/>
      <c r="U108" s="5"/>
      <c r="V108" s="78">
        <f t="shared" si="5"/>
        <v>0.5</v>
      </c>
      <c r="W108" s="5"/>
    </row>
    <row r="114" spans="1:27" ht="15" thickBot="1" x14ac:dyDescent="0.35">
      <c r="A114" s="28"/>
      <c r="B114" s="28" t="s">
        <v>435</v>
      </c>
      <c r="C114" s="28"/>
      <c r="D114" s="28"/>
      <c r="E114" s="89">
        <f>SUM(E97:E108)</f>
        <v>1158</v>
      </c>
      <c r="F114" s="30">
        <f>IFERROR(SUMPRODUCT(E97:E108,F97:F108)/E114,0)</f>
        <v>17.26511226252159</v>
      </c>
      <c r="G114" s="30">
        <f>IFERROR(SUMPRODUCT(E97:E108,G97:G108)/E114,0)</f>
        <v>1.4093264248704662</v>
      </c>
      <c r="H114" s="30">
        <f>IFERROR(SUMPRODUCT(E97:E108,H97:H108)/E114,0)</f>
        <v>2</v>
      </c>
      <c r="I114" s="89">
        <f>SUMPRODUCT(E97:E108,V97:V108)</f>
        <v>579</v>
      </c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 t="s">
        <v>560</v>
      </c>
      <c r="Y114" s="29">
        <f>SUMIFS(Import!$O:$O,Import!$S:$S,"5700")</f>
        <v>3099.9379918175346</v>
      </c>
      <c r="Z114" s="29">
        <f>Y114-E114</f>
        <v>1941.9379918175346</v>
      </c>
      <c r="AA114" s="95">
        <f>IFERROR((Y114-E114)/E114,0)</f>
        <v>1.6769758133139332</v>
      </c>
    </row>
    <row r="115" spans="1:27" ht="15" thickTop="1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7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7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7" ht="15" thickBot="1" x14ac:dyDescent="0.3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7" ht="16.2" thickTop="1" x14ac:dyDescent="0.3">
      <c r="A119" s="111" t="s">
        <v>436</v>
      </c>
      <c r="B119" s="112"/>
      <c r="C119" s="112"/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4"/>
      <c r="Y119" s="14"/>
      <c r="Z119" s="14"/>
      <c r="AA119" s="14"/>
    </row>
    <row r="120" spans="1:27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7" x14ac:dyDescent="0.3">
      <c r="A121" s="85"/>
      <c r="B121" s="20" t="s">
        <v>482</v>
      </c>
      <c r="C121" s="20"/>
      <c r="D121" s="20" t="s">
        <v>351</v>
      </c>
      <c r="E121" s="20" t="s">
        <v>91</v>
      </c>
      <c r="F121" s="20" t="s">
        <v>92</v>
      </c>
      <c r="G121" s="20" t="s">
        <v>93</v>
      </c>
      <c r="H121" s="20" t="s">
        <v>83</v>
      </c>
      <c r="I121" s="20" t="s">
        <v>84</v>
      </c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20"/>
      <c r="Y121" s="20"/>
      <c r="Z121" s="20"/>
      <c r="AA121" s="20"/>
    </row>
    <row r="122" spans="1:27" x14ac:dyDescent="0.3">
      <c r="A122" s="45"/>
      <c r="B122" s="45"/>
      <c r="C122" s="45"/>
      <c r="D122" s="87">
        <f>E134</f>
        <v>970</v>
      </c>
      <c r="E122" s="88">
        <f>F134</f>
        <v>16.020618556701031</v>
      </c>
      <c r="F122" s="88">
        <f>G134</f>
        <v>4.0206185567010309</v>
      </c>
      <c r="G122" s="88">
        <f>H134</f>
        <v>0.52319587628865982</v>
      </c>
      <c r="H122" s="87">
        <f>I134</f>
        <v>485</v>
      </c>
      <c r="I122" s="87">
        <f>I134</f>
        <v>485</v>
      </c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85"/>
      <c r="Y122" s="85"/>
      <c r="Z122" s="85"/>
      <c r="AA122" s="85"/>
    </row>
    <row r="123" spans="1:27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110" t="s">
        <v>110</v>
      </c>
      <c r="N123" s="110"/>
      <c r="O123" s="110"/>
      <c r="P123" s="110" t="s">
        <v>487</v>
      </c>
      <c r="Q123" s="110"/>
      <c r="R123" s="110" t="s">
        <v>111</v>
      </c>
      <c r="S123" s="110"/>
      <c r="T123" s="110"/>
      <c r="U123" s="110"/>
      <c r="V123" s="5"/>
      <c r="W123" s="5"/>
    </row>
    <row r="124" spans="1:27" x14ac:dyDescent="0.3">
      <c r="A124" s="86" t="s">
        <v>105</v>
      </c>
      <c r="B124" s="86" t="s">
        <v>106</v>
      </c>
      <c r="C124" s="86" t="s">
        <v>2</v>
      </c>
      <c r="D124" s="86" t="s">
        <v>71</v>
      </c>
      <c r="E124" s="86" t="s">
        <v>72</v>
      </c>
      <c r="F124" s="86" t="s">
        <v>91</v>
      </c>
      <c r="G124" s="86" t="s">
        <v>92</v>
      </c>
      <c r="H124" s="86" t="s">
        <v>93</v>
      </c>
      <c r="I124" s="86" t="s">
        <v>107</v>
      </c>
      <c r="J124" s="86" t="s">
        <v>108</v>
      </c>
      <c r="K124" s="86" t="s">
        <v>109</v>
      </c>
      <c r="L124" s="86" t="s">
        <v>94</v>
      </c>
      <c r="M124" s="86" t="s">
        <v>127</v>
      </c>
      <c r="N124" s="86" t="s">
        <v>371</v>
      </c>
      <c r="O124" s="86" t="s">
        <v>171</v>
      </c>
      <c r="P124" s="86" t="s">
        <v>372</v>
      </c>
      <c r="Q124" s="86" t="s">
        <v>128</v>
      </c>
      <c r="R124" s="86" t="s">
        <v>373</v>
      </c>
      <c r="S124" s="86" t="s">
        <v>374</v>
      </c>
      <c r="T124" s="86" t="s">
        <v>375</v>
      </c>
      <c r="U124" s="86" t="s">
        <v>376</v>
      </c>
      <c r="V124" s="86" t="s">
        <v>377</v>
      </c>
      <c r="W124" s="86" t="s">
        <v>3</v>
      </c>
      <c r="X124" s="86" t="s">
        <v>556</v>
      </c>
      <c r="Y124" s="86" t="s">
        <v>557</v>
      </c>
      <c r="Z124" s="86" t="s">
        <v>567</v>
      </c>
      <c r="AA124" s="86" t="s">
        <v>568</v>
      </c>
    </row>
    <row r="125" spans="1:27" x14ac:dyDescent="0.3">
      <c r="A125" s="5">
        <v>1</v>
      </c>
      <c r="B125" s="5" t="s">
        <v>207</v>
      </c>
      <c r="C125" s="16">
        <v>1</v>
      </c>
      <c r="D125" s="80">
        <v>145</v>
      </c>
      <c r="E125" s="80">
        <f>IFERROR(C125*D125,0)</f>
        <v>145</v>
      </c>
      <c r="F125" s="17">
        <v>6</v>
      </c>
      <c r="G125" s="17">
        <v>0</v>
      </c>
      <c r="H125" s="17">
        <v>0.5</v>
      </c>
      <c r="I125" s="17">
        <v>4</v>
      </c>
      <c r="J125" s="17">
        <v>1</v>
      </c>
      <c r="K125" s="17">
        <v>3</v>
      </c>
      <c r="L125" s="5" t="s">
        <v>15</v>
      </c>
      <c r="M125" s="5" t="s">
        <v>378</v>
      </c>
      <c r="N125" s="5"/>
      <c r="O125" s="5"/>
      <c r="P125" s="5"/>
      <c r="Q125" s="5" t="s">
        <v>378</v>
      </c>
      <c r="R125" s="5" t="s">
        <v>378</v>
      </c>
      <c r="S125" s="5"/>
      <c r="T125" s="5"/>
      <c r="U125" s="5"/>
      <c r="V125" s="78">
        <f>IF(UPPER(M125)="X",0.5,IF(UPPER(N125)="X",0.2,IF(UPPER(O125)="X",0.05,0)))</f>
        <v>0.5</v>
      </c>
      <c r="W125" s="5" t="s">
        <v>208</v>
      </c>
    </row>
    <row r="126" spans="1:27" x14ac:dyDescent="0.3">
      <c r="A126" s="5">
        <v>2</v>
      </c>
      <c r="B126" s="5" t="s">
        <v>209</v>
      </c>
      <c r="C126" s="16">
        <v>2</v>
      </c>
      <c r="D126" s="80">
        <v>320</v>
      </c>
      <c r="E126" s="80">
        <f>IFERROR(C126*D126,0)</f>
        <v>640</v>
      </c>
      <c r="F126" s="17">
        <v>18</v>
      </c>
      <c r="G126" s="17">
        <v>5</v>
      </c>
      <c r="H126" s="17">
        <v>0.5</v>
      </c>
      <c r="I126" s="17">
        <v>5</v>
      </c>
      <c r="J126" s="17">
        <v>1.5</v>
      </c>
      <c r="K126" s="17">
        <v>3.5</v>
      </c>
      <c r="L126" s="5" t="s">
        <v>15</v>
      </c>
      <c r="M126" s="5" t="s">
        <v>378</v>
      </c>
      <c r="N126" s="5"/>
      <c r="O126" s="5"/>
      <c r="P126" s="5"/>
      <c r="Q126" s="5" t="s">
        <v>378</v>
      </c>
      <c r="R126" s="5" t="s">
        <v>378</v>
      </c>
      <c r="S126" s="5"/>
      <c r="T126" s="5"/>
      <c r="U126" s="5"/>
      <c r="V126" s="78">
        <f>IF(UPPER(M126)="X",0.5,IF(UPPER(N126)="X",0.2,IF(UPPER(O126)="X",0.05,0)))</f>
        <v>0.5</v>
      </c>
      <c r="W126" s="5" t="s">
        <v>210</v>
      </c>
    </row>
    <row r="127" spans="1:27" x14ac:dyDescent="0.3">
      <c r="A127" s="5">
        <v>3</v>
      </c>
      <c r="B127" s="5" t="s">
        <v>211</v>
      </c>
      <c r="C127" s="16">
        <v>4</v>
      </c>
      <c r="D127" s="80">
        <v>35</v>
      </c>
      <c r="E127" s="80">
        <f>IFERROR(C127*D127,0)</f>
        <v>140</v>
      </c>
      <c r="F127" s="17">
        <v>18</v>
      </c>
      <c r="G127" s="17">
        <v>5</v>
      </c>
      <c r="H127" s="17">
        <v>0.5</v>
      </c>
      <c r="I127" s="17">
        <v>1.5</v>
      </c>
      <c r="J127" s="17">
        <v>1.5</v>
      </c>
      <c r="K127" s="17">
        <v>1.5</v>
      </c>
      <c r="L127" s="5" t="s">
        <v>15</v>
      </c>
      <c r="M127" s="5" t="s">
        <v>378</v>
      </c>
      <c r="N127" s="5"/>
      <c r="O127" s="5"/>
      <c r="P127" s="5"/>
      <c r="Q127" s="5" t="s">
        <v>378</v>
      </c>
      <c r="R127" s="5" t="s">
        <v>378</v>
      </c>
      <c r="S127" s="5"/>
      <c r="T127" s="5"/>
      <c r="U127" s="5"/>
      <c r="V127" s="78">
        <f>IF(UPPER(M127)="X",0.5,IF(UPPER(N127)="X",0.2,IF(UPPER(O127)="X",0.05,0)))</f>
        <v>0.5</v>
      </c>
      <c r="W127" s="5" t="s">
        <v>212</v>
      </c>
    </row>
    <row r="128" spans="1:27" x14ac:dyDescent="0.3">
      <c r="A128" s="5">
        <v>4</v>
      </c>
      <c r="B128" s="5" t="s">
        <v>213</v>
      </c>
      <c r="C128" s="16">
        <v>1</v>
      </c>
      <c r="D128" s="80">
        <v>45</v>
      </c>
      <c r="E128" s="80">
        <f>IFERROR(C128*D128,0)</f>
        <v>45</v>
      </c>
      <c r="F128" s="17">
        <v>14</v>
      </c>
      <c r="G128" s="17">
        <v>0</v>
      </c>
      <c r="H128" s="17">
        <v>1</v>
      </c>
      <c r="I128" s="17">
        <v>6</v>
      </c>
      <c r="J128" s="17">
        <v>4</v>
      </c>
      <c r="K128" s="17">
        <v>1</v>
      </c>
      <c r="L128" s="5" t="s">
        <v>15</v>
      </c>
      <c r="M128" s="5" t="s">
        <v>378</v>
      </c>
      <c r="N128" s="5"/>
      <c r="O128" s="5"/>
      <c r="P128" s="5"/>
      <c r="Q128" s="5" t="s">
        <v>378</v>
      </c>
      <c r="R128" s="5" t="s">
        <v>378</v>
      </c>
      <c r="S128" s="5"/>
      <c r="T128" s="5"/>
      <c r="U128" s="5"/>
      <c r="V128" s="78">
        <f>IF(UPPER(M128)="X",0.5,IF(UPPER(N128)="X",0.2,IF(UPPER(O128)="X",0.05,0)))</f>
        <v>0.5</v>
      </c>
      <c r="W128" s="5" t="s">
        <v>214</v>
      </c>
    </row>
    <row r="134" spans="1:27" ht="15" thickBot="1" x14ac:dyDescent="0.35">
      <c r="A134" s="28"/>
      <c r="B134" s="28" t="s">
        <v>437</v>
      </c>
      <c r="C134" s="28"/>
      <c r="D134" s="28"/>
      <c r="E134" s="89">
        <f>SUM(E125:E128)</f>
        <v>970</v>
      </c>
      <c r="F134" s="30">
        <f>IFERROR(SUMPRODUCT(E125:E128,F125:F128)/E134,0)</f>
        <v>16.020618556701031</v>
      </c>
      <c r="G134" s="30">
        <f>IFERROR(SUMPRODUCT(E125:E128,G125:G128)/E134,0)</f>
        <v>4.0206185567010309</v>
      </c>
      <c r="H134" s="30">
        <f>IFERROR(SUMPRODUCT(E125:E128,H125:H128)/E134,0)</f>
        <v>0.52319587628865982</v>
      </c>
      <c r="I134" s="89">
        <f>SUMPRODUCT(E125:E128,V125:V128)</f>
        <v>485</v>
      </c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 t="s">
        <v>560</v>
      </c>
      <c r="Y134" s="29">
        <f>SUMIFS(Import!$O:$O,Import!$S:$S,"3200")</f>
        <v>679.45135739189709</v>
      </c>
      <c r="Z134" s="29">
        <f>Y134-E134</f>
        <v>-290.54864260810291</v>
      </c>
      <c r="AA134" s="95">
        <f>IFERROR((Y134-E134)/E134,0)</f>
        <v>-0.29953468310113701</v>
      </c>
    </row>
    <row r="135" spans="1:27" ht="15" thickTop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</sheetData>
  <mergeCells count="25">
    <mergeCell ref="A72:W72"/>
    <mergeCell ref="A91:W91"/>
    <mergeCell ref="M76:O76"/>
    <mergeCell ref="P76:Q76"/>
    <mergeCell ref="R76:U76"/>
    <mergeCell ref="M53:O53"/>
    <mergeCell ref="P53:Q53"/>
    <mergeCell ref="R53:U53"/>
    <mergeCell ref="A1:W1"/>
    <mergeCell ref="A3:W3"/>
    <mergeCell ref="A22:W22"/>
    <mergeCell ref="A49:W49"/>
    <mergeCell ref="M7:O7"/>
    <mergeCell ref="P7:Q7"/>
    <mergeCell ref="R7:U7"/>
    <mergeCell ref="M26:O26"/>
    <mergeCell ref="P26:Q26"/>
    <mergeCell ref="R26:U26"/>
    <mergeCell ref="M95:O95"/>
    <mergeCell ref="P95:Q95"/>
    <mergeCell ref="R95:U95"/>
    <mergeCell ref="M123:O123"/>
    <mergeCell ref="P123:Q123"/>
    <mergeCell ref="R123:U123"/>
    <mergeCell ref="A119:W119"/>
  </mergeCells>
  <conditionalFormatting sqref="AA17">
    <cfRule type="cellIs" dxfId="26" priority="1" operator="notBetween">
      <formula>0.05</formula>
      <formula>-0.05</formula>
    </cfRule>
  </conditionalFormatting>
  <conditionalFormatting sqref="AA44">
    <cfRule type="cellIs" dxfId="25" priority="2" operator="notBetween">
      <formula>0.05</formula>
      <formula>-0.05</formula>
    </cfRule>
  </conditionalFormatting>
  <conditionalFormatting sqref="AA67">
    <cfRule type="cellIs" dxfId="24" priority="3" operator="notBetween">
      <formula>0.05</formula>
      <formula>-0.05</formula>
    </cfRule>
  </conditionalFormatting>
  <conditionalFormatting sqref="AA86">
    <cfRule type="cellIs" dxfId="23" priority="4" operator="notBetween">
      <formula>0.05</formula>
      <formula>-0.05</formula>
    </cfRule>
  </conditionalFormatting>
  <conditionalFormatting sqref="AA114">
    <cfRule type="cellIs" dxfId="22" priority="5" operator="notBetween">
      <formula>0.05</formula>
      <formula>-0.05</formula>
    </cfRule>
  </conditionalFormatting>
  <conditionalFormatting sqref="AA134">
    <cfRule type="cellIs" dxfId="21" priority="6" operator="notBetween">
      <formula>0.05</formula>
      <formula>-0.05</formula>
    </cfRule>
  </conditionalFormatting>
  <dataValidations count="1">
    <dataValidation type="list" allowBlank="1" showInputMessage="1" showErrorMessage="1" sqref="X17 X44 X67 X86 X114 X134" xr:uid="{1134A6AB-5CD8-4775-B9D9-789C6C5A0CED}">
      <formula1>"Bottom-up,MDO"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BAA0-8BC9-4466-907E-E432C398F468}">
  <sheetPr codeName="Sheet47"/>
  <dimension ref="A1:AA160"/>
  <sheetViews>
    <sheetView topLeftCell="B1" zoomScale="57" workbookViewId="0">
      <selection activeCell="A23" sqref="A23:W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1" width="13" customWidth="1"/>
    <col min="12" max="12" width="14.6640625" bestFit="1" customWidth="1"/>
    <col min="13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3" t="s">
        <v>438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11" t="s">
        <v>439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482</v>
      </c>
      <c r="C5" s="20"/>
      <c r="D5" s="20" t="s">
        <v>351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E18</f>
        <v>78</v>
      </c>
      <c r="E6" s="88">
        <f>F18</f>
        <v>17.743589743589745</v>
      </c>
      <c r="F6" s="88">
        <f>G18</f>
        <v>0.42307692307692307</v>
      </c>
      <c r="G6" s="88">
        <f>H18</f>
        <v>2.5576923076923075</v>
      </c>
      <c r="H6" s="87">
        <f>I18</f>
        <v>39</v>
      </c>
      <c r="I6" s="87">
        <f>I18</f>
        <v>39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487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371</v>
      </c>
      <c r="O8" s="86" t="s">
        <v>171</v>
      </c>
      <c r="P8" s="86" t="s">
        <v>372</v>
      </c>
      <c r="Q8" s="86" t="s">
        <v>128</v>
      </c>
      <c r="R8" s="86" t="s">
        <v>373</v>
      </c>
      <c r="S8" s="86" t="s">
        <v>374</v>
      </c>
      <c r="T8" s="86" t="s">
        <v>375</v>
      </c>
      <c r="U8" s="86" t="s">
        <v>376</v>
      </c>
      <c r="V8" s="86" t="s">
        <v>377</v>
      </c>
      <c r="W8" s="86" t="s">
        <v>3</v>
      </c>
      <c r="X8" s="86" t="s">
        <v>556</v>
      </c>
      <c r="Y8" s="86" t="s">
        <v>557</v>
      </c>
      <c r="Z8" s="86" t="s">
        <v>567</v>
      </c>
      <c r="AA8" s="86" t="s">
        <v>568</v>
      </c>
    </row>
    <row r="9" spans="1:27" x14ac:dyDescent="0.3">
      <c r="A9" s="5">
        <v>1</v>
      </c>
      <c r="B9" s="5" t="s">
        <v>126</v>
      </c>
      <c r="C9" s="16">
        <v>2</v>
      </c>
      <c r="D9" s="80">
        <v>8</v>
      </c>
      <c r="E9" s="80">
        <f>IFERROR(C9*D9,0)</f>
        <v>16</v>
      </c>
      <c r="F9" s="17">
        <v>15</v>
      </c>
      <c r="G9" s="17">
        <v>0</v>
      </c>
      <c r="H9" s="17">
        <v>3</v>
      </c>
      <c r="I9" s="17">
        <v>1</v>
      </c>
      <c r="J9" s="17">
        <v>1</v>
      </c>
      <c r="K9" s="17">
        <v>0.8</v>
      </c>
      <c r="L9" s="5" t="s">
        <v>104</v>
      </c>
      <c r="M9" s="5" t="s">
        <v>378</v>
      </c>
      <c r="N9" s="5"/>
      <c r="O9" s="5"/>
      <c r="P9" s="5"/>
      <c r="Q9" s="5" t="s">
        <v>378</v>
      </c>
      <c r="R9" s="5" t="s">
        <v>378</v>
      </c>
      <c r="S9" s="5"/>
      <c r="T9" s="5"/>
      <c r="U9" s="5"/>
      <c r="V9" s="78">
        <f>IF(UPPER(M9)="X",0.5,IF(UPPER(N9)="X",0.2,IF(UPPER(O9)="X",0.05,0)))</f>
        <v>0.5</v>
      </c>
      <c r="W9" s="5" t="s">
        <v>129</v>
      </c>
    </row>
    <row r="10" spans="1:27" x14ac:dyDescent="0.3">
      <c r="A10" s="5">
        <v>2</v>
      </c>
      <c r="B10" s="5" t="s">
        <v>130</v>
      </c>
      <c r="C10" s="16">
        <v>1</v>
      </c>
      <c r="D10" s="80">
        <v>5</v>
      </c>
      <c r="E10" s="80">
        <f>IFERROR(C10*D10,0)</f>
        <v>5</v>
      </c>
      <c r="F10" s="17">
        <v>6</v>
      </c>
      <c r="G10" s="17">
        <v>0</v>
      </c>
      <c r="H10" s="17">
        <v>4</v>
      </c>
      <c r="I10" s="17">
        <v>0.8</v>
      </c>
      <c r="J10" s="17">
        <v>0.5</v>
      </c>
      <c r="K10" s="17">
        <v>0.3</v>
      </c>
      <c r="L10" s="5" t="s">
        <v>104</v>
      </c>
      <c r="M10" s="5" t="s">
        <v>378</v>
      </c>
      <c r="N10" s="5"/>
      <c r="O10" s="5"/>
      <c r="P10" s="5"/>
      <c r="Q10" s="5" t="s">
        <v>378</v>
      </c>
      <c r="R10" s="5" t="s">
        <v>378</v>
      </c>
      <c r="S10" s="5"/>
      <c r="T10" s="5"/>
      <c r="U10" s="5"/>
      <c r="V10" s="78">
        <f>IF(UPPER(M10)="X",0.5,IF(UPPER(N10)="X",0.2,IF(UPPER(O10)="X",0.05,0)))</f>
        <v>0.5</v>
      </c>
      <c r="W10" s="5"/>
    </row>
    <row r="11" spans="1:27" x14ac:dyDescent="0.3">
      <c r="A11" s="5">
        <v>3</v>
      </c>
      <c r="B11" s="5" t="s">
        <v>131</v>
      </c>
      <c r="C11" s="16">
        <v>1</v>
      </c>
      <c r="D11" s="80">
        <v>35</v>
      </c>
      <c r="E11" s="80">
        <f>IFERROR(C11*D11,0)</f>
        <v>35</v>
      </c>
      <c r="F11" s="17">
        <v>18</v>
      </c>
      <c r="G11" s="17">
        <v>0</v>
      </c>
      <c r="H11" s="17">
        <v>2.5</v>
      </c>
      <c r="I11" s="17">
        <v>30</v>
      </c>
      <c r="J11" s="17">
        <v>0.3</v>
      </c>
      <c r="K11" s="17">
        <v>0.3</v>
      </c>
      <c r="L11" s="5" t="s">
        <v>104</v>
      </c>
      <c r="M11" s="5" t="s">
        <v>378</v>
      </c>
      <c r="N11" s="5"/>
      <c r="O11" s="5"/>
      <c r="P11" s="5"/>
      <c r="Q11" s="5" t="s">
        <v>378</v>
      </c>
      <c r="R11" s="5" t="s">
        <v>378</v>
      </c>
      <c r="S11" s="5"/>
      <c r="T11" s="5"/>
      <c r="U11" s="5"/>
      <c r="V11" s="78">
        <f>IF(UPPER(M11)="X",0.5,IF(UPPER(N11)="X",0.2,IF(UPPER(O11)="X",0.05,0)))</f>
        <v>0.5</v>
      </c>
      <c r="W11" s="5" t="s">
        <v>132</v>
      </c>
    </row>
    <row r="12" spans="1:27" x14ac:dyDescent="0.3">
      <c r="A12" s="5">
        <v>4</v>
      </c>
      <c r="B12" s="5" t="s">
        <v>133</v>
      </c>
      <c r="C12" s="16">
        <v>1</v>
      </c>
      <c r="D12" s="80">
        <v>22</v>
      </c>
      <c r="E12" s="80">
        <f>IFERROR(C12*D12,0)</f>
        <v>22</v>
      </c>
      <c r="F12" s="17">
        <v>22</v>
      </c>
      <c r="G12" s="17">
        <v>1.5</v>
      </c>
      <c r="H12" s="17">
        <v>2</v>
      </c>
      <c r="I12" s="17">
        <v>1.5</v>
      </c>
      <c r="J12" s="17">
        <v>1</v>
      </c>
      <c r="K12" s="17">
        <v>0.8</v>
      </c>
      <c r="L12" s="5" t="s">
        <v>104</v>
      </c>
      <c r="M12" s="5" t="s">
        <v>378</v>
      </c>
      <c r="N12" s="5"/>
      <c r="O12" s="5"/>
      <c r="P12" s="5"/>
      <c r="Q12" s="5" t="s">
        <v>378</v>
      </c>
      <c r="R12" s="5" t="s">
        <v>378</v>
      </c>
      <c r="S12" s="5"/>
      <c r="T12" s="5"/>
      <c r="U12" s="5"/>
      <c r="V12" s="78">
        <f>IF(UPPER(M12)="X",0.5,IF(UPPER(N12)="X",0.2,IF(UPPER(O12)="X",0.05,0)))</f>
        <v>0.5</v>
      </c>
      <c r="W12" s="5"/>
    </row>
    <row r="18" spans="1:27" ht="15" thickBot="1" x14ac:dyDescent="0.35">
      <c r="A18" s="28"/>
      <c r="B18" s="28" t="s">
        <v>440</v>
      </c>
      <c r="C18" s="28"/>
      <c r="D18" s="28"/>
      <c r="E18" s="89">
        <f>SUM(E9:E12)</f>
        <v>78</v>
      </c>
      <c r="F18" s="30">
        <f>IFERROR(SUMPRODUCT(E9:E12,F9:F12)/E18,0)</f>
        <v>17.743589743589745</v>
      </c>
      <c r="G18" s="30">
        <f>IFERROR(SUMPRODUCT(E9:E12,G9:G12)/E18,0)</f>
        <v>0.42307692307692307</v>
      </c>
      <c r="H18" s="30">
        <f>IFERROR(SUMPRODUCT(E9:E12,H9:H12)/E18,0)</f>
        <v>2.5576923076923075</v>
      </c>
      <c r="I18" s="89">
        <f>SUMPRODUCT(E9:E12,V9:V12)</f>
        <v>39</v>
      </c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 t="s">
        <v>560</v>
      </c>
      <c r="Y18" s="29">
        <f>SUMIFS(Import!$O:$O,Import!$S:$S,"2100")</f>
        <v>201.59976024707902</v>
      </c>
      <c r="Z18" s="29">
        <f>Y18-E18</f>
        <v>123.59976024707902</v>
      </c>
      <c r="AA18" s="95">
        <f>IFERROR((Y18-E18)/E18,0)</f>
        <v>1.5846123108599874</v>
      </c>
    </row>
    <row r="19" spans="1:27" ht="15" thickTop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7" ht="15" thickBot="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ht="16.2" thickTop="1" x14ac:dyDescent="0.3">
      <c r="A23" s="111" t="s">
        <v>441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4"/>
      <c r="Y23" s="14"/>
      <c r="Z23" s="14"/>
      <c r="AA23" s="14"/>
    </row>
    <row r="24" spans="1:2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7" x14ac:dyDescent="0.3">
      <c r="A25" s="85"/>
      <c r="B25" s="20" t="s">
        <v>482</v>
      </c>
      <c r="C25" s="20"/>
      <c r="D25" s="20" t="s">
        <v>351</v>
      </c>
      <c r="E25" s="20" t="s">
        <v>91</v>
      </c>
      <c r="F25" s="20" t="s">
        <v>92</v>
      </c>
      <c r="G25" s="20" t="s">
        <v>93</v>
      </c>
      <c r="H25" s="20" t="s">
        <v>83</v>
      </c>
      <c r="I25" s="20" t="s">
        <v>84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20"/>
      <c r="Y25" s="20"/>
      <c r="Z25" s="20"/>
      <c r="AA25" s="20"/>
    </row>
    <row r="26" spans="1:27" x14ac:dyDescent="0.3">
      <c r="A26" s="45"/>
      <c r="B26" s="45"/>
      <c r="C26" s="45"/>
      <c r="D26" s="87">
        <f>E40</f>
        <v>220</v>
      </c>
      <c r="E26" s="88">
        <f>F40</f>
        <v>19.645454545454545</v>
      </c>
      <c r="F26" s="88">
        <f>G40</f>
        <v>3.7454545454545456</v>
      </c>
      <c r="G26" s="88">
        <f>H40</f>
        <v>3.9295454545454547</v>
      </c>
      <c r="H26" s="87">
        <f>I40</f>
        <v>102.8</v>
      </c>
      <c r="I26" s="87">
        <f>I40</f>
        <v>102.8</v>
      </c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85"/>
      <c r="Y26" s="85"/>
      <c r="Z26" s="85"/>
      <c r="AA26" s="85"/>
    </row>
    <row r="27" spans="1:2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110" t="s">
        <v>110</v>
      </c>
      <c r="N27" s="110"/>
      <c r="O27" s="110"/>
      <c r="P27" s="110" t="s">
        <v>487</v>
      </c>
      <c r="Q27" s="110"/>
      <c r="R27" s="110" t="s">
        <v>111</v>
      </c>
      <c r="S27" s="110"/>
      <c r="T27" s="110"/>
      <c r="U27" s="110"/>
      <c r="V27" s="5"/>
      <c r="W27" s="5"/>
    </row>
    <row r="28" spans="1:27" x14ac:dyDescent="0.3">
      <c r="A28" s="86" t="s">
        <v>105</v>
      </c>
      <c r="B28" s="86" t="s">
        <v>106</v>
      </c>
      <c r="C28" s="86" t="s">
        <v>2</v>
      </c>
      <c r="D28" s="86" t="s">
        <v>71</v>
      </c>
      <c r="E28" s="86" t="s">
        <v>72</v>
      </c>
      <c r="F28" s="86" t="s">
        <v>91</v>
      </c>
      <c r="G28" s="86" t="s">
        <v>92</v>
      </c>
      <c r="H28" s="86" t="s">
        <v>93</v>
      </c>
      <c r="I28" s="86" t="s">
        <v>107</v>
      </c>
      <c r="J28" s="86" t="s">
        <v>108</v>
      </c>
      <c r="K28" s="86" t="s">
        <v>109</v>
      </c>
      <c r="L28" s="86" t="s">
        <v>94</v>
      </c>
      <c r="M28" s="86" t="s">
        <v>127</v>
      </c>
      <c r="N28" s="86" t="s">
        <v>371</v>
      </c>
      <c r="O28" s="86" t="s">
        <v>171</v>
      </c>
      <c r="P28" s="86" t="s">
        <v>372</v>
      </c>
      <c r="Q28" s="86" t="s">
        <v>128</v>
      </c>
      <c r="R28" s="86" t="s">
        <v>373</v>
      </c>
      <c r="S28" s="86" t="s">
        <v>374</v>
      </c>
      <c r="T28" s="86" t="s">
        <v>375</v>
      </c>
      <c r="U28" s="86" t="s">
        <v>376</v>
      </c>
      <c r="V28" s="86" t="s">
        <v>377</v>
      </c>
      <c r="W28" s="86" t="s">
        <v>3</v>
      </c>
      <c r="X28" s="86" t="s">
        <v>556</v>
      </c>
      <c r="Y28" s="86" t="s">
        <v>557</v>
      </c>
      <c r="Z28" s="86" t="s">
        <v>567</v>
      </c>
      <c r="AA28" s="86" t="s">
        <v>568</v>
      </c>
    </row>
    <row r="29" spans="1:27" x14ac:dyDescent="0.3">
      <c r="A29" s="5">
        <v>1</v>
      </c>
      <c r="B29" s="5" t="s">
        <v>172</v>
      </c>
      <c r="C29" s="16">
        <v>2</v>
      </c>
      <c r="D29" s="80">
        <v>12</v>
      </c>
      <c r="E29" s="80">
        <f t="shared" ref="E29:E34" si="0">IFERROR(C29*D29,0)</f>
        <v>24</v>
      </c>
      <c r="F29" s="17">
        <v>5</v>
      </c>
      <c r="G29" s="17">
        <v>1</v>
      </c>
      <c r="H29" s="17">
        <v>3.5</v>
      </c>
      <c r="I29" s="17">
        <v>2</v>
      </c>
      <c r="J29" s="17">
        <v>1</v>
      </c>
      <c r="K29" s="17">
        <v>1</v>
      </c>
      <c r="L29" s="5" t="s">
        <v>10</v>
      </c>
      <c r="M29" s="5"/>
      <c r="N29" s="5" t="s">
        <v>378</v>
      </c>
      <c r="O29" s="5"/>
      <c r="P29" s="5"/>
      <c r="Q29" s="5" t="s">
        <v>378</v>
      </c>
      <c r="R29" s="5"/>
      <c r="S29" s="5" t="s">
        <v>378</v>
      </c>
      <c r="T29" s="5"/>
      <c r="U29" s="5"/>
      <c r="V29" s="78">
        <f t="shared" ref="V29:V34" si="1">IF(UPPER(M29)="X",0.5,IF(UPPER(N29)="X",0.2,IF(UPPER(O29)="X",0.05,0)))</f>
        <v>0.2</v>
      </c>
      <c r="W29" s="5" t="s">
        <v>173</v>
      </c>
    </row>
    <row r="30" spans="1:27" x14ac:dyDescent="0.3">
      <c r="A30" s="5">
        <v>2</v>
      </c>
      <c r="B30" s="5" t="s">
        <v>174</v>
      </c>
      <c r="C30" s="16">
        <v>2</v>
      </c>
      <c r="D30" s="80">
        <v>18</v>
      </c>
      <c r="E30" s="80">
        <f t="shared" si="0"/>
        <v>36</v>
      </c>
      <c r="F30" s="17">
        <v>17</v>
      </c>
      <c r="G30" s="17">
        <v>12</v>
      </c>
      <c r="H30" s="17">
        <v>4</v>
      </c>
      <c r="I30" s="17">
        <v>1</v>
      </c>
      <c r="J30" s="17">
        <v>0.5</v>
      </c>
      <c r="K30" s="17">
        <v>0.5</v>
      </c>
      <c r="L30" s="5" t="s">
        <v>10</v>
      </c>
      <c r="M30" s="5" t="s">
        <v>378</v>
      </c>
      <c r="N30" s="5"/>
      <c r="O30" s="5"/>
      <c r="P30" s="5"/>
      <c r="Q30" s="5" t="s">
        <v>378</v>
      </c>
      <c r="R30" s="5" t="s">
        <v>378</v>
      </c>
      <c r="S30" s="5"/>
      <c r="T30" s="5"/>
      <c r="U30" s="5"/>
      <c r="V30" s="78">
        <f t="shared" si="1"/>
        <v>0.5</v>
      </c>
      <c r="W30" s="5" t="s">
        <v>175</v>
      </c>
    </row>
    <row r="31" spans="1:27" x14ac:dyDescent="0.3">
      <c r="A31" s="5">
        <v>3</v>
      </c>
      <c r="B31" s="5" t="s">
        <v>176</v>
      </c>
      <c r="C31" s="16">
        <v>2</v>
      </c>
      <c r="D31" s="80">
        <v>22</v>
      </c>
      <c r="E31" s="80">
        <f t="shared" si="0"/>
        <v>44</v>
      </c>
      <c r="F31" s="17">
        <v>32</v>
      </c>
      <c r="G31" s="17">
        <v>2</v>
      </c>
      <c r="H31" s="17">
        <v>6</v>
      </c>
      <c r="I31" s="17">
        <v>1.2</v>
      </c>
      <c r="J31" s="17">
        <v>0.6</v>
      </c>
      <c r="K31" s="17">
        <v>0.6</v>
      </c>
      <c r="L31" s="5" t="s">
        <v>10</v>
      </c>
      <c r="M31" s="5" t="s">
        <v>378</v>
      </c>
      <c r="N31" s="5"/>
      <c r="O31" s="5"/>
      <c r="P31" s="5"/>
      <c r="Q31" s="5" t="s">
        <v>378</v>
      </c>
      <c r="R31" s="5" t="s">
        <v>378</v>
      </c>
      <c r="S31" s="5"/>
      <c r="T31" s="5"/>
      <c r="U31" s="5"/>
      <c r="V31" s="78">
        <f t="shared" si="1"/>
        <v>0.5</v>
      </c>
      <c r="W31" s="5" t="s">
        <v>177</v>
      </c>
    </row>
    <row r="32" spans="1:27" x14ac:dyDescent="0.3">
      <c r="A32" s="5">
        <v>4</v>
      </c>
      <c r="B32" s="5" t="s">
        <v>178</v>
      </c>
      <c r="C32" s="16">
        <v>2</v>
      </c>
      <c r="D32" s="80">
        <v>28</v>
      </c>
      <c r="E32" s="80">
        <f t="shared" si="0"/>
        <v>56</v>
      </c>
      <c r="F32" s="17">
        <v>17</v>
      </c>
      <c r="G32" s="17">
        <v>5</v>
      </c>
      <c r="H32" s="17">
        <v>2.5</v>
      </c>
      <c r="I32" s="17">
        <v>1.5</v>
      </c>
      <c r="J32" s="17">
        <v>0.8</v>
      </c>
      <c r="K32" s="17">
        <v>0.6</v>
      </c>
      <c r="L32" s="5" t="s">
        <v>10</v>
      </c>
      <c r="M32" s="5" t="s">
        <v>378</v>
      </c>
      <c r="N32" s="5"/>
      <c r="O32" s="5"/>
      <c r="P32" s="5"/>
      <c r="Q32" s="5" t="s">
        <v>378</v>
      </c>
      <c r="R32" s="5" t="s">
        <v>378</v>
      </c>
      <c r="S32" s="5"/>
      <c r="T32" s="5"/>
      <c r="U32" s="5"/>
      <c r="V32" s="78">
        <f t="shared" si="1"/>
        <v>0.5</v>
      </c>
      <c r="W32" s="5"/>
    </row>
    <row r="33" spans="1:27" x14ac:dyDescent="0.3">
      <c r="A33" s="5">
        <v>5</v>
      </c>
      <c r="B33" s="5" t="s">
        <v>179</v>
      </c>
      <c r="C33" s="16">
        <v>3</v>
      </c>
      <c r="D33" s="80">
        <v>5</v>
      </c>
      <c r="E33" s="80">
        <f t="shared" si="0"/>
        <v>15</v>
      </c>
      <c r="F33" s="17">
        <v>28</v>
      </c>
      <c r="G33" s="17">
        <v>0</v>
      </c>
      <c r="H33" s="17">
        <v>5</v>
      </c>
      <c r="I33" s="17">
        <v>0.5</v>
      </c>
      <c r="J33" s="17">
        <v>0.3</v>
      </c>
      <c r="K33" s="17">
        <v>0.3</v>
      </c>
      <c r="L33" s="5" t="s">
        <v>10</v>
      </c>
      <c r="M33" s="5" t="s">
        <v>378</v>
      </c>
      <c r="N33" s="5"/>
      <c r="O33" s="5"/>
      <c r="P33" s="5"/>
      <c r="Q33" s="5" t="s">
        <v>378</v>
      </c>
      <c r="R33" s="5" t="s">
        <v>378</v>
      </c>
      <c r="S33" s="5"/>
      <c r="T33" s="5"/>
      <c r="U33" s="5"/>
      <c r="V33" s="78">
        <f t="shared" si="1"/>
        <v>0.5</v>
      </c>
      <c r="W33" s="5"/>
    </row>
    <row r="34" spans="1:27" x14ac:dyDescent="0.3">
      <c r="A34" s="5">
        <v>6</v>
      </c>
      <c r="B34" s="5" t="s">
        <v>180</v>
      </c>
      <c r="C34" s="16">
        <v>1</v>
      </c>
      <c r="D34" s="80">
        <v>45</v>
      </c>
      <c r="E34" s="80">
        <f t="shared" si="0"/>
        <v>45</v>
      </c>
      <c r="F34" s="17">
        <v>18</v>
      </c>
      <c r="G34" s="17">
        <v>0</v>
      </c>
      <c r="H34" s="17">
        <v>3.5</v>
      </c>
      <c r="I34" s="17">
        <v>25</v>
      </c>
      <c r="J34" s="17">
        <v>0.1</v>
      </c>
      <c r="K34" s="17">
        <v>0.1</v>
      </c>
      <c r="L34" s="5" t="s">
        <v>10</v>
      </c>
      <c r="M34" s="5" t="s">
        <v>378</v>
      </c>
      <c r="N34" s="5"/>
      <c r="O34" s="5"/>
      <c r="P34" s="5"/>
      <c r="Q34" s="5" t="s">
        <v>378</v>
      </c>
      <c r="R34" s="5" t="s">
        <v>378</v>
      </c>
      <c r="S34" s="5"/>
      <c r="T34" s="5"/>
      <c r="U34" s="5"/>
      <c r="V34" s="78">
        <f t="shared" si="1"/>
        <v>0.5</v>
      </c>
      <c r="W34" s="5"/>
    </row>
    <row r="40" spans="1:27" ht="15" thickBot="1" x14ac:dyDescent="0.35">
      <c r="A40" s="28"/>
      <c r="B40" s="28" t="s">
        <v>442</v>
      </c>
      <c r="C40" s="28"/>
      <c r="D40" s="28"/>
      <c r="E40" s="89">
        <f>SUM(E29:E34)</f>
        <v>220</v>
      </c>
      <c r="F40" s="30">
        <f>IFERROR(SUMPRODUCT(E29:E34,F29:F34)/E40,0)</f>
        <v>19.645454545454545</v>
      </c>
      <c r="G40" s="30">
        <f>IFERROR(SUMPRODUCT(E29:E34,G29:G34)/E40,0)</f>
        <v>3.7454545454545456</v>
      </c>
      <c r="H40" s="30">
        <f>IFERROR(SUMPRODUCT(E29:E34,H29:H34)/E40,0)</f>
        <v>3.9295454545454547</v>
      </c>
      <c r="I40" s="89">
        <f>SUMPRODUCT(E29:E34,V29:V34)</f>
        <v>102.8</v>
      </c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 t="s">
        <v>560</v>
      </c>
      <c r="Y40" s="29">
        <f>SUMIFS(Import!$O:$O,Import!$S:$S,"2700")</f>
        <v>71.311686535297653</v>
      </c>
      <c r="Z40" s="29">
        <f>Y40-E40</f>
        <v>-148.68831346470233</v>
      </c>
      <c r="AA40" s="95">
        <f>IFERROR((Y40-E40)/E40,0)</f>
        <v>-0.67585597029410149</v>
      </c>
    </row>
    <row r="41" spans="1:27" ht="15" thickTop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7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7" ht="15" thickBot="1" x14ac:dyDescent="0.3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7" ht="16.2" thickTop="1" x14ac:dyDescent="0.3">
      <c r="A45" s="111" t="s">
        <v>443</v>
      </c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4"/>
      <c r="Y45" s="14"/>
      <c r="Z45" s="14"/>
      <c r="AA45" s="14"/>
    </row>
    <row r="46" spans="1:27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7" x14ac:dyDescent="0.3">
      <c r="A47" s="85"/>
      <c r="B47" s="20" t="s">
        <v>482</v>
      </c>
      <c r="C47" s="20"/>
      <c r="D47" s="20" t="s">
        <v>351</v>
      </c>
      <c r="E47" s="20" t="s">
        <v>91</v>
      </c>
      <c r="F47" s="20" t="s">
        <v>92</v>
      </c>
      <c r="G47" s="20" t="s">
        <v>93</v>
      </c>
      <c r="H47" s="20" t="s">
        <v>83</v>
      </c>
      <c r="I47" s="20" t="s">
        <v>84</v>
      </c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20"/>
      <c r="Y47" s="20"/>
      <c r="Z47" s="20"/>
      <c r="AA47" s="20"/>
    </row>
    <row r="48" spans="1:27" x14ac:dyDescent="0.3">
      <c r="A48" s="45"/>
      <c r="B48" s="45"/>
      <c r="C48" s="45"/>
      <c r="D48" s="87">
        <f>E62</f>
        <v>220</v>
      </c>
      <c r="E48" s="88">
        <f>F62</f>
        <v>18.045454545454547</v>
      </c>
      <c r="F48" s="88">
        <f>G62</f>
        <v>0</v>
      </c>
      <c r="G48" s="88">
        <f>H62</f>
        <v>2.0327272727272727</v>
      </c>
      <c r="H48" s="87">
        <f>I62</f>
        <v>110</v>
      </c>
      <c r="I48" s="87">
        <f>I62</f>
        <v>110</v>
      </c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85"/>
      <c r="Y48" s="85"/>
      <c r="Z48" s="85"/>
      <c r="AA48" s="85"/>
    </row>
    <row r="49" spans="1:27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110" t="s">
        <v>110</v>
      </c>
      <c r="N49" s="110"/>
      <c r="O49" s="110"/>
      <c r="P49" s="110" t="s">
        <v>487</v>
      </c>
      <c r="Q49" s="110"/>
      <c r="R49" s="110" t="s">
        <v>111</v>
      </c>
      <c r="S49" s="110"/>
      <c r="T49" s="110"/>
      <c r="U49" s="110"/>
      <c r="V49" s="5"/>
      <c r="W49" s="5"/>
    </row>
    <row r="50" spans="1:27" x14ac:dyDescent="0.3">
      <c r="A50" s="86" t="s">
        <v>105</v>
      </c>
      <c r="B50" s="86" t="s">
        <v>106</v>
      </c>
      <c r="C50" s="86" t="s">
        <v>2</v>
      </c>
      <c r="D50" s="86" t="s">
        <v>71</v>
      </c>
      <c r="E50" s="86" t="s">
        <v>72</v>
      </c>
      <c r="F50" s="86" t="s">
        <v>91</v>
      </c>
      <c r="G50" s="86" t="s">
        <v>92</v>
      </c>
      <c r="H50" s="86" t="s">
        <v>93</v>
      </c>
      <c r="I50" s="86" t="s">
        <v>107</v>
      </c>
      <c r="J50" s="86" t="s">
        <v>108</v>
      </c>
      <c r="K50" s="86" t="s">
        <v>109</v>
      </c>
      <c r="L50" s="86" t="s">
        <v>94</v>
      </c>
      <c r="M50" s="86" t="s">
        <v>127</v>
      </c>
      <c r="N50" s="86" t="s">
        <v>371</v>
      </c>
      <c r="O50" s="86" t="s">
        <v>171</v>
      </c>
      <c r="P50" s="86" t="s">
        <v>372</v>
      </c>
      <c r="Q50" s="86" t="s">
        <v>128</v>
      </c>
      <c r="R50" s="86" t="s">
        <v>373</v>
      </c>
      <c r="S50" s="86" t="s">
        <v>374</v>
      </c>
      <c r="T50" s="86" t="s">
        <v>375</v>
      </c>
      <c r="U50" s="86" t="s">
        <v>376</v>
      </c>
      <c r="V50" s="86" t="s">
        <v>377</v>
      </c>
      <c r="W50" s="86" t="s">
        <v>3</v>
      </c>
      <c r="X50" s="86" t="s">
        <v>556</v>
      </c>
      <c r="Y50" s="86" t="s">
        <v>557</v>
      </c>
      <c r="Z50" s="86" t="s">
        <v>567</v>
      </c>
      <c r="AA50" s="86" t="s">
        <v>568</v>
      </c>
    </row>
    <row r="51" spans="1:27" x14ac:dyDescent="0.3">
      <c r="A51" s="5">
        <v>1</v>
      </c>
      <c r="B51" s="5" t="s">
        <v>181</v>
      </c>
      <c r="C51" s="16">
        <v>1</v>
      </c>
      <c r="D51" s="80">
        <v>65</v>
      </c>
      <c r="E51" s="80">
        <f t="shared" ref="E51:E56" si="2">IFERROR(C51*D51,0)</f>
        <v>65</v>
      </c>
      <c r="F51" s="17">
        <v>11</v>
      </c>
      <c r="G51" s="17">
        <v>0</v>
      </c>
      <c r="H51" s="17">
        <v>2</v>
      </c>
      <c r="I51" s="17">
        <v>4</v>
      </c>
      <c r="J51" s="17">
        <v>4</v>
      </c>
      <c r="K51" s="17">
        <v>1.5</v>
      </c>
      <c r="L51" s="5" t="s">
        <v>115</v>
      </c>
      <c r="M51" s="5" t="s">
        <v>378</v>
      </c>
      <c r="N51" s="5"/>
      <c r="O51" s="5"/>
      <c r="P51" s="5"/>
      <c r="Q51" s="5" t="s">
        <v>378</v>
      </c>
      <c r="R51" s="5" t="s">
        <v>378</v>
      </c>
      <c r="S51" s="5"/>
      <c r="T51" s="5"/>
      <c r="U51" s="5"/>
      <c r="V51" s="78">
        <f t="shared" ref="V51:V56" si="3">IF(UPPER(M51)="X",0.5,IF(UPPER(N51)="X",0.2,IF(UPPER(O51)="X",0.05,0)))</f>
        <v>0.5</v>
      </c>
      <c r="W51" s="5" t="s">
        <v>182</v>
      </c>
    </row>
    <row r="52" spans="1:27" x14ac:dyDescent="0.3">
      <c r="A52" s="5">
        <v>2</v>
      </c>
      <c r="B52" s="5" t="s">
        <v>183</v>
      </c>
      <c r="C52" s="16">
        <v>1</v>
      </c>
      <c r="D52" s="80">
        <v>75</v>
      </c>
      <c r="E52" s="80">
        <f t="shared" si="2"/>
        <v>75</v>
      </c>
      <c r="F52" s="17">
        <v>24</v>
      </c>
      <c r="G52" s="17">
        <v>0</v>
      </c>
      <c r="H52" s="17">
        <v>2</v>
      </c>
      <c r="I52" s="17">
        <v>5</v>
      </c>
      <c r="J52" s="17">
        <v>4</v>
      </c>
      <c r="K52" s="17">
        <v>1.5</v>
      </c>
      <c r="L52" s="5" t="s">
        <v>115</v>
      </c>
      <c r="M52" s="5" t="s">
        <v>378</v>
      </c>
      <c r="N52" s="5"/>
      <c r="O52" s="5"/>
      <c r="P52" s="5"/>
      <c r="Q52" s="5" t="s">
        <v>378</v>
      </c>
      <c r="R52" s="5" t="s">
        <v>378</v>
      </c>
      <c r="S52" s="5"/>
      <c r="T52" s="5"/>
      <c r="U52" s="5"/>
      <c r="V52" s="78">
        <f t="shared" si="3"/>
        <v>0.5</v>
      </c>
      <c r="W52" s="5" t="s">
        <v>184</v>
      </c>
    </row>
    <row r="53" spans="1:27" x14ac:dyDescent="0.3">
      <c r="A53" s="5">
        <v>3</v>
      </c>
      <c r="B53" s="5" t="s">
        <v>185</v>
      </c>
      <c r="C53" s="16">
        <v>4</v>
      </c>
      <c r="D53" s="80">
        <v>6</v>
      </c>
      <c r="E53" s="80">
        <f t="shared" si="2"/>
        <v>24</v>
      </c>
      <c r="F53" s="17">
        <v>17</v>
      </c>
      <c r="G53" s="17">
        <v>0</v>
      </c>
      <c r="H53" s="17">
        <v>1.8</v>
      </c>
      <c r="I53" s="17">
        <v>0.5</v>
      </c>
      <c r="J53" s="17">
        <v>0.4</v>
      </c>
      <c r="K53" s="17">
        <v>0.3</v>
      </c>
      <c r="L53" s="5" t="s">
        <v>115</v>
      </c>
      <c r="M53" s="5" t="s">
        <v>378</v>
      </c>
      <c r="N53" s="5"/>
      <c r="O53" s="5"/>
      <c r="P53" s="5"/>
      <c r="Q53" s="5" t="s">
        <v>378</v>
      </c>
      <c r="R53" s="5" t="s">
        <v>378</v>
      </c>
      <c r="S53" s="5"/>
      <c r="T53" s="5"/>
      <c r="U53" s="5"/>
      <c r="V53" s="78">
        <f t="shared" si="3"/>
        <v>0.5</v>
      </c>
      <c r="W53" s="5" t="s">
        <v>186</v>
      </c>
    </row>
    <row r="54" spans="1:27" x14ac:dyDescent="0.3">
      <c r="A54" s="5">
        <v>4</v>
      </c>
      <c r="B54" s="5" t="s">
        <v>187</v>
      </c>
      <c r="C54" s="16">
        <v>1</v>
      </c>
      <c r="D54" s="80">
        <v>35</v>
      </c>
      <c r="E54" s="80">
        <f t="shared" si="2"/>
        <v>35</v>
      </c>
      <c r="F54" s="17">
        <v>18</v>
      </c>
      <c r="G54" s="17">
        <v>0</v>
      </c>
      <c r="H54" s="17">
        <v>2</v>
      </c>
      <c r="I54" s="17">
        <v>25</v>
      </c>
      <c r="J54" s="17">
        <v>0.1</v>
      </c>
      <c r="K54" s="17">
        <v>0.1</v>
      </c>
      <c r="L54" s="5" t="s">
        <v>115</v>
      </c>
      <c r="M54" s="5" t="s">
        <v>378</v>
      </c>
      <c r="N54" s="5"/>
      <c r="O54" s="5"/>
      <c r="P54" s="5"/>
      <c r="Q54" s="5" t="s">
        <v>378</v>
      </c>
      <c r="R54" s="5" t="s">
        <v>378</v>
      </c>
      <c r="S54" s="5"/>
      <c r="T54" s="5"/>
      <c r="U54" s="5"/>
      <c r="V54" s="78">
        <f t="shared" si="3"/>
        <v>0.5</v>
      </c>
      <c r="W54" s="5"/>
    </row>
    <row r="55" spans="1:27" x14ac:dyDescent="0.3">
      <c r="A55" s="5">
        <v>5</v>
      </c>
      <c r="B55" s="5" t="s">
        <v>188</v>
      </c>
      <c r="C55" s="16">
        <v>6</v>
      </c>
      <c r="D55" s="80">
        <v>1.5</v>
      </c>
      <c r="E55" s="80">
        <f t="shared" si="2"/>
        <v>9</v>
      </c>
      <c r="F55" s="17">
        <v>17</v>
      </c>
      <c r="G55" s="17">
        <v>0</v>
      </c>
      <c r="H55" s="17">
        <v>2</v>
      </c>
      <c r="I55" s="17">
        <v>0.4</v>
      </c>
      <c r="J55" s="17">
        <v>0.2</v>
      </c>
      <c r="K55" s="17">
        <v>0.2</v>
      </c>
      <c r="L55" s="5" t="s">
        <v>115</v>
      </c>
      <c r="M55" s="5" t="s">
        <v>378</v>
      </c>
      <c r="N55" s="5"/>
      <c r="O55" s="5"/>
      <c r="P55" s="5"/>
      <c r="Q55" s="5" t="s">
        <v>378</v>
      </c>
      <c r="R55" s="5" t="s">
        <v>378</v>
      </c>
      <c r="S55" s="5"/>
      <c r="T55" s="5"/>
      <c r="U55" s="5"/>
      <c r="V55" s="78">
        <f t="shared" si="3"/>
        <v>0.5</v>
      </c>
      <c r="W55" s="5"/>
    </row>
    <row r="56" spans="1:27" x14ac:dyDescent="0.3">
      <c r="A56" s="5">
        <v>6</v>
      </c>
      <c r="B56" s="5" t="s">
        <v>189</v>
      </c>
      <c r="C56" s="16">
        <v>1</v>
      </c>
      <c r="D56" s="80">
        <v>12</v>
      </c>
      <c r="E56" s="80">
        <f t="shared" si="2"/>
        <v>12</v>
      </c>
      <c r="F56" s="17">
        <v>22</v>
      </c>
      <c r="G56" s="17">
        <v>0</v>
      </c>
      <c r="H56" s="17">
        <v>3</v>
      </c>
      <c r="I56" s="17">
        <v>0.8</v>
      </c>
      <c r="J56" s="17">
        <v>0.6</v>
      </c>
      <c r="K56" s="17">
        <v>0.4</v>
      </c>
      <c r="L56" s="5" t="s">
        <v>115</v>
      </c>
      <c r="M56" s="5" t="s">
        <v>378</v>
      </c>
      <c r="N56" s="5"/>
      <c r="O56" s="5"/>
      <c r="P56" s="5"/>
      <c r="Q56" s="5" t="s">
        <v>378</v>
      </c>
      <c r="R56" s="5" t="s">
        <v>378</v>
      </c>
      <c r="S56" s="5"/>
      <c r="T56" s="5"/>
      <c r="U56" s="5"/>
      <c r="V56" s="78">
        <f t="shared" si="3"/>
        <v>0.5</v>
      </c>
      <c r="W56" s="5"/>
    </row>
    <row r="62" spans="1:27" ht="15" thickBot="1" x14ac:dyDescent="0.35">
      <c r="A62" s="28"/>
      <c r="B62" s="28" t="s">
        <v>444</v>
      </c>
      <c r="C62" s="28"/>
      <c r="D62" s="28"/>
      <c r="E62" s="89">
        <f>SUM(E51:E56)</f>
        <v>220</v>
      </c>
      <c r="F62" s="30">
        <f>IFERROR(SUMPRODUCT(E51:E56,F51:F56)/E62,0)</f>
        <v>18.045454545454547</v>
      </c>
      <c r="G62" s="30">
        <f>IFERROR(SUMPRODUCT(E51:E56,G51:G56)/E62,0)</f>
        <v>0</v>
      </c>
      <c r="H62" s="30">
        <f>IFERROR(SUMPRODUCT(E51:E56,H51:H56)/E62,0)</f>
        <v>2.0327272727272727</v>
      </c>
      <c r="I62" s="89">
        <f>SUMPRODUCT(E51:E56,V51:V56)</f>
        <v>110</v>
      </c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 t="s">
        <v>560</v>
      </c>
      <c r="Y62" s="29">
        <f>SUMIFS(Import!$O:$O,Import!$S:$S,"2800")</f>
        <v>0</v>
      </c>
      <c r="Z62" s="29">
        <f>Y62-E62</f>
        <v>-220</v>
      </c>
      <c r="AA62" s="95">
        <f>IFERROR((Y62-E62)/E62,0)</f>
        <v>-1</v>
      </c>
    </row>
    <row r="63" spans="1:27" ht="15" thickTop="1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7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7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7" ht="15" thickBot="1" x14ac:dyDescent="0.3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7" ht="16.2" thickTop="1" x14ac:dyDescent="0.3">
      <c r="A67" s="111" t="s">
        <v>445</v>
      </c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4"/>
      <c r="Y67" s="14"/>
      <c r="Z67" s="14"/>
      <c r="AA67" s="14"/>
    </row>
    <row r="68" spans="1:27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7" x14ac:dyDescent="0.3">
      <c r="A69" s="85"/>
      <c r="B69" s="20" t="s">
        <v>482</v>
      </c>
      <c r="C69" s="20"/>
      <c r="D69" s="20" t="s">
        <v>351</v>
      </c>
      <c r="E69" s="20" t="s">
        <v>91</v>
      </c>
      <c r="F69" s="20" t="s">
        <v>92</v>
      </c>
      <c r="G69" s="20" t="s">
        <v>93</v>
      </c>
      <c r="H69" s="20" t="s">
        <v>83</v>
      </c>
      <c r="I69" s="20" t="s">
        <v>84</v>
      </c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20"/>
      <c r="Y69" s="20"/>
      <c r="Z69" s="20"/>
      <c r="AA69" s="20"/>
    </row>
    <row r="70" spans="1:27" x14ac:dyDescent="0.3">
      <c r="A70" s="45"/>
      <c r="B70" s="45"/>
      <c r="C70" s="45"/>
      <c r="D70" s="87">
        <f>E82</f>
        <v>90</v>
      </c>
      <c r="E70" s="88">
        <f>F82</f>
        <v>20.133333333333333</v>
      </c>
      <c r="F70" s="88">
        <f>G82</f>
        <v>1.4222222222222223</v>
      </c>
      <c r="G70" s="88">
        <f>H82</f>
        <v>2.8444444444444446</v>
      </c>
      <c r="H70" s="87">
        <f>I82</f>
        <v>45</v>
      </c>
      <c r="I70" s="87">
        <f>I82</f>
        <v>45</v>
      </c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85"/>
      <c r="Y70" s="85"/>
      <c r="Z70" s="85"/>
      <c r="AA70" s="85"/>
    </row>
    <row r="71" spans="1:27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110" t="s">
        <v>110</v>
      </c>
      <c r="N71" s="110"/>
      <c r="O71" s="110"/>
      <c r="P71" s="110" t="s">
        <v>487</v>
      </c>
      <c r="Q71" s="110"/>
      <c r="R71" s="110" t="s">
        <v>111</v>
      </c>
      <c r="S71" s="110"/>
      <c r="T71" s="110"/>
      <c r="U71" s="110"/>
      <c r="V71" s="5"/>
      <c r="W71" s="5"/>
    </row>
    <row r="72" spans="1:27" x14ac:dyDescent="0.3">
      <c r="A72" s="86" t="s">
        <v>105</v>
      </c>
      <c r="B72" s="86" t="s">
        <v>106</v>
      </c>
      <c r="C72" s="86" t="s">
        <v>2</v>
      </c>
      <c r="D72" s="86" t="s">
        <v>71</v>
      </c>
      <c r="E72" s="86" t="s">
        <v>72</v>
      </c>
      <c r="F72" s="86" t="s">
        <v>91</v>
      </c>
      <c r="G72" s="86" t="s">
        <v>92</v>
      </c>
      <c r="H72" s="86" t="s">
        <v>93</v>
      </c>
      <c r="I72" s="86" t="s">
        <v>107</v>
      </c>
      <c r="J72" s="86" t="s">
        <v>108</v>
      </c>
      <c r="K72" s="86" t="s">
        <v>109</v>
      </c>
      <c r="L72" s="86" t="s">
        <v>94</v>
      </c>
      <c r="M72" s="86" t="s">
        <v>127</v>
      </c>
      <c r="N72" s="86" t="s">
        <v>371</v>
      </c>
      <c r="O72" s="86" t="s">
        <v>171</v>
      </c>
      <c r="P72" s="86" t="s">
        <v>372</v>
      </c>
      <c r="Q72" s="86" t="s">
        <v>128</v>
      </c>
      <c r="R72" s="86" t="s">
        <v>373</v>
      </c>
      <c r="S72" s="86" t="s">
        <v>374</v>
      </c>
      <c r="T72" s="86" t="s">
        <v>375</v>
      </c>
      <c r="U72" s="86" t="s">
        <v>376</v>
      </c>
      <c r="V72" s="86" t="s">
        <v>377</v>
      </c>
      <c r="W72" s="86" t="s">
        <v>3</v>
      </c>
      <c r="X72" s="86" t="s">
        <v>556</v>
      </c>
      <c r="Y72" s="86" t="s">
        <v>557</v>
      </c>
      <c r="Z72" s="86" t="s">
        <v>567</v>
      </c>
      <c r="AA72" s="86" t="s">
        <v>568</v>
      </c>
    </row>
    <row r="73" spans="1:27" x14ac:dyDescent="0.3">
      <c r="A73" s="5">
        <v>1</v>
      </c>
      <c r="B73" s="5" t="s">
        <v>190</v>
      </c>
      <c r="C73" s="16">
        <v>2</v>
      </c>
      <c r="D73" s="80">
        <v>14</v>
      </c>
      <c r="E73" s="80">
        <f>IFERROR(C73*D73,0)</f>
        <v>28</v>
      </c>
      <c r="F73" s="17">
        <v>19</v>
      </c>
      <c r="G73" s="17">
        <v>4</v>
      </c>
      <c r="H73" s="17">
        <v>2.5</v>
      </c>
      <c r="I73" s="17">
        <v>0.7</v>
      </c>
      <c r="J73" s="17">
        <v>0.5</v>
      </c>
      <c r="K73" s="17">
        <v>0.4</v>
      </c>
      <c r="L73" s="5" t="s">
        <v>116</v>
      </c>
      <c r="M73" s="5" t="s">
        <v>378</v>
      </c>
      <c r="N73" s="5"/>
      <c r="O73" s="5"/>
      <c r="P73" s="5"/>
      <c r="Q73" s="5" t="s">
        <v>378</v>
      </c>
      <c r="R73" s="5" t="s">
        <v>378</v>
      </c>
      <c r="S73" s="5"/>
      <c r="T73" s="5"/>
      <c r="U73" s="5"/>
      <c r="V73" s="78">
        <f>IF(UPPER(M73)="X",0.5,IF(UPPER(N73)="X",0.2,IF(UPPER(O73)="X",0.05,0)))</f>
        <v>0.5</v>
      </c>
      <c r="W73" s="5"/>
    </row>
    <row r="74" spans="1:27" x14ac:dyDescent="0.3">
      <c r="A74" s="5">
        <v>2</v>
      </c>
      <c r="B74" s="5" t="s">
        <v>191</v>
      </c>
      <c r="C74" s="16">
        <v>1</v>
      </c>
      <c r="D74" s="80">
        <v>18</v>
      </c>
      <c r="E74" s="80">
        <f>IFERROR(C74*D74,0)</f>
        <v>18</v>
      </c>
      <c r="F74" s="17">
        <v>22</v>
      </c>
      <c r="G74" s="17">
        <v>0</v>
      </c>
      <c r="H74" s="17">
        <v>3</v>
      </c>
      <c r="I74" s="17">
        <v>1.2</v>
      </c>
      <c r="J74" s="17">
        <v>0.8</v>
      </c>
      <c r="K74" s="17">
        <v>0.6</v>
      </c>
      <c r="L74" s="5" t="s">
        <v>116</v>
      </c>
      <c r="M74" s="5" t="s">
        <v>378</v>
      </c>
      <c r="N74" s="5"/>
      <c r="O74" s="5"/>
      <c r="P74" s="5"/>
      <c r="Q74" s="5" t="s">
        <v>378</v>
      </c>
      <c r="R74" s="5" t="s">
        <v>378</v>
      </c>
      <c r="S74" s="5"/>
      <c r="T74" s="5"/>
      <c r="U74" s="5"/>
      <c r="V74" s="78">
        <f>IF(UPPER(M74)="X",0.5,IF(UPPER(N74)="X",0.2,IF(UPPER(O74)="X",0.05,0)))</f>
        <v>0.5</v>
      </c>
      <c r="W74" s="5"/>
    </row>
    <row r="75" spans="1:27" x14ac:dyDescent="0.3">
      <c r="A75" s="5">
        <v>3</v>
      </c>
      <c r="B75" s="5" t="s">
        <v>192</v>
      </c>
      <c r="C75" s="16">
        <v>2</v>
      </c>
      <c r="D75" s="80">
        <v>8</v>
      </c>
      <c r="E75" s="80">
        <f>IFERROR(C75*D75,0)</f>
        <v>16</v>
      </c>
      <c r="F75" s="17">
        <v>22</v>
      </c>
      <c r="G75" s="17">
        <v>1</v>
      </c>
      <c r="H75" s="17">
        <v>3</v>
      </c>
      <c r="I75" s="17">
        <v>0.6</v>
      </c>
      <c r="J75" s="17">
        <v>0.4</v>
      </c>
      <c r="K75" s="17">
        <v>0.4</v>
      </c>
      <c r="L75" s="5" t="s">
        <v>116</v>
      </c>
      <c r="M75" s="5" t="s">
        <v>378</v>
      </c>
      <c r="N75" s="5"/>
      <c r="O75" s="5"/>
      <c r="P75" s="5"/>
      <c r="Q75" s="5" t="s">
        <v>378</v>
      </c>
      <c r="R75" s="5" t="s">
        <v>378</v>
      </c>
      <c r="S75" s="5"/>
      <c r="T75" s="5"/>
      <c r="U75" s="5"/>
      <c r="V75" s="78">
        <f>IF(UPPER(M75)="X",0.5,IF(UPPER(N75)="X",0.2,IF(UPPER(O75)="X",0.05,0)))</f>
        <v>0.5</v>
      </c>
      <c r="W75" s="5"/>
    </row>
    <row r="76" spans="1:27" x14ac:dyDescent="0.3">
      <c r="A76" s="5">
        <v>4</v>
      </c>
      <c r="B76" s="5" t="s">
        <v>193</v>
      </c>
      <c r="C76" s="16">
        <v>1</v>
      </c>
      <c r="D76" s="80">
        <v>28</v>
      </c>
      <c r="E76" s="80">
        <f>IFERROR(C76*D76,0)</f>
        <v>28</v>
      </c>
      <c r="F76" s="17">
        <v>19</v>
      </c>
      <c r="G76" s="17">
        <v>0</v>
      </c>
      <c r="H76" s="17">
        <v>3</v>
      </c>
      <c r="I76" s="17">
        <v>25</v>
      </c>
      <c r="J76" s="17">
        <v>0.1</v>
      </c>
      <c r="K76" s="17">
        <v>0.1</v>
      </c>
      <c r="L76" s="5" t="s">
        <v>116</v>
      </c>
      <c r="M76" s="5" t="s">
        <v>378</v>
      </c>
      <c r="N76" s="5"/>
      <c r="O76" s="5"/>
      <c r="P76" s="5"/>
      <c r="Q76" s="5" t="s">
        <v>378</v>
      </c>
      <c r="R76" s="5" t="s">
        <v>378</v>
      </c>
      <c r="S76" s="5"/>
      <c r="T76" s="5"/>
      <c r="U76" s="5"/>
      <c r="V76" s="78">
        <f>IF(UPPER(M76)="X",0.5,IF(UPPER(N76)="X",0.2,IF(UPPER(O76)="X",0.05,0)))</f>
        <v>0.5</v>
      </c>
      <c r="W76" s="5"/>
    </row>
    <row r="82" spans="1:27" ht="15" thickBot="1" x14ac:dyDescent="0.35">
      <c r="A82" s="28"/>
      <c r="B82" s="28" t="s">
        <v>446</v>
      </c>
      <c r="C82" s="28"/>
      <c r="D82" s="28"/>
      <c r="E82" s="89">
        <f>SUM(E73:E76)</f>
        <v>90</v>
      </c>
      <c r="F82" s="30">
        <f>IFERROR(SUMPRODUCT(E73:E76,F73:F76)/E82,0)</f>
        <v>20.133333333333333</v>
      </c>
      <c r="G82" s="30">
        <f>IFERROR(SUMPRODUCT(E73:E76,G73:G76)/E82,0)</f>
        <v>1.4222222222222223</v>
      </c>
      <c r="H82" s="30">
        <f>IFERROR(SUMPRODUCT(E73:E76,H73:H76)/E82,0)</f>
        <v>2.8444444444444446</v>
      </c>
      <c r="I82" s="89">
        <f>SUMPRODUCT(E73:E76,V73:V76)</f>
        <v>45</v>
      </c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 t="s">
        <v>560</v>
      </c>
      <c r="Y82" s="29">
        <f>SUMIFS(Import!$O:$O,Import!$S:$S,"2900")</f>
        <v>108.39483849255457</v>
      </c>
      <c r="Z82" s="29">
        <f>Y82-E82</f>
        <v>18.39483849255457</v>
      </c>
      <c r="AA82" s="95">
        <f>IFERROR((Y82-E82)/E82,0)</f>
        <v>0.20438709436171745</v>
      </c>
    </row>
    <row r="83" spans="1:27" ht="15" thickTop="1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7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7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7" ht="15" thickBot="1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7" ht="16.2" thickTop="1" x14ac:dyDescent="0.3">
      <c r="A87" s="111" t="s">
        <v>447</v>
      </c>
      <c r="B87" s="112"/>
      <c r="C87" s="112"/>
      <c r="D87" s="112"/>
      <c r="E87" s="112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4"/>
      <c r="Y87" s="14"/>
      <c r="Z87" s="14"/>
      <c r="AA87" s="14"/>
    </row>
    <row r="88" spans="1:27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7" x14ac:dyDescent="0.3">
      <c r="A89" s="85"/>
      <c r="B89" s="20" t="s">
        <v>482</v>
      </c>
      <c r="C89" s="20"/>
      <c r="D89" s="20" t="s">
        <v>351</v>
      </c>
      <c r="E89" s="20" t="s">
        <v>91</v>
      </c>
      <c r="F89" s="20" t="s">
        <v>92</v>
      </c>
      <c r="G89" s="20" t="s">
        <v>93</v>
      </c>
      <c r="H89" s="20" t="s">
        <v>83</v>
      </c>
      <c r="I89" s="20" t="s">
        <v>84</v>
      </c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20"/>
      <c r="Y89" s="20"/>
      <c r="Z89" s="20"/>
      <c r="AA89" s="20"/>
    </row>
    <row r="90" spans="1:27" x14ac:dyDescent="0.3">
      <c r="A90" s="45"/>
      <c r="B90" s="45"/>
      <c r="C90" s="45"/>
      <c r="D90" s="87">
        <f>E102</f>
        <v>67</v>
      </c>
      <c r="E90" s="88">
        <f>F102</f>
        <v>14.388059701492537</v>
      </c>
      <c r="F90" s="88">
        <f>G102</f>
        <v>0.94029850746268662</v>
      </c>
      <c r="G90" s="88">
        <f>H102</f>
        <v>3.8955223880597014</v>
      </c>
      <c r="H90" s="87">
        <f>I102</f>
        <v>33.5</v>
      </c>
      <c r="I90" s="87">
        <f>I102</f>
        <v>33.5</v>
      </c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85"/>
      <c r="Y90" s="85"/>
      <c r="Z90" s="85"/>
      <c r="AA90" s="85"/>
    </row>
    <row r="91" spans="1:27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110" t="s">
        <v>110</v>
      </c>
      <c r="N91" s="110"/>
      <c r="O91" s="110"/>
      <c r="P91" s="110" t="s">
        <v>487</v>
      </c>
      <c r="Q91" s="110"/>
      <c r="R91" s="110" t="s">
        <v>111</v>
      </c>
      <c r="S91" s="110"/>
      <c r="T91" s="110"/>
      <c r="U91" s="110"/>
      <c r="V91" s="5"/>
      <c r="W91" s="5"/>
    </row>
    <row r="92" spans="1:27" x14ac:dyDescent="0.3">
      <c r="A92" s="86" t="s">
        <v>105</v>
      </c>
      <c r="B92" s="86" t="s">
        <v>106</v>
      </c>
      <c r="C92" s="86" t="s">
        <v>2</v>
      </c>
      <c r="D92" s="86" t="s">
        <v>71</v>
      </c>
      <c r="E92" s="86" t="s">
        <v>72</v>
      </c>
      <c r="F92" s="86" t="s">
        <v>91</v>
      </c>
      <c r="G92" s="86" t="s">
        <v>92</v>
      </c>
      <c r="H92" s="86" t="s">
        <v>93</v>
      </c>
      <c r="I92" s="86" t="s">
        <v>107</v>
      </c>
      <c r="J92" s="86" t="s">
        <v>108</v>
      </c>
      <c r="K92" s="86" t="s">
        <v>109</v>
      </c>
      <c r="L92" s="86" t="s">
        <v>94</v>
      </c>
      <c r="M92" s="86" t="s">
        <v>127</v>
      </c>
      <c r="N92" s="86" t="s">
        <v>371</v>
      </c>
      <c r="O92" s="86" t="s">
        <v>171</v>
      </c>
      <c r="P92" s="86" t="s">
        <v>372</v>
      </c>
      <c r="Q92" s="86" t="s">
        <v>128</v>
      </c>
      <c r="R92" s="86" t="s">
        <v>373</v>
      </c>
      <c r="S92" s="86" t="s">
        <v>374</v>
      </c>
      <c r="T92" s="86" t="s">
        <v>375</v>
      </c>
      <c r="U92" s="86" t="s">
        <v>376</v>
      </c>
      <c r="V92" s="86" t="s">
        <v>377</v>
      </c>
      <c r="W92" s="86" t="s">
        <v>3</v>
      </c>
      <c r="X92" s="86" t="s">
        <v>556</v>
      </c>
      <c r="Y92" s="86" t="s">
        <v>557</v>
      </c>
      <c r="Z92" s="86" t="s">
        <v>567</v>
      </c>
      <c r="AA92" s="86" t="s">
        <v>568</v>
      </c>
    </row>
    <row r="93" spans="1:27" x14ac:dyDescent="0.3">
      <c r="A93" s="5">
        <v>1</v>
      </c>
      <c r="B93" s="5" t="s">
        <v>194</v>
      </c>
      <c r="C93" s="16">
        <v>1</v>
      </c>
      <c r="D93" s="80">
        <v>35</v>
      </c>
      <c r="E93" s="80">
        <f>IFERROR(C93*D93,0)</f>
        <v>35</v>
      </c>
      <c r="F93" s="17">
        <v>16</v>
      </c>
      <c r="G93" s="17">
        <v>0</v>
      </c>
      <c r="H93" s="17">
        <v>4</v>
      </c>
      <c r="I93" s="17">
        <v>28</v>
      </c>
      <c r="J93" s="17">
        <v>0.5</v>
      </c>
      <c r="K93" s="17">
        <v>0.1</v>
      </c>
      <c r="L93" s="5" t="s">
        <v>104</v>
      </c>
      <c r="M93" s="5" t="s">
        <v>378</v>
      </c>
      <c r="N93" s="5"/>
      <c r="O93" s="5"/>
      <c r="P93" s="5"/>
      <c r="Q93" s="5" t="s">
        <v>378</v>
      </c>
      <c r="R93" s="5" t="s">
        <v>378</v>
      </c>
      <c r="S93" s="5"/>
      <c r="T93" s="5"/>
      <c r="U93" s="5"/>
      <c r="V93" s="78">
        <f>IF(UPPER(M93)="X",0.5,IF(UPPER(N93)="X",0.2,IF(UPPER(O93)="X",0.05,0)))</f>
        <v>0.5</v>
      </c>
      <c r="W93" s="5" t="s">
        <v>195</v>
      </c>
    </row>
    <row r="94" spans="1:27" x14ac:dyDescent="0.3">
      <c r="A94" s="5">
        <v>2</v>
      </c>
      <c r="B94" s="5" t="s">
        <v>196</v>
      </c>
      <c r="C94" s="16">
        <v>1</v>
      </c>
      <c r="D94" s="80">
        <v>8</v>
      </c>
      <c r="E94" s="80">
        <f>IFERROR(C94*D94,0)</f>
        <v>8</v>
      </c>
      <c r="F94" s="17">
        <v>4</v>
      </c>
      <c r="G94" s="17">
        <v>0</v>
      </c>
      <c r="H94" s="17">
        <v>5</v>
      </c>
      <c r="I94" s="17">
        <v>2</v>
      </c>
      <c r="J94" s="17">
        <v>1.5</v>
      </c>
      <c r="K94" s="17">
        <v>0.05</v>
      </c>
      <c r="L94" s="5" t="s">
        <v>104</v>
      </c>
      <c r="M94" s="5" t="s">
        <v>378</v>
      </c>
      <c r="N94" s="5"/>
      <c r="O94" s="5"/>
      <c r="P94" s="5"/>
      <c r="Q94" s="5" t="s">
        <v>378</v>
      </c>
      <c r="R94" s="5" t="s">
        <v>378</v>
      </c>
      <c r="S94" s="5"/>
      <c r="T94" s="5"/>
      <c r="U94" s="5"/>
      <c r="V94" s="78">
        <f>IF(UPPER(M94)="X",0.5,IF(UPPER(N94)="X",0.2,IF(UPPER(O94)="X",0.05,0)))</f>
        <v>0.5</v>
      </c>
      <c r="W94" s="5" t="s">
        <v>197</v>
      </c>
    </row>
    <row r="95" spans="1:27" x14ac:dyDescent="0.3">
      <c r="A95" s="5">
        <v>3</v>
      </c>
      <c r="B95" s="5" t="s">
        <v>198</v>
      </c>
      <c r="C95" s="16">
        <v>4</v>
      </c>
      <c r="D95" s="80">
        <v>1.5</v>
      </c>
      <c r="E95" s="80">
        <f>IFERROR(C95*D95,0)</f>
        <v>6</v>
      </c>
      <c r="F95" s="17">
        <v>5</v>
      </c>
      <c r="G95" s="17">
        <v>1.5</v>
      </c>
      <c r="H95" s="17">
        <v>4.5</v>
      </c>
      <c r="I95" s="17">
        <v>0.3</v>
      </c>
      <c r="J95" s="17">
        <v>0.1</v>
      </c>
      <c r="K95" s="17">
        <v>0.1</v>
      </c>
      <c r="L95" s="5" t="s">
        <v>104</v>
      </c>
      <c r="M95" s="5" t="s">
        <v>378</v>
      </c>
      <c r="N95" s="5"/>
      <c r="O95" s="5"/>
      <c r="P95" s="5"/>
      <c r="Q95" s="5" t="s">
        <v>378</v>
      </c>
      <c r="R95" s="5" t="s">
        <v>378</v>
      </c>
      <c r="S95" s="5"/>
      <c r="T95" s="5"/>
      <c r="U95" s="5"/>
      <c r="V95" s="78">
        <f>IF(UPPER(M95)="X",0.5,IF(UPPER(N95)="X",0.2,IF(UPPER(O95)="X",0.05,0)))</f>
        <v>0.5</v>
      </c>
      <c r="W95" s="5"/>
    </row>
    <row r="96" spans="1:27" x14ac:dyDescent="0.3">
      <c r="A96" s="5">
        <v>4</v>
      </c>
      <c r="B96" s="5" t="s">
        <v>199</v>
      </c>
      <c r="C96" s="16">
        <v>3</v>
      </c>
      <c r="D96" s="80">
        <v>6</v>
      </c>
      <c r="E96" s="80">
        <f>IFERROR(C96*D96,0)</f>
        <v>18</v>
      </c>
      <c r="F96" s="17">
        <v>19</v>
      </c>
      <c r="G96" s="17">
        <v>3</v>
      </c>
      <c r="H96" s="17">
        <v>3</v>
      </c>
      <c r="I96" s="17">
        <v>1</v>
      </c>
      <c r="J96" s="17">
        <v>0.5</v>
      </c>
      <c r="K96" s="17">
        <v>0.5</v>
      </c>
      <c r="L96" s="5" t="s">
        <v>104</v>
      </c>
      <c r="M96" s="5" t="s">
        <v>378</v>
      </c>
      <c r="N96" s="5"/>
      <c r="O96" s="5"/>
      <c r="P96" s="5"/>
      <c r="Q96" s="5" t="s">
        <v>378</v>
      </c>
      <c r="R96" s="5" t="s">
        <v>378</v>
      </c>
      <c r="S96" s="5"/>
      <c r="T96" s="5"/>
      <c r="U96" s="5"/>
      <c r="V96" s="78">
        <f>IF(UPPER(M96)="X",0.5,IF(UPPER(N96)="X",0.2,IF(UPPER(O96)="X",0.05,0)))</f>
        <v>0.5</v>
      </c>
      <c r="W96" s="5" t="s">
        <v>200</v>
      </c>
    </row>
    <row r="102" spans="1:27" ht="15" thickBot="1" x14ac:dyDescent="0.35">
      <c r="A102" s="28"/>
      <c r="B102" s="28" t="s">
        <v>448</v>
      </c>
      <c r="C102" s="28"/>
      <c r="D102" s="28"/>
      <c r="E102" s="89">
        <f>SUM(E93:E96)</f>
        <v>67</v>
      </c>
      <c r="F102" s="30">
        <f>IFERROR(SUMPRODUCT(E93:E96,F93:F96)/E102,0)</f>
        <v>14.388059701492537</v>
      </c>
      <c r="G102" s="30">
        <f>IFERROR(SUMPRODUCT(E93:E96,G93:G96)/E102,0)</f>
        <v>0.94029850746268662</v>
      </c>
      <c r="H102" s="30">
        <f>IFERROR(SUMPRODUCT(E93:E96,H93:H96)/E102,0)</f>
        <v>3.8955223880597014</v>
      </c>
      <c r="I102" s="89">
        <f>SUMPRODUCT(E93:E96,V93:V96)</f>
        <v>33.5</v>
      </c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 t="s">
        <v>560</v>
      </c>
      <c r="Y102" s="29">
        <f>SUMIFS(Import!$O:$O,Import!$S:$S,"3000")</f>
        <v>66.999920320209796</v>
      </c>
      <c r="Z102" s="29">
        <f>Y102-E102</f>
        <v>-7.9679790204068013E-5</v>
      </c>
      <c r="AA102" s="95">
        <f>IFERROR((Y102-E102)/E102,0)</f>
        <v>-1.1892506000607165E-6</v>
      </c>
    </row>
    <row r="103" spans="1:27" ht="15" thickTop="1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7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7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7" ht="15" thickBot="1" x14ac:dyDescent="0.3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7" ht="16.2" thickTop="1" x14ac:dyDescent="0.3">
      <c r="A107" s="111" t="s">
        <v>449</v>
      </c>
      <c r="B107" s="112"/>
      <c r="C107" s="112"/>
      <c r="D107" s="112"/>
      <c r="E107" s="112"/>
      <c r="F107" s="112"/>
      <c r="G107" s="112"/>
      <c r="H107" s="112"/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4"/>
      <c r="Y107" s="14"/>
      <c r="Z107" s="14"/>
      <c r="AA107" s="14"/>
    </row>
    <row r="108" spans="1:27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7" x14ac:dyDescent="0.3">
      <c r="A109" s="85"/>
      <c r="B109" s="20" t="s">
        <v>482</v>
      </c>
      <c r="C109" s="20"/>
      <c r="D109" s="20" t="s">
        <v>351</v>
      </c>
      <c r="E109" s="20" t="s">
        <v>91</v>
      </c>
      <c r="F109" s="20" t="s">
        <v>92</v>
      </c>
      <c r="G109" s="20" t="s">
        <v>93</v>
      </c>
      <c r="H109" s="20" t="s">
        <v>83</v>
      </c>
      <c r="I109" s="20" t="s">
        <v>84</v>
      </c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20"/>
      <c r="Y109" s="20"/>
      <c r="Z109" s="20"/>
      <c r="AA109" s="20"/>
    </row>
    <row r="110" spans="1:27" x14ac:dyDescent="0.3">
      <c r="A110" s="45"/>
      <c r="B110" s="45"/>
      <c r="C110" s="45"/>
      <c r="D110" s="87">
        <f>E121</f>
        <v>48</v>
      </c>
      <c r="E110" s="88">
        <f>F121</f>
        <v>9.5416666666666661</v>
      </c>
      <c r="F110" s="88">
        <f>G121</f>
        <v>0</v>
      </c>
      <c r="G110" s="88">
        <f>H121</f>
        <v>3</v>
      </c>
      <c r="H110" s="87">
        <f>I121</f>
        <v>17.399999999999999</v>
      </c>
      <c r="I110" s="87">
        <f>I121</f>
        <v>17.399999999999999</v>
      </c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85"/>
      <c r="Y110" s="85"/>
      <c r="Z110" s="85"/>
      <c r="AA110" s="85"/>
    </row>
    <row r="111" spans="1:27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110" t="s">
        <v>110</v>
      </c>
      <c r="N111" s="110"/>
      <c r="O111" s="110"/>
      <c r="P111" s="110" t="s">
        <v>487</v>
      </c>
      <c r="Q111" s="110"/>
      <c r="R111" s="110" t="s">
        <v>111</v>
      </c>
      <c r="S111" s="110"/>
      <c r="T111" s="110"/>
      <c r="U111" s="110"/>
      <c r="V111" s="5"/>
      <c r="W111" s="5"/>
    </row>
    <row r="112" spans="1:27" x14ac:dyDescent="0.3">
      <c r="A112" s="86" t="s">
        <v>105</v>
      </c>
      <c r="B112" s="86" t="s">
        <v>106</v>
      </c>
      <c r="C112" s="86" t="s">
        <v>2</v>
      </c>
      <c r="D112" s="86" t="s">
        <v>71</v>
      </c>
      <c r="E112" s="86" t="s">
        <v>72</v>
      </c>
      <c r="F112" s="86" t="s">
        <v>91</v>
      </c>
      <c r="G112" s="86" t="s">
        <v>92</v>
      </c>
      <c r="H112" s="86" t="s">
        <v>93</v>
      </c>
      <c r="I112" s="86" t="s">
        <v>107</v>
      </c>
      <c r="J112" s="86" t="s">
        <v>108</v>
      </c>
      <c r="K112" s="86" t="s">
        <v>109</v>
      </c>
      <c r="L112" s="86" t="s">
        <v>94</v>
      </c>
      <c r="M112" s="86" t="s">
        <v>127</v>
      </c>
      <c r="N112" s="86" t="s">
        <v>371</v>
      </c>
      <c r="O112" s="86" t="s">
        <v>171</v>
      </c>
      <c r="P112" s="86" t="s">
        <v>372</v>
      </c>
      <c r="Q112" s="86" t="s">
        <v>128</v>
      </c>
      <c r="R112" s="86" t="s">
        <v>373</v>
      </c>
      <c r="S112" s="86" t="s">
        <v>374</v>
      </c>
      <c r="T112" s="86" t="s">
        <v>375</v>
      </c>
      <c r="U112" s="86" t="s">
        <v>376</v>
      </c>
      <c r="V112" s="86" t="s">
        <v>377</v>
      </c>
      <c r="W112" s="86" t="s">
        <v>3</v>
      </c>
      <c r="X112" s="86" t="s">
        <v>556</v>
      </c>
      <c r="Y112" s="86" t="s">
        <v>557</v>
      </c>
      <c r="Z112" s="86" t="s">
        <v>567</v>
      </c>
      <c r="AA112" s="86" t="s">
        <v>568</v>
      </c>
    </row>
    <row r="113" spans="1:27" x14ac:dyDescent="0.3">
      <c r="A113" s="5">
        <v>1</v>
      </c>
      <c r="B113" s="5" t="s">
        <v>230</v>
      </c>
      <c r="C113" s="16">
        <v>1</v>
      </c>
      <c r="D113" s="80">
        <v>22</v>
      </c>
      <c r="E113" s="80">
        <f>IFERROR(C113*D113,0)</f>
        <v>22</v>
      </c>
      <c r="F113" s="17">
        <v>5</v>
      </c>
      <c r="G113" s="17">
        <v>0</v>
      </c>
      <c r="H113" s="17">
        <v>1</v>
      </c>
      <c r="I113" s="17">
        <v>2</v>
      </c>
      <c r="J113" s="17">
        <v>0.6</v>
      </c>
      <c r="K113" s="17">
        <v>0.6</v>
      </c>
      <c r="L113" s="5" t="s">
        <v>165</v>
      </c>
      <c r="M113" s="5"/>
      <c r="N113" s="5" t="s">
        <v>378</v>
      </c>
      <c r="O113" s="5"/>
      <c r="P113" s="5"/>
      <c r="Q113" s="5" t="s">
        <v>378</v>
      </c>
      <c r="R113" s="5"/>
      <c r="S113" s="5" t="s">
        <v>378</v>
      </c>
      <c r="T113" s="5"/>
      <c r="U113" s="5"/>
      <c r="V113" s="78">
        <f>IF(UPPER(M113)="X",0.5,IF(UPPER(N113)="X",0.2,IF(UPPER(O113)="X",0.05,0)))</f>
        <v>0.2</v>
      </c>
      <c r="W113" s="5"/>
    </row>
    <row r="114" spans="1:27" x14ac:dyDescent="0.3">
      <c r="A114" s="5">
        <v>2</v>
      </c>
      <c r="B114" s="5" t="s">
        <v>231</v>
      </c>
      <c r="C114" s="16">
        <v>1</v>
      </c>
      <c r="D114" s="80">
        <v>18</v>
      </c>
      <c r="E114" s="80">
        <f>IFERROR(C114*D114,0)</f>
        <v>18</v>
      </c>
      <c r="F114" s="17">
        <v>14</v>
      </c>
      <c r="G114" s="17">
        <v>0</v>
      </c>
      <c r="H114" s="17">
        <v>5</v>
      </c>
      <c r="I114" s="17">
        <v>2</v>
      </c>
      <c r="J114" s="17">
        <v>0.5</v>
      </c>
      <c r="K114" s="17">
        <v>0.5</v>
      </c>
      <c r="L114" s="5" t="s">
        <v>165</v>
      </c>
      <c r="M114" s="5" t="s">
        <v>378</v>
      </c>
      <c r="N114" s="5"/>
      <c r="O114" s="5"/>
      <c r="P114" s="5"/>
      <c r="Q114" s="5" t="s">
        <v>378</v>
      </c>
      <c r="R114" s="5" t="s">
        <v>378</v>
      </c>
      <c r="S114" s="5"/>
      <c r="T114" s="5"/>
      <c r="U114" s="5"/>
      <c r="V114" s="78">
        <f>IF(UPPER(M114)="X",0.5,IF(UPPER(N114)="X",0.2,IF(UPPER(O114)="X",0.05,0)))</f>
        <v>0.5</v>
      </c>
      <c r="W114" s="5" t="s">
        <v>232</v>
      </c>
    </row>
    <row r="115" spans="1:27" x14ac:dyDescent="0.3">
      <c r="A115" s="5">
        <v>3</v>
      </c>
      <c r="B115" s="5" t="s">
        <v>233</v>
      </c>
      <c r="C115" s="16">
        <v>1</v>
      </c>
      <c r="D115" s="80">
        <v>8</v>
      </c>
      <c r="E115" s="80">
        <f>IFERROR(C115*D115,0)</f>
        <v>8</v>
      </c>
      <c r="F115" s="17">
        <v>12</v>
      </c>
      <c r="G115" s="17">
        <v>0</v>
      </c>
      <c r="H115" s="17">
        <v>4</v>
      </c>
      <c r="I115" s="17">
        <v>18</v>
      </c>
      <c r="J115" s="17">
        <v>0.1</v>
      </c>
      <c r="K115" s="17">
        <v>0.1</v>
      </c>
      <c r="L115" s="5" t="s">
        <v>165</v>
      </c>
      <c r="M115" s="5" t="s">
        <v>378</v>
      </c>
      <c r="N115" s="5"/>
      <c r="O115" s="5"/>
      <c r="P115" s="5"/>
      <c r="Q115" s="5" t="s">
        <v>378</v>
      </c>
      <c r="R115" s="5" t="s">
        <v>378</v>
      </c>
      <c r="S115" s="5"/>
      <c r="T115" s="5"/>
      <c r="U115" s="5"/>
      <c r="V115" s="78">
        <f>IF(UPPER(M115)="X",0.5,IF(UPPER(N115)="X",0.2,IF(UPPER(O115)="X",0.05,0)))</f>
        <v>0.5</v>
      </c>
      <c r="W115" s="5"/>
    </row>
    <row r="121" spans="1:27" ht="15" thickBot="1" x14ac:dyDescent="0.35">
      <c r="A121" s="28"/>
      <c r="B121" s="28" t="s">
        <v>450</v>
      </c>
      <c r="C121" s="28"/>
      <c r="D121" s="28"/>
      <c r="E121" s="89">
        <f>SUM(E113:E115)</f>
        <v>48</v>
      </c>
      <c r="F121" s="30">
        <f>IFERROR(SUMPRODUCT(E113:E115,F113:F115)/E121,0)</f>
        <v>9.5416666666666661</v>
      </c>
      <c r="G121" s="30">
        <f>IFERROR(SUMPRODUCT(E113:E115,G113:G115)/E121,0)</f>
        <v>0</v>
      </c>
      <c r="H121" s="30">
        <f>IFERROR(SUMPRODUCT(E113:E115,H113:H115)/E121,0)</f>
        <v>3</v>
      </c>
      <c r="I121" s="89">
        <f>SUMPRODUCT(E113:E115,V113:V115)</f>
        <v>17.399999999999999</v>
      </c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 t="s">
        <v>560</v>
      </c>
      <c r="Y121" s="29">
        <f>SUMIFS(Import!$O:$O,Import!$S:$S,"3500")</f>
        <v>47.999942915971189</v>
      </c>
      <c r="Z121" s="29">
        <f>Y121-E121</f>
        <v>-5.708402881055008E-5</v>
      </c>
      <c r="AA121" s="95">
        <f>IFERROR((Y121-E121)/E121,0)</f>
        <v>-1.1892506002197933E-6</v>
      </c>
    </row>
    <row r="122" spans="1:27" ht="15" thickTop="1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7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7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7" ht="15" thickBot="1" x14ac:dyDescent="0.3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7" ht="16.2" thickTop="1" x14ac:dyDescent="0.3">
      <c r="A126" s="111" t="s">
        <v>451</v>
      </c>
      <c r="B126" s="112"/>
      <c r="C126" s="112"/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4"/>
      <c r="Y126" s="14"/>
      <c r="Z126" s="14"/>
      <c r="AA126" s="14"/>
    </row>
    <row r="127" spans="1:27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7" x14ac:dyDescent="0.3">
      <c r="A128" s="85"/>
      <c r="B128" s="20" t="s">
        <v>482</v>
      </c>
      <c r="C128" s="20"/>
      <c r="D128" s="20" t="s">
        <v>351</v>
      </c>
      <c r="E128" s="20" t="s">
        <v>91</v>
      </c>
      <c r="F128" s="20" t="s">
        <v>92</v>
      </c>
      <c r="G128" s="20" t="s">
        <v>93</v>
      </c>
      <c r="H128" s="20" t="s">
        <v>83</v>
      </c>
      <c r="I128" s="20" t="s">
        <v>84</v>
      </c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20"/>
      <c r="Y128" s="20"/>
      <c r="Z128" s="20"/>
      <c r="AA128" s="20"/>
    </row>
    <row r="129" spans="1:27" x14ac:dyDescent="0.3">
      <c r="A129" s="45"/>
      <c r="B129" s="45"/>
      <c r="C129" s="45"/>
      <c r="D129" s="87">
        <f>E140</f>
        <v>58</v>
      </c>
      <c r="E129" s="88">
        <f>F140</f>
        <v>25</v>
      </c>
      <c r="F129" s="88">
        <f>G140</f>
        <v>0</v>
      </c>
      <c r="G129" s="88">
        <f>H140</f>
        <v>2.5</v>
      </c>
      <c r="H129" s="87">
        <f>I140</f>
        <v>29</v>
      </c>
      <c r="I129" s="87">
        <f>I140</f>
        <v>29</v>
      </c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85"/>
      <c r="Y129" s="85"/>
      <c r="Z129" s="85"/>
      <c r="AA129" s="85"/>
    </row>
    <row r="130" spans="1:27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110" t="s">
        <v>110</v>
      </c>
      <c r="N130" s="110"/>
      <c r="O130" s="110"/>
      <c r="P130" s="110" t="s">
        <v>487</v>
      </c>
      <c r="Q130" s="110"/>
      <c r="R130" s="110" t="s">
        <v>111</v>
      </c>
      <c r="S130" s="110"/>
      <c r="T130" s="110"/>
      <c r="U130" s="110"/>
      <c r="V130" s="5"/>
      <c r="W130" s="5"/>
    </row>
    <row r="131" spans="1:27" x14ac:dyDescent="0.3">
      <c r="A131" s="86" t="s">
        <v>105</v>
      </c>
      <c r="B131" s="86" t="s">
        <v>106</v>
      </c>
      <c r="C131" s="86" t="s">
        <v>2</v>
      </c>
      <c r="D131" s="86" t="s">
        <v>71</v>
      </c>
      <c r="E131" s="86" t="s">
        <v>72</v>
      </c>
      <c r="F131" s="86" t="s">
        <v>91</v>
      </c>
      <c r="G131" s="86" t="s">
        <v>92</v>
      </c>
      <c r="H131" s="86" t="s">
        <v>93</v>
      </c>
      <c r="I131" s="86" t="s">
        <v>107</v>
      </c>
      <c r="J131" s="86" t="s">
        <v>108</v>
      </c>
      <c r="K131" s="86" t="s">
        <v>109</v>
      </c>
      <c r="L131" s="86" t="s">
        <v>94</v>
      </c>
      <c r="M131" s="86" t="s">
        <v>127</v>
      </c>
      <c r="N131" s="86" t="s">
        <v>371</v>
      </c>
      <c r="O131" s="86" t="s">
        <v>171</v>
      </c>
      <c r="P131" s="86" t="s">
        <v>372</v>
      </c>
      <c r="Q131" s="86" t="s">
        <v>128</v>
      </c>
      <c r="R131" s="86" t="s">
        <v>373</v>
      </c>
      <c r="S131" s="86" t="s">
        <v>374</v>
      </c>
      <c r="T131" s="86" t="s">
        <v>375</v>
      </c>
      <c r="U131" s="86" t="s">
        <v>376</v>
      </c>
      <c r="V131" s="86" t="s">
        <v>377</v>
      </c>
      <c r="W131" s="86" t="s">
        <v>3</v>
      </c>
      <c r="X131" s="86" t="s">
        <v>556</v>
      </c>
      <c r="Y131" s="86" t="s">
        <v>557</v>
      </c>
      <c r="Z131" s="86" t="s">
        <v>567</v>
      </c>
      <c r="AA131" s="86" t="s">
        <v>568</v>
      </c>
    </row>
    <row r="132" spans="1:27" x14ac:dyDescent="0.3">
      <c r="A132" s="5">
        <v>1</v>
      </c>
      <c r="B132" s="5" t="s">
        <v>234</v>
      </c>
      <c r="C132" s="16">
        <v>1</v>
      </c>
      <c r="D132" s="80">
        <v>18</v>
      </c>
      <c r="E132" s="80">
        <f>IFERROR(C132*D132,0)</f>
        <v>18</v>
      </c>
      <c r="F132" s="17">
        <v>27</v>
      </c>
      <c r="G132" s="17">
        <v>0</v>
      </c>
      <c r="H132" s="17">
        <v>2.5</v>
      </c>
      <c r="I132" s="17">
        <v>8</v>
      </c>
      <c r="J132" s="17">
        <v>0.3</v>
      </c>
      <c r="K132" s="17">
        <v>0.3</v>
      </c>
      <c r="L132" s="5" t="s">
        <v>104</v>
      </c>
      <c r="M132" s="5" t="s">
        <v>378</v>
      </c>
      <c r="N132" s="5"/>
      <c r="O132" s="5"/>
      <c r="P132" s="5"/>
      <c r="Q132" s="5" t="s">
        <v>378</v>
      </c>
      <c r="R132" s="5" t="s">
        <v>378</v>
      </c>
      <c r="S132" s="5"/>
      <c r="T132" s="5"/>
      <c r="U132" s="5"/>
      <c r="V132" s="78">
        <f>IF(UPPER(M132)="X",0.5,IF(UPPER(N132)="X",0.2,IF(UPPER(O132)="X",0.05,0)))</f>
        <v>0.5</v>
      </c>
      <c r="W132" s="5" t="s">
        <v>235</v>
      </c>
    </row>
    <row r="133" spans="1:27" x14ac:dyDescent="0.3">
      <c r="A133" s="5">
        <v>2</v>
      </c>
      <c r="B133" s="5" t="s">
        <v>236</v>
      </c>
      <c r="C133" s="16">
        <v>1</v>
      </c>
      <c r="D133" s="80">
        <v>12</v>
      </c>
      <c r="E133" s="80">
        <f>IFERROR(C133*D133,0)</f>
        <v>12</v>
      </c>
      <c r="F133" s="17">
        <v>22</v>
      </c>
      <c r="G133" s="17">
        <v>0</v>
      </c>
      <c r="H133" s="17">
        <v>2.5</v>
      </c>
      <c r="I133" s="17">
        <v>0.8</v>
      </c>
      <c r="J133" s="17">
        <v>0.6</v>
      </c>
      <c r="K133" s="17">
        <v>0.5</v>
      </c>
      <c r="L133" s="5" t="s">
        <v>104</v>
      </c>
      <c r="M133" s="5" t="s">
        <v>378</v>
      </c>
      <c r="N133" s="5"/>
      <c r="O133" s="5"/>
      <c r="P133" s="5"/>
      <c r="Q133" s="5" t="s">
        <v>378</v>
      </c>
      <c r="R133" s="5" t="s">
        <v>378</v>
      </c>
      <c r="S133" s="5"/>
      <c r="T133" s="5"/>
      <c r="U133" s="5"/>
      <c r="V133" s="78">
        <f>IF(UPPER(M133)="X",0.5,IF(UPPER(N133)="X",0.2,IF(UPPER(O133)="X",0.05,0)))</f>
        <v>0.5</v>
      </c>
      <c r="W133" s="5"/>
    </row>
    <row r="134" spans="1:27" x14ac:dyDescent="0.3">
      <c r="A134" s="5">
        <v>3</v>
      </c>
      <c r="B134" s="5" t="s">
        <v>237</v>
      </c>
      <c r="C134" s="16">
        <v>1</v>
      </c>
      <c r="D134" s="80">
        <v>28</v>
      </c>
      <c r="E134" s="80">
        <f>IFERROR(C134*D134,0)</f>
        <v>28</v>
      </c>
      <c r="F134" s="17">
        <v>25</v>
      </c>
      <c r="G134" s="17">
        <v>0</v>
      </c>
      <c r="H134" s="17">
        <v>2.5</v>
      </c>
      <c r="I134" s="17">
        <v>1.5</v>
      </c>
      <c r="J134" s="17">
        <v>1</v>
      </c>
      <c r="K134" s="17">
        <v>0.8</v>
      </c>
      <c r="L134" s="5" t="s">
        <v>104</v>
      </c>
      <c r="M134" s="5" t="s">
        <v>378</v>
      </c>
      <c r="N134" s="5"/>
      <c r="O134" s="5"/>
      <c r="P134" s="5"/>
      <c r="Q134" s="5" t="s">
        <v>378</v>
      </c>
      <c r="R134" s="5" t="s">
        <v>378</v>
      </c>
      <c r="S134" s="5"/>
      <c r="T134" s="5"/>
      <c r="U134" s="5"/>
      <c r="V134" s="78">
        <f>IF(UPPER(M134)="X",0.5,IF(UPPER(N134)="X",0.2,IF(UPPER(O134)="X",0.05,0)))</f>
        <v>0.5</v>
      </c>
      <c r="W134" s="5"/>
    </row>
    <row r="140" spans="1:27" ht="15" thickBot="1" x14ac:dyDescent="0.35">
      <c r="A140" s="28"/>
      <c r="B140" s="28" t="s">
        <v>452</v>
      </c>
      <c r="C140" s="28"/>
      <c r="D140" s="28"/>
      <c r="E140" s="89">
        <f>SUM(E132:E134)</f>
        <v>58</v>
      </c>
      <c r="F140" s="30">
        <f>IFERROR(SUMPRODUCT(E132:E134,F132:F134)/E140,0)</f>
        <v>25</v>
      </c>
      <c r="G140" s="30">
        <f>IFERROR(SUMPRODUCT(E132:E134,G132:G134)/E140,0)</f>
        <v>0</v>
      </c>
      <c r="H140" s="30">
        <f>IFERROR(SUMPRODUCT(E132:E134,H132:H134)/E140,0)</f>
        <v>2.5</v>
      </c>
      <c r="I140" s="89">
        <f>SUMPRODUCT(E132:E134,V132:V134)</f>
        <v>29</v>
      </c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 t="s">
        <v>560</v>
      </c>
      <c r="Y140" s="29">
        <f>SUMIFS(Import!$O:$O,Import!$S:$S,"3600")</f>
        <v>57.999931023465194</v>
      </c>
      <c r="Z140" s="29">
        <f>Y140-E140</f>
        <v>-6.8976534805642586E-5</v>
      </c>
      <c r="AA140" s="95">
        <f>IFERROR((Y140-E140)/E140,0)</f>
        <v>-1.1892506000972859E-6</v>
      </c>
    </row>
    <row r="141" spans="1:27" ht="15" thickTop="1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7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7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7" ht="15" thickBot="1" x14ac:dyDescent="0.3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7" ht="16.2" thickTop="1" x14ac:dyDescent="0.3">
      <c r="A145" s="111" t="s">
        <v>453</v>
      </c>
      <c r="B145" s="112"/>
      <c r="C145" s="112"/>
      <c r="D145" s="112"/>
      <c r="E145" s="112"/>
      <c r="F145" s="112"/>
      <c r="G145" s="112"/>
      <c r="H145" s="112"/>
      <c r="I145" s="112"/>
      <c r="J145" s="112"/>
      <c r="K145" s="112"/>
      <c r="L145" s="112"/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  <c r="W145" s="112"/>
      <c r="X145" s="14"/>
      <c r="Y145" s="14"/>
      <c r="Z145" s="14"/>
      <c r="AA145" s="14"/>
    </row>
    <row r="146" spans="1:27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7" x14ac:dyDescent="0.3">
      <c r="A147" s="85"/>
      <c r="B147" s="20" t="s">
        <v>482</v>
      </c>
      <c r="C147" s="20"/>
      <c r="D147" s="20" t="s">
        <v>351</v>
      </c>
      <c r="E147" s="20" t="s">
        <v>91</v>
      </c>
      <c r="F147" s="20" t="s">
        <v>92</v>
      </c>
      <c r="G147" s="20" t="s">
        <v>93</v>
      </c>
      <c r="H147" s="20" t="s">
        <v>83</v>
      </c>
      <c r="I147" s="20" t="s">
        <v>84</v>
      </c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20"/>
      <c r="Y147" s="20"/>
      <c r="Z147" s="20"/>
      <c r="AA147" s="20"/>
    </row>
    <row r="148" spans="1:27" x14ac:dyDescent="0.3">
      <c r="A148" s="45"/>
      <c r="B148" s="45"/>
      <c r="C148" s="45"/>
      <c r="D148" s="87">
        <f>E159</f>
        <v>46</v>
      </c>
      <c r="E148" s="88">
        <f>F159</f>
        <v>22.086956521739129</v>
      </c>
      <c r="F148" s="88">
        <f>G159</f>
        <v>0</v>
      </c>
      <c r="G148" s="88">
        <f>H159</f>
        <v>1.9565217391304348</v>
      </c>
      <c r="H148" s="87">
        <f>I159</f>
        <v>23</v>
      </c>
      <c r="I148" s="87">
        <f>I159</f>
        <v>23</v>
      </c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85"/>
      <c r="Y148" s="85"/>
      <c r="Z148" s="85"/>
      <c r="AA148" s="85"/>
    </row>
    <row r="149" spans="1:27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110" t="s">
        <v>110</v>
      </c>
      <c r="N149" s="110"/>
      <c r="O149" s="110"/>
      <c r="P149" s="110" t="s">
        <v>487</v>
      </c>
      <c r="Q149" s="110"/>
      <c r="R149" s="110" t="s">
        <v>111</v>
      </c>
      <c r="S149" s="110"/>
      <c r="T149" s="110"/>
      <c r="U149" s="110"/>
      <c r="V149" s="5"/>
      <c r="W149" s="5"/>
    </row>
    <row r="150" spans="1:27" x14ac:dyDescent="0.3">
      <c r="A150" s="86" t="s">
        <v>105</v>
      </c>
      <c r="B150" s="86" t="s">
        <v>106</v>
      </c>
      <c r="C150" s="86" t="s">
        <v>2</v>
      </c>
      <c r="D150" s="86" t="s">
        <v>71</v>
      </c>
      <c r="E150" s="86" t="s">
        <v>72</v>
      </c>
      <c r="F150" s="86" t="s">
        <v>91</v>
      </c>
      <c r="G150" s="86" t="s">
        <v>92</v>
      </c>
      <c r="H150" s="86" t="s">
        <v>93</v>
      </c>
      <c r="I150" s="86" t="s">
        <v>107</v>
      </c>
      <c r="J150" s="86" t="s">
        <v>108</v>
      </c>
      <c r="K150" s="86" t="s">
        <v>109</v>
      </c>
      <c r="L150" s="86" t="s">
        <v>94</v>
      </c>
      <c r="M150" s="86" t="s">
        <v>127</v>
      </c>
      <c r="N150" s="86" t="s">
        <v>371</v>
      </c>
      <c r="O150" s="86" t="s">
        <v>171</v>
      </c>
      <c r="P150" s="86" t="s">
        <v>372</v>
      </c>
      <c r="Q150" s="86" t="s">
        <v>128</v>
      </c>
      <c r="R150" s="86" t="s">
        <v>373</v>
      </c>
      <c r="S150" s="86" t="s">
        <v>374</v>
      </c>
      <c r="T150" s="86" t="s">
        <v>375</v>
      </c>
      <c r="U150" s="86" t="s">
        <v>376</v>
      </c>
      <c r="V150" s="86" t="s">
        <v>377</v>
      </c>
      <c r="W150" s="86" t="s">
        <v>3</v>
      </c>
      <c r="X150" s="86" t="s">
        <v>556</v>
      </c>
      <c r="Y150" s="86" t="s">
        <v>557</v>
      </c>
      <c r="Z150" s="86" t="s">
        <v>567</v>
      </c>
      <c r="AA150" s="86" t="s">
        <v>568</v>
      </c>
    </row>
    <row r="151" spans="1:27" x14ac:dyDescent="0.3">
      <c r="A151" s="5">
        <v>1</v>
      </c>
      <c r="B151" s="5" t="s">
        <v>238</v>
      </c>
      <c r="C151" s="16">
        <v>1</v>
      </c>
      <c r="D151" s="80">
        <v>18</v>
      </c>
      <c r="E151" s="80">
        <f>IFERROR(C151*D151,0)</f>
        <v>18</v>
      </c>
      <c r="F151" s="17">
        <v>21</v>
      </c>
      <c r="G151" s="17">
        <v>0</v>
      </c>
      <c r="H151" s="17">
        <v>2.5</v>
      </c>
      <c r="I151" s="17">
        <v>1.5</v>
      </c>
      <c r="J151" s="17">
        <v>1</v>
      </c>
      <c r="K151" s="17">
        <v>1</v>
      </c>
      <c r="L151" s="5" t="s">
        <v>114</v>
      </c>
      <c r="M151" s="5" t="s">
        <v>378</v>
      </c>
      <c r="N151" s="5"/>
      <c r="O151" s="5"/>
      <c r="P151" s="5"/>
      <c r="Q151" s="5" t="s">
        <v>378</v>
      </c>
      <c r="R151" s="5" t="s">
        <v>378</v>
      </c>
      <c r="S151" s="5"/>
      <c r="T151" s="5"/>
      <c r="U151" s="5"/>
      <c r="V151" s="78">
        <f>IF(UPPER(M151)="X",0.5,IF(UPPER(N151)="X",0.2,IF(UPPER(O151)="X",0.05,0)))</f>
        <v>0.5</v>
      </c>
      <c r="W151" s="5" t="s">
        <v>239</v>
      </c>
    </row>
    <row r="152" spans="1:27" x14ac:dyDescent="0.3">
      <c r="A152" s="5">
        <v>2</v>
      </c>
      <c r="B152" s="5" t="s">
        <v>240</v>
      </c>
      <c r="C152" s="16">
        <v>1</v>
      </c>
      <c r="D152" s="80">
        <v>22</v>
      </c>
      <c r="E152" s="80">
        <f>IFERROR(C152*D152,0)</f>
        <v>22</v>
      </c>
      <c r="F152" s="17">
        <v>23</v>
      </c>
      <c r="G152" s="17">
        <v>0</v>
      </c>
      <c r="H152" s="17">
        <v>1.5</v>
      </c>
      <c r="I152" s="17">
        <v>2</v>
      </c>
      <c r="J152" s="17">
        <v>1.2</v>
      </c>
      <c r="K152" s="17">
        <v>1</v>
      </c>
      <c r="L152" s="5" t="s">
        <v>114</v>
      </c>
      <c r="M152" s="5" t="s">
        <v>378</v>
      </c>
      <c r="N152" s="5"/>
      <c r="O152" s="5"/>
      <c r="P152" s="5"/>
      <c r="Q152" s="5" t="s">
        <v>378</v>
      </c>
      <c r="R152" s="5" t="s">
        <v>378</v>
      </c>
      <c r="S152" s="5"/>
      <c r="T152" s="5"/>
      <c r="U152" s="5"/>
      <c r="V152" s="78">
        <f>IF(UPPER(M152)="X",0.5,IF(UPPER(N152)="X",0.2,IF(UPPER(O152)="X",0.05,0)))</f>
        <v>0.5</v>
      </c>
      <c r="W152" s="5" t="s">
        <v>241</v>
      </c>
    </row>
    <row r="153" spans="1:27" x14ac:dyDescent="0.3">
      <c r="A153" s="5">
        <v>3</v>
      </c>
      <c r="B153" s="5" t="s">
        <v>242</v>
      </c>
      <c r="C153" s="16">
        <v>1</v>
      </c>
      <c r="D153" s="80">
        <v>6</v>
      </c>
      <c r="E153" s="80">
        <f>IFERROR(C153*D153,0)</f>
        <v>6</v>
      </c>
      <c r="F153" s="17">
        <v>22</v>
      </c>
      <c r="G153" s="17">
        <v>0</v>
      </c>
      <c r="H153" s="17">
        <v>2</v>
      </c>
      <c r="I153" s="17">
        <v>5</v>
      </c>
      <c r="J153" s="17">
        <v>0.1</v>
      </c>
      <c r="K153" s="17">
        <v>0.1</v>
      </c>
      <c r="L153" s="5" t="s">
        <v>114</v>
      </c>
      <c r="M153" s="5" t="s">
        <v>378</v>
      </c>
      <c r="N153" s="5"/>
      <c r="O153" s="5"/>
      <c r="P153" s="5"/>
      <c r="Q153" s="5" t="s">
        <v>378</v>
      </c>
      <c r="R153" s="5" t="s">
        <v>378</v>
      </c>
      <c r="S153" s="5"/>
      <c r="T153" s="5"/>
      <c r="U153" s="5"/>
      <c r="V153" s="78">
        <f>IF(UPPER(M153)="X",0.5,IF(UPPER(N153)="X",0.2,IF(UPPER(O153)="X",0.05,0)))</f>
        <v>0.5</v>
      </c>
      <c r="W153" s="5"/>
    </row>
    <row r="159" spans="1:27" ht="15" thickBot="1" x14ac:dyDescent="0.35">
      <c r="A159" s="28"/>
      <c r="B159" s="28" t="s">
        <v>454</v>
      </c>
      <c r="C159" s="28"/>
      <c r="D159" s="28"/>
      <c r="E159" s="89">
        <f>SUM(E151:E153)</f>
        <v>46</v>
      </c>
      <c r="F159" s="30">
        <f>IFERROR(SUMPRODUCT(E151:E153,F151:F153)/E159,0)</f>
        <v>22.086956521739129</v>
      </c>
      <c r="G159" s="30">
        <f>IFERROR(SUMPRODUCT(E151:E153,G151:G153)/E159,0)</f>
        <v>0</v>
      </c>
      <c r="H159" s="30">
        <f>IFERROR(SUMPRODUCT(E151:E153,H151:H153)/E159,0)</f>
        <v>1.9565217391304348</v>
      </c>
      <c r="I159" s="89">
        <f>SUMPRODUCT(E151:E153,V151:V153)</f>
        <v>23</v>
      </c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 t="s">
        <v>560</v>
      </c>
      <c r="Y159" s="29">
        <f>SUMIFS(Import!$O:$O,Import!$S:$S,"3800")</f>
        <v>45.999945294472397</v>
      </c>
      <c r="Z159" s="29">
        <f>Y159-E159</f>
        <v>-5.4705527603005066E-5</v>
      </c>
      <c r="AA159" s="95">
        <f>IFERROR((Y159-E159)/E159,0)</f>
        <v>-1.1892506000653276E-6</v>
      </c>
    </row>
    <row r="160" spans="1:27" ht="15" thickTop="1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</sheetData>
  <mergeCells count="33">
    <mergeCell ref="A1:W1"/>
    <mergeCell ref="A3:W3"/>
    <mergeCell ref="A23:W23"/>
    <mergeCell ref="A45:W45"/>
    <mergeCell ref="A67:W67"/>
    <mergeCell ref="P49:Q49"/>
    <mergeCell ref="R49:U49"/>
    <mergeCell ref="A126:W126"/>
    <mergeCell ref="A145:W145"/>
    <mergeCell ref="M7:O7"/>
    <mergeCell ref="P7:Q7"/>
    <mergeCell ref="R7:U7"/>
    <mergeCell ref="M27:O27"/>
    <mergeCell ref="P27:Q27"/>
    <mergeCell ref="R27:U27"/>
    <mergeCell ref="M49:O49"/>
    <mergeCell ref="A87:W87"/>
    <mergeCell ref="M71:O71"/>
    <mergeCell ref="P71:Q71"/>
    <mergeCell ref="R71:U71"/>
    <mergeCell ref="M91:O91"/>
    <mergeCell ref="P91:Q91"/>
    <mergeCell ref="R91:U91"/>
    <mergeCell ref="M111:O111"/>
    <mergeCell ref="P111:Q111"/>
    <mergeCell ref="R111:U111"/>
    <mergeCell ref="A107:W107"/>
    <mergeCell ref="M130:O130"/>
    <mergeCell ref="P130:Q130"/>
    <mergeCell ref="R130:U130"/>
    <mergeCell ref="M149:O149"/>
    <mergeCell ref="P149:Q149"/>
    <mergeCell ref="R149:U149"/>
  </mergeCells>
  <conditionalFormatting sqref="AA18">
    <cfRule type="cellIs" dxfId="20" priority="1" operator="notBetween">
      <formula>0.05</formula>
      <formula>-0.05</formula>
    </cfRule>
  </conditionalFormatting>
  <conditionalFormatting sqref="AA40">
    <cfRule type="cellIs" dxfId="19" priority="2" operator="notBetween">
      <formula>0.05</formula>
      <formula>-0.05</formula>
    </cfRule>
  </conditionalFormatting>
  <conditionalFormatting sqref="AA62">
    <cfRule type="cellIs" dxfId="18" priority="3" operator="notBetween">
      <formula>0.05</formula>
      <formula>-0.05</formula>
    </cfRule>
  </conditionalFormatting>
  <conditionalFormatting sqref="AA82">
    <cfRule type="cellIs" dxfId="17" priority="4" operator="notBetween">
      <formula>0.05</formula>
      <formula>-0.05</formula>
    </cfRule>
  </conditionalFormatting>
  <conditionalFormatting sqref="AA102">
    <cfRule type="cellIs" dxfId="16" priority="5" operator="notBetween">
      <formula>0.05</formula>
      <formula>-0.05</formula>
    </cfRule>
  </conditionalFormatting>
  <conditionalFormatting sqref="AA121">
    <cfRule type="cellIs" dxfId="15" priority="6" operator="notBetween">
      <formula>0.05</formula>
      <formula>-0.05</formula>
    </cfRule>
  </conditionalFormatting>
  <conditionalFormatting sqref="AA140">
    <cfRule type="cellIs" dxfId="14" priority="7" operator="notBetween">
      <formula>0.05</formula>
      <formula>-0.05</formula>
    </cfRule>
  </conditionalFormatting>
  <conditionalFormatting sqref="AA159">
    <cfRule type="cellIs" dxfId="13" priority="8" operator="notBetween">
      <formula>0.05</formula>
      <formula>-0.05</formula>
    </cfRule>
  </conditionalFormatting>
  <dataValidations count="1">
    <dataValidation type="list" allowBlank="1" showInputMessage="1" showErrorMessage="1" sqref="X18 X40 X62 X82 X102 X121 X140 X159" xr:uid="{6D80566B-2FDE-42F9-B8C3-15D1FC1D398A}">
      <formula1>"Bottom-up,MDO"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31CE-8E46-4B73-9C3F-C39347A61FC5}">
  <sheetPr codeName="Sheet48"/>
  <dimension ref="A1:AA61"/>
  <sheetViews>
    <sheetView topLeftCell="D1" zoomScale="72" workbookViewId="0">
      <selection activeCell="A23" sqref="A23:W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1" width="13" customWidth="1"/>
    <col min="12" max="12" width="18.88671875" bestFit="1" customWidth="1"/>
    <col min="13" max="13" width="6.44140625" customWidth="1"/>
    <col min="14" max="14" width="6.21875" bestFit="1" customWidth="1"/>
    <col min="15" max="15" width="9.109375" bestFit="1" customWidth="1"/>
    <col min="16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3" t="s">
        <v>455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11" t="s">
        <v>456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482</v>
      </c>
      <c r="C5" s="20"/>
      <c r="D5" s="20" t="s">
        <v>351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E18</f>
        <v>386</v>
      </c>
      <c r="E6" s="88">
        <f>F18</f>
        <v>12.160621761658032</v>
      </c>
      <c r="F6" s="88">
        <f>G18</f>
        <v>0</v>
      </c>
      <c r="G6" s="88">
        <f>H18</f>
        <v>2.5984455958549222</v>
      </c>
      <c r="H6" s="87">
        <f>I18</f>
        <v>157</v>
      </c>
      <c r="I6" s="87">
        <f>I18</f>
        <v>157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487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371</v>
      </c>
      <c r="O8" s="86" t="s">
        <v>171</v>
      </c>
      <c r="P8" s="86" t="s">
        <v>372</v>
      </c>
      <c r="Q8" s="86" t="s">
        <v>128</v>
      </c>
      <c r="R8" s="86" t="s">
        <v>373</v>
      </c>
      <c r="S8" s="86" t="s">
        <v>374</v>
      </c>
      <c r="T8" s="86" t="s">
        <v>375</v>
      </c>
      <c r="U8" s="86" t="s">
        <v>376</v>
      </c>
      <c r="V8" s="86" t="s">
        <v>377</v>
      </c>
      <c r="W8" s="86" t="s">
        <v>3</v>
      </c>
      <c r="X8" s="86" t="s">
        <v>556</v>
      </c>
      <c r="Y8" s="86" t="s">
        <v>557</v>
      </c>
      <c r="Z8" s="86" t="s">
        <v>567</v>
      </c>
      <c r="AA8" s="86" t="s">
        <v>568</v>
      </c>
    </row>
    <row r="9" spans="1:27" x14ac:dyDescent="0.3">
      <c r="A9" s="5">
        <v>1</v>
      </c>
      <c r="B9" s="5" t="s">
        <v>142</v>
      </c>
      <c r="C9" s="16">
        <v>2</v>
      </c>
      <c r="D9" s="80">
        <v>60</v>
      </c>
      <c r="E9" s="80">
        <f>IFERROR(C9*D9,0)</f>
        <v>120</v>
      </c>
      <c r="F9" s="17">
        <v>8</v>
      </c>
      <c r="G9" s="17">
        <v>0</v>
      </c>
      <c r="H9" s="17">
        <v>1.5</v>
      </c>
      <c r="I9" s="17">
        <v>1.5</v>
      </c>
      <c r="J9" s="17">
        <v>1</v>
      </c>
      <c r="K9" s="17">
        <v>0.8</v>
      </c>
      <c r="L9" s="5" t="s">
        <v>113</v>
      </c>
      <c r="M9" s="5"/>
      <c r="N9" s="5" t="s">
        <v>378</v>
      </c>
      <c r="O9" s="5"/>
      <c r="P9" s="5"/>
      <c r="Q9" s="5" t="s">
        <v>378</v>
      </c>
      <c r="R9" s="5"/>
      <c r="S9" s="5" t="s">
        <v>378</v>
      </c>
      <c r="T9" s="5"/>
      <c r="U9" s="5"/>
      <c r="V9" s="78">
        <f>IF(UPPER(M9)="X",0.5,IF(UPPER(N9)="X",0.2,IF(UPPER(O9)="X",0.05,0)))</f>
        <v>0.2</v>
      </c>
      <c r="W9" s="5" t="s">
        <v>143</v>
      </c>
    </row>
    <row r="10" spans="1:27" x14ac:dyDescent="0.3">
      <c r="A10" s="5">
        <v>2</v>
      </c>
      <c r="B10" s="5" t="s">
        <v>144</v>
      </c>
      <c r="C10" s="16">
        <v>2</v>
      </c>
      <c r="D10" s="80">
        <v>25</v>
      </c>
      <c r="E10" s="80">
        <f>IFERROR(C10*D10,0)</f>
        <v>50</v>
      </c>
      <c r="F10" s="17">
        <v>7</v>
      </c>
      <c r="G10" s="17">
        <v>0</v>
      </c>
      <c r="H10" s="17">
        <v>3.5</v>
      </c>
      <c r="I10" s="17">
        <v>1</v>
      </c>
      <c r="J10" s="17">
        <v>0.6</v>
      </c>
      <c r="K10" s="17">
        <v>0.4</v>
      </c>
      <c r="L10" s="5" t="s">
        <v>113</v>
      </c>
      <c r="M10" s="5" t="s">
        <v>378</v>
      </c>
      <c r="N10" s="5"/>
      <c r="O10" s="5"/>
      <c r="P10" s="5"/>
      <c r="Q10" s="5" t="s">
        <v>378</v>
      </c>
      <c r="R10" s="5" t="s">
        <v>378</v>
      </c>
      <c r="S10" s="5"/>
      <c r="T10" s="5"/>
      <c r="U10" s="5"/>
      <c r="V10" s="78">
        <f>IF(UPPER(M10)="X",0.5,IF(UPPER(N10)="X",0.2,IF(UPPER(O10)="X",0.05,0)))</f>
        <v>0.5</v>
      </c>
      <c r="W10" s="5"/>
    </row>
    <row r="11" spans="1:27" x14ac:dyDescent="0.3">
      <c r="A11" s="5">
        <v>3</v>
      </c>
      <c r="B11" s="5" t="s">
        <v>145</v>
      </c>
      <c r="C11" s="16">
        <v>1</v>
      </c>
      <c r="D11" s="80">
        <v>180</v>
      </c>
      <c r="E11" s="80">
        <f>IFERROR(C11*D11,0)</f>
        <v>180</v>
      </c>
      <c r="F11" s="17">
        <v>17</v>
      </c>
      <c r="G11" s="17">
        <v>0</v>
      </c>
      <c r="H11" s="17">
        <v>3</v>
      </c>
      <c r="I11" s="17">
        <v>35</v>
      </c>
      <c r="J11" s="17">
        <v>0.1</v>
      </c>
      <c r="K11" s="17">
        <v>0.1</v>
      </c>
      <c r="L11" s="5" t="s">
        <v>113</v>
      </c>
      <c r="M11" s="5" t="s">
        <v>378</v>
      </c>
      <c r="N11" s="5"/>
      <c r="O11" s="5"/>
      <c r="P11" s="5"/>
      <c r="Q11" s="5" t="s">
        <v>378</v>
      </c>
      <c r="R11" s="5" t="s">
        <v>378</v>
      </c>
      <c r="S11" s="5"/>
      <c r="T11" s="5"/>
      <c r="U11" s="5"/>
      <c r="V11" s="78">
        <f>IF(UPPER(M11)="X",0.5,IF(UPPER(N11)="X",0.2,IF(UPPER(O11)="X",0.05,0)))</f>
        <v>0.5</v>
      </c>
      <c r="W11" s="5" t="s">
        <v>34</v>
      </c>
    </row>
    <row r="12" spans="1:27" x14ac:dyDescent="0.3">
      <c r="A12" s="5">
        <v>4</v>
      </c>
      <c r="B12" s="5" t="s">
        <v>146</v>
      </c>
      <c r="C12" s="16">
        <v>2</v>
      </c>
      <c r="D12" s="80">
        <v>18</v>
      </c>
      <c r="E12" s="80">
        <f>IFERROR(C12*D12,0)</f>
        <v>36</v>
      </c>
      <c r="F12" s="17">
        <v>9</v>
      </c>
      <c r="G12" s="17">
        <v>0</v>
      </c>
      <c r="H12" s="17">
        <v>3</v>
      </c>
      <c r="I12" s="17">
        <v>0.8</v>
      </c>
      <c r="J12" s="17">
        <v>0.5</v>
      </c>
      <c r="K12" s="17">
        <v>0.3</v>
      </c>
      <c r="L12" s="5" t="s">
        <v>113</v>
      </c>
      <c r="M12" s="5" t="s">
        <v>378</v>
      </c>
      <c r="N12" s="5"/>
      <c r="O12" s="5"/>
      <c r="P12" s="5"/>
      <c r="Q12" s="5" t="s">
        <v>378</v>
      </c>
      <c r="R12" s="5" t="s">
        <v>378</v>
      </c>
      <c r="S12" s="5"/>
      <c r="T12" s="5"/>
      <c r="U12" s="5"/>
      <c r="V12" s="78">
        <f>IF(UPPER(M12)="X",0.5,IF(UPPER(N12)="X",0.2,IF(UPPER(O12)="X",0.05,0)))</f>
        <v>0.5</v>
      </c>
      <c r="W12" s="5"/>
    </row>
    <row r="18" spans="1:27" ht="15" thickBot="1" x14ac:dyDescent="0.35">
      <c r="A18" s="28"/>
      <c r="B18" s="28" t="s">
        <v>457</v>
      </c>
      <c r="C18" s="28"/>
      <c r="D18" s="28"/>
      <c r="E18" s="89">
        <f>SUM(E9:E12)</f>
        <v>386</v>
      </c>
      <c r="F18" s="30">
        <f>IFERROR(SUMPRODUCT(E9:E12,F9:F12)/E18,0)</f>
        <v>12.160621761658032</v>
      </c>
      <c r="G18" s="30">
        <f>IFERROR(SUMPRODUCT(E9:E12,G9:G12)/E18,0)</f>
        <v>0</v>
      </c>
      <c r="H18" s="30">
        <f>IFERROR(SUMPRODUCT(E9:E12,H9:H12)/E18,0)</f>
        <v>2.5984455958549222</v>
      </c>
      <c r="I18" s="89">
        <f>SUMPRODUCT(E9:E12,V9:V12)</f>
        <v>157</v>
      </c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 t="s">
        <v>560</v>
      </c>
      <c r="Y18" s="29">
        <f>SUMIFS(Import!$O:$O,Import!$S:$S,"2400LV")</f>
        <v>381.92508383756336</v>
      </c>
      <c r="Z18" s="29">
        <f>Y18-E18</f>
        <v>-4.0749161624366366</v>
      </c>
      <c r="AA18" s="95">
        <f>IFERROR((Y18-E18)/E18,0)</f>
        <v>-1.0556777622892841E-2</v>
      </c>
    </row>
    <row r="19" spans="1:27" ht="15" thickTop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7" ht="15" thickBot="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ht="16.2" thickTop="1" x14ac:dyDescent="0.3">
      <c r="A23" s="111" t="s">
        <v>458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4"/>
      <c r="Y23" s="14"/>
      <c r="Z23" s="14"/>
      <c r="AA23" s="14"/>
    </row>
    <row r="24" spans="1:2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7" x14ac:dyDescent="0.3">
      <c r="A25" s="85"/>
      <c r="B25" s="20" t="s">
        <v>482</v>
      </c>
      <c r="C25" s="20"/>
      <c r="D25" s="20" t="s">
        <v>351</v>
      </c>
      <c r="E25" s="20" t="s">
        <v>91</v>
      </c>
      <c r="F25" s="20" t="s">
        <v>92</v>
      </c>
      <c r="G25" s="20" t="s">
        <v>93</v>
      </c>
      <c r="H25" s="20" t="s">
        <v>83</v>
      </c>
      <c r="I25" s="20" t="s">
        <v>84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20"/>
      <c r="Y25" s="20"/>
      <c r="Z25" s="20"/>
      <c r="AA25" s="20"/>
    </row>
    <row r="26" spans="1:27" x14ac:dyDescent="0.3">
      <c r="A26" s="45"/>
      <c r="B26" s="45"/>
      <c r="C26" s="45"/>
      <c r="D26" s="87">
        <f>E39</f>
        <v>580</v>
      </c>
      <c r="E26" s="88">
        <f>F39</f>
        <v>18.448275862068964</v>
      </c>
      <c r="F26" s="88">
        <f>G39</f>
        <v>1.1724137931034482</v>
      </c>
      <c r="G26" s="88">
        <f>H39</f>
        <v>2.0301724137931036</v>
      </c>
      <c r="H26" s="87">
        <f>I39</f>
        <v>290</v>
      </c>
      <c r="I26" s="87">
        <f>I39</f>
        <v>290</v>
      </c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85"/>
      <c r="Y26" s="85"/>
      <c r="Z26" s="85"/>
      <c r="AA26" s="85"/>
    </row>
    <row r="27" spans="1:2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110" t="s">
        <v>110</v>
      </c>
      <c r="N27" s="110"/>
      <c r="O27" s="110"/>
      <c r="P27" s="110" t="s">
        <v>487</v>
      </c>
      <c r="Q27" s="110"/>
      <c r="R27" s="110" t="s">
        <v>111</v>
      </c>
      <c r="S27" s="110"/>
      <c r="T27" s="110"/>
      <c r="U27" s="110"/>
      <c r="V27" s="5"/>
      <c r="W27" s="5"/>
    </row>
    <row r="28" spans="1:27" x14ac:dyDescent="0.3">
      <c r="A28" s="86" t="s">
        <v>105</v>
      </c>
      <c r="B28" s="86" t="s">
        <v>106</v>
      </c>
      <c r="C28" s="86" t="s">
        <v>2</v>
      </c>
      <c r="D28" s="86" t="s">
        <v>71</v>
      </c>
      <c r="E28" s="86" t="s">
        <v>72</v>
      </c>
      <c r="F28" s="86" t="s">
        <v>91</v>
      </c>
      <c r="G28" s="86" t="s">
        <v>92</v>
      </c>
      <c r="H28" s="86" t="s">
        <v>93</v>
      </c>
      <c r="I28" s="86" t="s">
        <v>107</v>
      </c>
      <c r="J28" s="86" t="s">
        <v>108</v>
      </c>
      <c r="K28" s="86" t="s">
        <v>109</v>
      </c>
      <c r="L28" s="86" t="s">
        <v>94</v>
      </c>
      <c r="M28" s="86" t="s">
        <v>127</v>
      </c>
      <c r="N28" s="86" t="s">
        <v>371</v>
      </c>
      <c r="O28" s="86" t="s">
        <v>171</v>
      </c>
      <c r="P28" s="86" t="s">
        <v>372</v>
      </c>
      <c r="Q28" s="86" t="s">
        <v>128</v>
      </c>
      <c r="R28" s="86" t="s">
        <v>373</v>
      </c>
      <c r="S28" s="86" t="s">
        <v>374</v>
      </c>
      <c r="T28" s="86" t="s">
        <v>375</v>
      </c>
      <c r="U28" s="86" t="s">
        <v>376</v>
      </c>
      <c r="V28" s="86" t="s">
        <v>377</v>
      </c>
      <c r="W28" s="86" t="s">
        <v>3</v>
      </c>
      <c r="X28" s="86" t="s">
        <v>556</v>
      </c>
      <c r="Y28" s="86" t="s">
        <v>557</v>
      </c>
      <c r="Z28" s="86" t="s">
        <v>567</v>
      </c>
      <c r="AA28" s="86" t="s">
        <v>568</v>
      </c>
    </row>
    <row r="29" spans="1:27" x14ac:dyDescent="0.3">
      <c r="A29" s="5">
        <v>1</v>
      </c>
      <c r="B29" s="5" t="s">
        <v>147</v>
      </c>
      <c r="C29" s="16">
        <v>2</v>
      </c>
      <c r="D29" s="80">
        <v>85</v>
      </c>
      <c r="E29" s="80">
        <f>IFERROR(C29*D29,0)</f>
        <v>170</v>
      </c>
      <c r="F29" s="17">
        <v>19</v>
      </c>
      <c r="G29" s="17">
        <v>4</v>
      </c>
      <c r="H29" s="17">
        <v>2</v>
      </c>
      <c r="I29" s="17">
        <v>1.5</v>
      </c>
      <c r="J29" s="17">
        <v>1</v>
      </c>
      <c r="K29" s="17">
        <v>0.6</v>
      </c>
      <c r="L29" s="5" t="s">
        <v>118</v>
      </c>
      <c r="M29" s="5" t="s">
        <v>378</v>
      </c>
      <c r="N29" s="5"/>
      <c r="O29" s="5"/>
      <c r="P29" s="5"/>
      <c r="Q29" s="5" t="s">
        <v>378</v>
      </c>
      <c r="R29" s="5" t="s">
        <v>378</v>
      </c>
      <c r="S29" s="5"/>
      <c r="T29" s="5"/>
      <c r="U29" s="5"/>
      <c r="V29" s="78">
        <f>IF(UPPER(M29)="X",0.5,IF(UPPER(N29)="X",0.2,IF(UPPER(O29)="X",0.05,0)))</f>
        <v>0.5</v>
      </c>
      <c r="W29" s="5" t="s">
        <v>148</v>
      </c>
    </row>
    <row r="30" spans="1:27" x14ac:dyDescent="0.3">
      <c r="A30" s="5">
        <v>2</v>
      </c>
      <c r="B30" s="5" t="s">
        <v>149</v>
      </c>
      <c r="C30" s="16">
        <v>1</v>
      </c>
      <c r="D30" s="80">
        <v>65</v>
      </c>
      <c r="E30" s="80">
        <f>IFERROR(C30*D30,0)</f>
        <v>65</v>
      </c>
      <c r="F30" s="17">
        <v>27</v>
      </c>
      <c r="G30" s="17">
        <v>0</v>
      </c>
      <c r="H30" s="17">
        <v>3</v>
      </c>
      <c r="I30" s="17">
        <v>1.2</v>
      </c>
      <c r="J30" s="17">
        <v>0.9</v>
      </c>
      <c r="K30" s="17">
        <v>0.5</v>
      </c>
      <c r="L30" s="5" t="s">
        <v>118</v>
      </c>
      <c r="M30" s="5" t="s">
        <v>378</v>
      </c>
      <c r="N30" s="5"/>
      <c r="O30" s="5"/>
      <c r="P30" s="5"/>
      <c r="Q30" s="5" t="s">
        <v>378</v>
      </c>
      <c r="R30" s="5" t="s">
        <v>378</v>
      </c>
      <c r="S30" s="5"/>
      <c r="T30" s="5"/>
      <c r="U30" s="5"/>
      <c r="V30" s="78">
        <f>IF(UPPER(M30)="X",0.5,IF(UPPER(N30)="X",0.2,IF(UPPER(O30)="X",0.05,0)))</f>
        <v>0.5</v>
      </c>
      <c r="W30" s="5"/>
    </row>
    <row r="31" spans="1:27" x14ac:dyDescent="0.3">
      <c r="A31" s="5">
        <v>3</v>
      </c>
      <c r="B31" s="5" t="s">
        <v>150</v>
      </c>
      <c r="C31" s="16">
        <v>1</v>
      </c>
      <c r="D31" s="80">
        <v>90</v>
      </c>
      <c r="E31" s="80">
        <f>IFERROR(C31*D31,0)</f>
        <v>90</v>
      </c>
      <c r="F31" s="17">
        <v>22</v>
      </c>
      <c r="G31" s="17">
        <v>0</v>
      </c>
      <c r="H31" s="17">
        <v>2.5</v>
      </c>
      <c r="I31" s="17">
        <v>18</v>
      </c>
      <c r="J31" s="17">
        <v>0.15</v>
      </c>
      <c r="K31" s="17">
        <v>0.15</v>
      </c>
      <c r="L31" s="5" t="s">
        <v>113</v>
      </c>
      <c r="M31" s="5" t="s">
        <v>378</v>
      </c>
      <c r="N31" s="5"/>
      <c r="O31" s="5"/>
      <c r="P31" s="5"/>
      <c r="Q31" s="5" t="s">
        <v>378</v>
      </c>
      <c r="R31" s="5" t="s">
        <v>378</v>
      </c>
      <c r="S31" s="5"/>
      <c r="T31" s="5"/>
      <c r="U31" s="5"/>
      <c r="V31" s="78">
        <f>IF(UPPER(M31)="X",0.5,IF(UPPER(N31)="X",0.2,IF(UPPER(O31)="X",0.05,0)))</f>
        <v>0.5</v>
      </c>
      <c r="W31" s="5" t="s">
        <v>151</v>
      </c>
    </row>
    <row r="32" spans="1:27" x14ac:dyDescent="0.3">
      <c r="A32" s="5">
        <v>4</v>
      </c>
      <c r="B32" s="5" t="s">
        <v>152</v>
      </c>
      <c r="C32" s="16">
        <v>1</v>
      </c>
      <c r="D32" s="80">
        <v>35</v>
      </c>
      <c r="E32" s="80">
        <f>IFERROR(C32*D32,0)</f>
        <v>35</v>
      </c>
      <c r="F32" s="17">
        <v>25</v>
      </c>
      <c r="G32" s="17">
        <v>0</v>
      </c>
      <c r="H32" s="17">
        <v>2.5</v>
      </c>
      <c r="I32" s="17">
        <v>1</v>
      </c>
      <c r="J32" s="17">
        <v>0.8</v>
      </c>
      <c r="K32" s="17">
        <v>0.4</v>
      </c>
      <c r="L32" s="5" t="s">
        <v>113</v>
      </c>
      <c r="M32" s="5" t="s">
        <v>378</v>
      </c>
      <c r="N32" s="5"/>
      <c r="O32" s="5"/>
      <c r="P32" s="5"/>
      <c r="Q32" s="5" t="s">
        <v>378</v>
      </c>
      <c r="R32" s="5" t="s">
        <v>378</v>
      </c>
      <c r="S32" s="5"/>
      <c r="T32" s="5"/>
      <c r="U32" s="5"/>
      <c r="V32" s="78">
        <f>IF(UPPER(M32)="X",0.5,IF(UPPER(N32)="X",0.2,IF(UPPER(O32)="X",0.05,0)))</f>
        <v>0.5</v>
      </c>
      <c r="W32" s="5"/>
    </row>
    <row r="33" spans="1:27" x14ac:dyDescent="0.3">
      <c r="A33" s="5">
        <v>5</v>
      </c>
      <c r="B33" s="5" t="s">
        <v>153</v>
      </c>
      <c r="C33" s="16">
        <v>1</v>
      </c>
      <c r="D33" s="80">
        <v>220</v>
      </c>
      <c r="E33" s="80">
        <f>IFERROR(C33*D33,0)</f>
        <v>220</v>
      </c>
      <c r="F33" s="17">
        <v>13</v>
      </c>
      <c r="G33" s="17">
        <v>0</v>
      </c>
      <c r="H33" s="17">
        <v>1.5</v>
      </c>
      <c r="I33" s="17">
        <v>3</v>
      </c>
      <c r="J33" s="17">
        <v>1.5</v>
      </c>
      <c r="K33" s="17">
        <v>0.8</v>
      </c>
      <c r="L33" s="5" t="s">
        <v>118</v>
      </c>
      <c r="M33" s="5" t="s">
        <v>378</v>
      </c>
      <c r="N33" s="5"/>
      <c r="O33" s="5"/>
      <c r="P33" s="5"/>
      <c r="Q33" s="5" t="s">
        <v>378</v>
      </c>
      <c r="R33" s="5" t="s">
        <v>378</v>
      </c>
      <c r="S33" s="5"/>
      <c r="T33" s="5"/>
      <c r="U33" s="5"/>
      <c r="V33" s="78">
        <f>IF(UPPER(M33)="X",0.5,IF(UPPER(N33)="X",0.2,IF(UPPER(O33)="X",0.05,0)))</f>
        <v>0.5</v>
      </c>
      <c r="W33" s="5" t="s">
        <v>154</v>
      </c>
    </row>
    <row r="39" spans="1:27" ht="15" thickBot="1" x14ac:dyDescent="0.35">
      <c r="A39" s="28"/>
      <c r="B39" s="28" t="s">
        <v>459</v>
      </c>
      <c r="C39" s="28"/>
      <c r="D39" s="28"/>
      <c r="E39" s="89">
        <f>SUM(E29:E33)</f>
        <v>580</v>
      </c>
      <c r="F39" s="30">
        <f>IFERROR(SUMPRODUCT(E29:E33,F29:F33)/E39,0)</f>
        <v>18.448275862068964</v>
      </c>
      <c r="G39" s="30">
        <f>IFERROR(SUMPRODUCT(E29:E33,G29:G33)/E39,0)</f>
        <v>1.1724137931034482</v>
      </c>
      <c r="H39" s="30">
        <f>IFERROR(SUMPRODUCT(E29:E33,H29:H33)/E39,0)</f>
        <v>2.0301724137931036</v>
      </c>
      <c r="I39" s="89">
        <f>SUMPRODUCT(E29:E33,V29:V33)</f>
        <v>290</v>
      </c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 t="s">
        <v>560</v>
      </c>
      <c r="Y39" s="29">
        <f>SUMIFS(Import!$O:$O,Import!$S:$S,"2400HV")</f>
        <v>79.366319999999988</v>
      </c>
      <c r="Z39" s="29">
        <f>Y39-E39</f>
        <v>-500.63368000000003</v>
      </c>
      <c r="AA39" s="95">
        <f>IFERROR((Y39-E39)/E39,0)</f>
        <v>-0.86316151724137935</v>
      </c>
    </row>
    <row r="40" spans="1:27" ht="15" thickTop="1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7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7" ht="15" thickBot="1" x14ac:dyDescent="0.3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7" ht="16.2" thickTop="1" x14ac:dyDescent="0.3">
      <c r="A44" s="111" t="s">
        <v>460</v>
      </c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4"/>
      <c r="Y44" s="14"/>
      <c r="Z44" s="14"/>
      <c r="AA44" s="14"/>
    </row>
    <row r="45" spans="1:27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7" x14ac:dyDescent="0.3">
      <c r="A46" s="85"/>
      <c r="B46" s="20" t="s">
        <v>482</v>
      </c>
      <c r="C46" s="20"/>
      <c r="D46" s="20" t="s">
        <v>351</v>
      </c>
      <c r="E46" s="20" t="s">
        <v>91</v>
      </c>
      <c r="F46" s="20" t="s">
        <v>92</v>
      </c>
      <c r="G46" s="20" t="s">
        <v>93</v>
      </c>
      <c r="H46" s="20" t="s">
        <v>83</v>
      </c>
      <c r="I46" s="20" t="s">
        <v>84</v>
      </c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20"/>
      <c r="Y46" s="20"/>
      <c r="Z46" s="20"/>
      <c r="AA46" s="20"/>
    </row>
    <row r="47" spans="1:27" x14ac:dyDescent="0.3">
      <c r="A47" s="45"/>
      <c r="B47" s="45"/>
      <c r="C47" s="45"/>
      <c r="D47" s="87">
        <f>E60</f>
        <v>28.5</v>
      </c>
      <c r="E47" s="88">
        <f>F60</f>
        <v>12.473684210526315</v>
      </c>
      <c r="F47" s="88">
        <f>G60</f>
        <v>0.73684210526315785</v>
      </c>
      <c r="G47" s="88">
        <f>H60</f>
        <v>4.2719298245614032</v>
      </c>
      <c r="H47" s="87">
        <f>I60</f>
        <v>10.874999999999998</v>
      </c>
      <c r="I47" s="87">
        <f>I60</f>
        <v>10.874999999999998</v>
      </c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85"/>
      <c r="Y47" s="85"/>
      <c r="Z47" s="85"/>
      <c r="AA47" s="85"/>
    </row>
    <row r="48" spans="1:27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110" t="s">
        <v>110</v>
      </c>
      <c r="N48" s="110"/>
      <c r="O48" s="110"/>
      <c r="P48" s="110" t="s">
        <v>487</v>
      </c>
      <c r="Q48" s="110"/>
      <c r="R48" s="110" t="s">
        <v>111</v>
      </c>
      <c r="S48" s="110"/>
      <c r="T48" s="110"/>
      <c r="U48" s="110"/>
      <c r="V48" s="5"/>
      <c r="W48" s="5"/>
    </row>
    <row r="49" spans="1:27" x14ac:dyDescent="0.3">
      <c r="A49" s="86" t="s">
        <v>105</v>
      </c>
      <c r="B49" s="86" t="s">
        <v>106</v>
      </c>
      <c r="C49" s="86" t="s">
        <v>2</v>
      </c>
      <c r="D49" s="86" t="s">
        <v>71</v>
      </c>
      <c r="E49" s="86" t="s">
        <v>72</v>
      </c>
      <c r="F49" s="86" t="s">
        <v>91</v>
      </c>
      <c r="G49" s="86" t="s">
        <v>92</v>
      </c>
      <c r="H49" s="86" t="s">
        <v>93</v>
      </c>
      <c r="I49" s="86" t="s">
        <v>107</v>
      </c>
      <c r="J49" s="86" t="s">
        <v>108</v>
      </c>
      <c r="K49" s="86" t="s">
        <v>109</v>
      </c>
      <c r="L49" s="86" t="s">
        <v>94</v>
      </c>
      <c r="M49" s="86" t="s">
        <v>127</v>
      </c>
      <c r="N49" s="86" t="s">
        <v>371</v>
      </c>
      <c r="O49" s="86" t="s">
        <v>171</v>
      </c>
      <c r="P49" s="86" t="s">
        <v>372</v>
      </c>
      <c r="Q49" s="86" t="s">
        <v>128</v>
      </c>
      <c r="R49" s="86" t="s">
        <v>373</v>
      </c>
      <c r="S49" s="86" t="s">
        <v>374</v>
      </c>
      <c r="T49" s="86" t="s">
        <v>375</v>
      </c>
      <c r="U49" s="86" t="s">
        <v>376</v>
      </c>
      <c r="V49" s="86" t="s">
        <v>377</v>
      </c>
      <c r="W49" s="86" t="s">
        <v>3</v>
      </c>
      <c r="X49" s="86" t="s">
        <v>556</v>
      </c>
      <c r="Y49" s="86" t="s">
        <v>557</v>
      </c>
      <c r="Z49" s="86" t="s">
        <v>567</v>
      </c>
      <c r="AA49" s="86" t="s">
        <v>568</v>
      </c>
    </row>
    <row r="50" spans="1:27" x14ac:dyDescent="0.3">
      <c r="A50" s="5">
        <v>1</v>
      </c>
      <c r="B50" s="5" t="s">
        <v>215</v>
      </c>
      <c r="C50" s="16">
        <v>1</v>
      </c>
      <c r="D50" s="80">
        <v>4</v>
      </c>
      <c r="E50" s="80">
        <f>IFERROR(C50*D50,0)</f>
        <v>4</v>
      </c>
      <c r="F50" s="17">
        <v>5</v>
      </c>
      <c r="G50" s="17">
        <v>0</v>
      </c>
      <c r="H50" s="17">
        <v>5</v>
      </c>
      <c r="I50" s="17">
        <v>3</v>
      </c>
      <c r="J50" s="17">
        <v>3</v>
      </c>
      <c r="K50" s="17">
        <v>0.1</v>
      </c>
      <c r="L50" s="5" t="s">
        <v>113</v>
      </c>
      <c r="M50" s="5" t="s">
        <v>378</v>
      </c>
      <c r="N50" s="5"/>
      <c r="O50" s="5"/>
      <c r="P50" s="5"/>
      <c r="Q50" s="5" t="s">
        <v>378</v>
      </c>
      <c r="R50" s="5" t="s">
        <v>378</v>
      </c>
      <c r="S50" s="5"/>
      <c r="T50" s="5"/>
      <c r="U50" s="5"/>
      <c r="V50" s="78">
        <f>IF(UPPER(M50)="X",0.5,IF(UPPER(N50)="X",0.2,IF(UPPER(O50)="X",0.05,0)))</f>
        <v>0.5</v>
      </c>
      <c r="W50" s="5" t="s">
        <v>216</v>
      </c>
    </row>
    <row r="51" spans="1:27" x14ac:dyDescent="0.3">
      <c r="A51" s="5">
        <v>2</v>
      </c>
      <c r="B51" s="5" t="s">
        <v>217</v>
      </c>
      <c r="C51" s="16">
        <v>1</v>
      </c>
      <c r="D51" s="80">
        <v>15</v>
      </c>
      <c r="E51" s="80">
        <f>IFERROR(C51*D51,0)</f>
        <v>15</v>
      </c>
      <c r="F51" s="17">
        <v>14</v>
      </c>
      <c r="G51" s="17">
        <v>0</v>
      </c>
      <c r="H51" s="17">
        <v>5</v>
      </c>
      <c r="I51" s="17">
        <v>18</v>
      </c>
      <c r="J51" s="17">
        <v>5</v>
      </c>
      <c r="K51" s="17">
        <v>0.1</v>
      </c>
      <c r="L51" s="5" t="s">
        <v>113</v>
      </c>
      <c r="M51" s="5" t="s">
        <v>378</v>
      </c>
      <c r="N51" s="5"/>
      <c r="O51" s="5"/>
      <c r="P51" s="5"/>
      <c r="Q51" s="5" t="s">
        <v>378</v>
      </c>
      <c r="R51" s="5" t="s">
        <v>378</v>
      </c>
      <c r="S51" s="5"/>
      <c r="T51" s="5"/>
      <c r="U51" s="5"/>
      <c r="V51" s="78">
        <f>IF(UPPER(M51)="X",0.5,IF(UPPER(N51)="X",0.2,IF(UPPER(O51)="X",0.05,0)))</f>
        <v>0.5</v>
      </c>
      <c r="W51" s="5" t="s">
        <v>218</v>
      </c>
    </row>
    <row r="52" spans="1:27" x14ac:dyDescent="0.3">
      <c r="A52" s="5">
        <v>3</v>
      </c>
      <c r="B52" s="5" t="s">
        <v>219</v>
      </c>
      <c r="C52" s="16">
        <v>3</v>
      </c>
      <c r="D52" s="80">
        <v>0.5</v>
      </c>
      <c r="E52" s="80">
        <f>IFERROR(C52*D52,0)</f>
        <v>1.5</v>
      </c>
      <c r="F52" s="17">
        <v>17</v>
      </c>
      <c r="G52" s="17">
        <v>14</v>
      </c>
      <c r="H52" s="17">
        <v>4.5</v>
      </c>
      <c r="I52" s="17">
        <v>0.2</v>
      </c>
      <c r="J52" s="17">
        <v>0.2</v>
      </c>
      <c r="K52" s="17">
        <v>0.1</v>
      </c>
      <c r="L52" s="5" t="s">
        <v>113</v>
      </c>
      <c r="M52" s="5"/>
      <c r="N52" s="5"/>
      <c r="O52" s="5" t="s">
        <v>378</v>
      </c>
      <c r="P52" s="5"/>
      <c r="Q52" s="5" t="s">
        <v>378</v>
      </c>
      <c r="R52" s="5"/>
      <c r="S52" s="5" t="s">
        <v>378</v>
      </c>
      <c r="T52" s="5"/>
      <c r="U52" s="5"/>
      <c r="V52" s="78">
        <f>IF(UPPER(M52)="X",0.5,IF(UPPER(N52)="X",0.2,IF(UPPER(O52)="X",0.05,0)))</f>
        <v>0.05</v>
      </c>
      <c r="W52" s="5" t="s">
        <v>35</v>
      </c>
    </row>
    <row r="53" spans="1:27" x14ac:dyDescent="0.3">
      <c r="A53" s="5">
        <v>4</v>
      </c>
      <c r="B53" s="5" t="s">
        <v>220</v>
      </c>
      <c r="C53" s="16">
        <v>2</v>
      </c>
      <c r="D53" s="80">
        <v>3</v>
      </c>
      <c r="E53" s="80">
        <f>IFERROR(C53*D53,0)</f>
        <v>6</v>
      </c>
      <c r="F53" s="17">
        <v>6</v>
      </c>
      <c r="G53" s="17">
        <v>0</v>
      </c>
      <c r="H53" s="17">
        <v>1</v>
      </c>
      <c r="I53" s="17">
        <v>0.5</v>
      </c>
      <c r="J53" s="17">
        <v>0.4</v>
      </c>
      <c r="K53" s="17">
        <v>0.3</v>
      </c>
      <c r="L53" s="5" t="s">
        <v>113</v>
      </c>
      <c r="M53" s="5"/>
      <c r="N53" s="5" t="s">
        <v>378</v>
      </c>
      <c r="O53" s="5"/>
      <c r="P53" s="5"/>
      <c r="Q53" s="5" t="s">
        <v>378</v>
      </c>
      <c r="R53" s="5"/>
      <c r="S53" s="5" t="s">
        <v>378</v>
      </c>
      <c r="T53" s="5"/>
      <c r="U53" s="5"/>
      <c r="V53" s="78">
        <f>IF(UPPER(M53)="X",0.5,IF(UPPER(N53)="X",0.2,IF(UPPER(O53)="X",0.05,0)))</f>
        <v>0.2</v>
      </c>
      <c r="W53" s="5"/>
    </row>
    <row r="54" spans="1:27" x14ac:dyDescent="0.3">
      <c r="A54" s="5">
        <v>5</v>
      </c>
      <c r="B54" s="5" t="s">
        <v>221</v>
      </c>
      <c r="C54" s="16">
        <v>2</v>
      </c>
      <c r="D54" s="80">
        <v>1</v>
      </c>
      <c r="E54" s="80">
        <f>IFERROR(C54*D54,0)</f>
        <v>2</v>
      </c>
      <c r="F54" s="17">
        <v>32</v>
      </c>
      <c r="G54" s="17">
        <v>0</v>
      </c>
      <c r="H54" s="17">
        <v>7</v>
      </c>
      <c r="I54" s="17">
        <v>0.3</v>
      </c>
      <c r="J54" s="17">
        <v>0.3</v>
      </c>
      <c r="K54" s="17">
        <v>0.2</v>
      </c>
      <c r="L54" s="5" t="s">
        <v>113</v>
      </c>
      <c r="M54" s="5"/>
      <c r="N54" s="5"/>
      <c r="O54" s="5" t="s">
        <v>378</v>
      </c>
      <c r="P54" s="5"/>
      <c r="Q54" s="5" t="s">
        <v>378</v>
      </c>
      <c r="R54" s="5"/>
      <c r="S54" s="5" t="s">
        <v>378</v>
      </c>
      <c r="T54" s="5"/>
      <c r="U54" s="5"/>
      <c r="V54" s="78">
        <f>IF(UPPER(M54)="X",0.5,IF(UPPER(N54)="X",0.2,IF(UPPER(O54)="X",0.05,0)))</f>
        <v>0.05</v>
      </c>
      <c r="W54" s="5" t="s">
        <v>222</v>
      </c>
    </row>
    <row r="60" spans="1:27" ht="15" thickBot="1" x14ac:dyDescent="0.35">
      <c r="A60" s="28"/>
      <c r="B60" s="28" t="s">
        <v>461</v>
      </c>
      <c r="C60" s="28"/>
      <c r="D60" s="28"/>
      <c r="E60" s="89">
        <f>SUM(E50:E54)</f>
        <v>28.5</v>
      </c>
      <c r="F60" s="30">
        <f>IFERROR(SUMPRODUCT(E50:E54,F50:F54)/E60,0)</f>
        <v>12.473684210526315</v>
      </c>
      <c r="G60" s="30">
        <f>IFERROR(SUMPRODUCT(E50:E54,G50:G54)/E60,0)</f>
        <v>0.73684210526315785</v>
      </c>
      <c r="H60" s="30">
        <f>IFERROR(SUMPRODUCT(E50:E54,H50:H54)/E60,0)</f>
        <v>4.2719298245614032</v>
      </c>
      <c r="I60" s="89">
        <f>SUMPRODUCT(E50:E54,V50:V54)</f>
        <v>10.874999999999998</v>
      </c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 t="s">
        <v>560</v>
      </c>
      <c r="Y60" s="29">
        <f>SUMIFS(Import!$O:$O,Import!$S:$S,"3300")</f>
        <v>28.499966106357899</v>
      </c>
      <c r="Z60" s="29">
        <f>Y60-E60</f>
        <v>-3.389364210093504E-5</v>
      </c>
      <c r="AA60" s="95">
        <f>IFERROR((Y60-E60)/E60,0)</f>
        <v>-1.1892506000328085E-6</v>
      </c>
    </row>
    <row r="61" spans="1:27" ht="15" thickTop="1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</sheetData>
  <mergeCells count="13">
    <mergeCell ref="M48:O48"/>
    <mergeCell ref="P48:Q48"/>
    <mergeCell ref="R48:U48"/>
    <mergeCell ref="A1:W1"/>
    <mergeCell ref="A3:W3"/>
    <mergeCell ref="A23:W23"/>
    <mergeCell ref="A44:W44"/>
    <mergeCell ref="M7:O7"/>
    <mergeCell ref="P7:Q7"/>
    <mergeCell ref="R7:U7"/>
    <mergeCell ref="M27:O27"/>
    <mergeCell ref="P27:Q27"/>
    <mergeCell ref="R27:U27"/>
  </mergeCells>
  <conditionalFormatting sqref="AA18">
    <cfRule type="cellIs" dxfId="12" priority="1" operator="notBetween">
      <formula>0.05</formula>
      <formula>-0.05</formula>
    </cfRule>
  </conditionalFormatting>
  <conditionalFormatting sqref="AA39">
    <cfRule type="cellIs" dxfId="11" priority="2" operator="notBetween">
      <formula>0.05</formula>
      <formula>-0.05</formula>
    </cfRule>
  </conditionalFormatting>
  <conditionalFormatting sqref="AA60">
    <cfRule type="cellIs" dxfId="10" priority="3" operator="notBetween">
      <formula>0.05</formula>
      <formula>-0.05</formula>
    </cfRule>
  </conditionalFormatting>
  <dataValidations count="1">
    <dataValidation type="list" allowBlank="1" showInputMessage="1" showErrorMessage="1" sqref="X18 X39 X60" xr:uid="{9A30A5A8-0915-4855-AFD3-44F63088C1C9}">
      <formula1>"Bottom-up,MDO"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D99D-393A-4331-AA8E-B22FFE6D326C}">
  <sheetPr codeName="Sheet49"/>
  <dimension ref="A1:AA78"/>
  <sheetViews>
    <sheetView topLeftCell="A18" zoomScale="62" workbookViewId="0">
      <selection activeCell="K23" sqref="K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17" width="6.44140625" customWidth="1"/>
    <col min="18" max="18" width="14" bestFit="1" customWidth="1"/>
    <col min="19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3" t="s">
        <v>341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11" t="s">
        <v>462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482</v>
      </c>
      <c r="C5" s="20"/>
      <c r="D5" s="20" t="s">
        <v>351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E16</f>
        <v>16</v>
      </c>
      <c r="E6" s="88">
        <f>F16</f>
        <v>11.75</v>
      </c>
      <c r="F6" s="88">
        <f>G16</f>
        <v>0</v>
      </c>
      <c r="G6" s="88">
        <f>H16</f>
        <v>4</v>
      </c>
      <c r="H6" s="87">
        <f>I16</f>
        <v>4.4000000000000004</v>
      </c>
      <c r="I6" s="87">
        <f>I16</f>
        <v>4.4000000000000004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487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371</v>
      </c>
      <c r="O8" s="86" t="s">
        <v>171</v>
      </c>
      <c r="P8" s="86" t="s">
        <v>372</v>
      </c>
      <c r="Q8" s="86" t="s">
        <v>128</v>
      </c>
      <c r="R8" s="86" t="s">
        <v>373</v>
      </c>
      <c r="S8" s="86" t="s">
        <v>374</v>
      </c>
      <c r="T8" s="86" t="s">
        <v>375</v>
      </c>
      <c r="U8" s="86" t="s">
        <v>376</v>
      </c>
      <c r="V8" s="86" t="s">
        <v>377</v>
      </c>
      <c r="W8" s="86" t="s">
        <v>3</v>
      </c>
      <c r="X8" s="86" t="s">
        <v>556</v>
      </c>
      <c r="Y8" s="86" t="s">
        <v>557</v>
      </c>
      <c r="Z8" s="86" t="s">
        <v>567</v>
      </c>
      <c r="AA8" s="86" t="s">
        <v>568</v>
      </c>
    </row>
    <row r="9" spans="1:27" x14ac:dyDescent="0.3">
      <c r="A9" s="5">
        <v>1</v>
      </c>
      <c r="B9" s="5" t="s">
        <v>134</v>
      </c>
      <c r="C9" s="16">
        <v>2</v>
      </c>
      <c r="D9" s="80">
        <v>6</v>
      </c>
      <c r="E9" s="80">
        <f>IFERROR(C9*D9,0)</f>
        <v>12</v>
      </c>
      <c r="F9" s="17">
        <v>5</v>
      </c>
      <c r="G9" s="17">
        <v>0</v>
      </c>
      <c r="H9" s="17">
        <v>4</v>
      </c>
      <c r="I9" s="17">
        <v>0.5</v>
      </c>
      <c r="J9" s="17">
        <v>0.4</v>
      </c>
      <c r="K9" s="17">
        <v>0.2</v>
      </c>
      <c r="L9" s="5" t="s">
        <v>112</v>
      </c>
      <c r="M9" s="5"/>
      <c r="N9" s="5" t="s">
        <v>378</v>
      </c>
      <c r="O9" s="5"/>
      <c r="P9" s="5"/>
      <c r="Q9" s="5" t="s">
        <v>378</v>
      </c>
      <c r="R9" s="5"/>
      <c r="S9" s="5" t="s">
        <v>378</v>
      </c>
      <c r="T9" s="5"/>
      <c r="U9" s="5"/>
      <c r="V9" s="78">
        <f>IF(UPPER(M9)="X",0.5,IF(UPPER(N9)="X",0.2,IF(UPPER(O9)="X",0.05,0)))</f>
        <v>0.2</v>
      </c>
      <c r="W9" s="5" t="s">
        <v>135</v>
      </c>
    </row>
    <row r="10" spans="1:27" x14ac:dyDescent="0.3">
      <c r="A10" s="5">
        <v>2</v>
      </c>
      <c r="B10" s="5" t="s">
        <v>136</v>
      </c>
      <c r="C10" s="16">
        <v>1</v>
      </c>
      <c r="D10" s="80">
        <v>4</v>
      </c>
      <c r="E10" s="80">
        <f>IFERROR(C10*D10,0)</f>
        <v>4</v>
      </c>
      <c r="F10" s="17">
        <v>32</v>
      </c>
      <c r="G10" s="17">
        <v>0</v>
      </c>
      <c r="H10" s="17">
        <v>4</v>
      </c>
      <c r="I10" s="17">
        <v>0.6</v>
      </c>
      <c r="J10" s="17">
        <v>0.3</v>
      </c>
      <c r="K10" s="17">
        <v>0.3</v>
      </c>
      <c r="L10" s="5" t="s">
        <v>112</v>
      </c>
      <c r="M10" s="5" t="s">
        <v>378</v>
      </c>
      <c r="N10" s="5"/>
      <c r="O10" s="5"/>
      <c r="P10" s="5"/>
      <c r="Q10" s="5" t="s">
        <v>378</v>
      </c>
      <c r="R10" s="5" t="s">
        <v>378</v>
      </c>
      <c r="S10" s="5"/>
      <c r="T10" s="5"/>
      <c r="U10" s="5"/>
      <c r="V10" s="78">
        <f>IF(UPPER(M10)="X",0.5,IF(UPPER(N10)="X",0.2,IF(UPPER(O10)="X",0.05,0)))</f>
        <v>0.5</v>
      </c>
      <c r="W10" s="5" t="s">
        <v>137</v>
      </c>
    </row>
    <row r="16" spans="1:27" ht="15" thickBot="1" x14ac:dyDescent="0.35">
      <c r="A16" s="28"/>
      <c r="B16" s="28" t="s">
        <v>463</v>
      </c>
      <c r="C16" s="28"/>
      <c r="D16" s="28"/>
      <c r="E16" s="89">
        <f>SUM(E9:E10)</f>
        <v>16</v>
      </c>
      <c r="F16" s="30">
        <f>IFERROR(SUMPRODUCT(E9:E10,F9:F10)/E16,0)</f>
        <v>11.75</v>
      </c>
      <c r="G16" s="30">
        <f>IFERROR(SUMPRODUCT(E9:E10,G9:G10)/E16,0)</f>
        <v>0</v>
      </c>
      <c r="H16" s="30">
        <f>IFERROR(SUMPRODUCT(E9:E10,H9:H10)/E16,0)</f>
        <v>4</v>
      </c>
      <c r="I16" s="89">
        <f>SUMPRODUCT(E9:E10,V9:V10)</f>
        <v>4.4000000000000004</v>
      </c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 t="s">
        <v>560</v>
      </c>
      <c r="Y16" s="29">
        <f>SUMIFS(Import!$O:$O,Import!$S:$S,"2200")</f>
        <v>15.9999809719904</v>
      </c>
      <c r="Z16" s="29">
        <f>Y16-E16</f>
        <v>-1.902800959996398E-5</v>
      </c>
      <c r="AA16" s="95">
        <f>IFERROR((Y16-E16)/E16,0)</f>
        <v>-1.1892505999977487E-6</v>
      </c>
    </row>
    <row r="17" spans="1:27" ht="15" thickTop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ht="15" thickBot="1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ht="16.2" thickTop="1" x14ac:dyDescent="0.3">
      <c r="A21" s="111" t="s">
        <v>464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4"/>
      <c r="Y21" s="14"/>
      <c r="Z21" s="14"/>
      <c r="AA21" s="14"/>
    </row>
    <row r="22" spans="1:2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x14ac:dyDescent="0.3">
      <c r="A23" s="85"/>
      <c r="B23" s="20" t="s">
        <v>482</v>
      </c>
      <c r="C23" s="20"/>
      <c r="D23" s="20" t="s">
        <v>351</v>
      </c>
      <c r="E23" s="20" t="s">
        <v>91</v>
      </c>
      <c r="F23" s="20" t="s">
        <v>92</v>
      </c>
      <c r="G23" s="20" t="s">
        <v>93</v>
      </c>
      <c r="H23" s="20" t="s">
        <v>83</v>
      </c>
      <c r="I23" s="20" t="s">
        <v>84</v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20"/>
      <c r="Y23" s="20"/>
      <c r="Z23" s="20"/>
      <c r="AA23" s="20"/>
    </row>
    <row r="24" spans="1:27" x14ac:dyDescent="0.3">
      <c r="A24" s="45"/>
      <c r="B24" s="45"/>
      <c r="C24" s="45"/>
      <c r="D24" s="87">
        <f>E35</f>
        <v>37</v>
      </c>
      <c r="E24" s="88">
        <f>F35</f>
        <v>13.810810810810811</v>
      </c>
      <c r="F24" s="88">
        <f>G35</f>
        <v>0</v>
      </c>
      <c r="G24" s="88">
        <f>H35</f>
        <v>5.3918918918918921</v>
      </c>
      <c r="H24" s="87">
        <f>I35</f>
        <v>15.5</v>
      </c>
      <c r="I24" s="87">
        <f>I35</f>
        <v>15.5</v>
      </c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85"/>
      <c r="Y24" s="85"/>
      <c r="Z24" s="85"/>
      <c r="AA24" s="85"/>
    </row>
    <row r="25" spans="1:2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110" t="s">
        <v>110</v>
      </c>
      <c r="N25" s="110"/>
      <c r="O25" s="110"/>
      <c r="P25" s="110" t="s">
        <v>487</v>
      </c>
      <c r="Q25" s="110"/>
      <c r="R25" s="110" t="s">
        <v>111</v>
      </c>
      <c r="S25" s="110"/>
      <c r="T25" s="110"/>
      <c r="U25" s="110"/>
      <c r="V25" s="5"/>
      <c r="W25" s="5"/>
    </row>
    <row r="26" spans="1:27" x14ac:dyDescent="0.3">
      <c r="A26" s="86" t="s">
        <v>105</v>
      </c>
      <c r="B26" s="86" t="s">
        <v>106</v>
      </c>
      <c r="C26" s="86" t="s">
        <v>2</v>
      </c>
      <c r="D26" s="86" t="s">
        <v>71</v>
      </c>
      <c r="E26" s="86" t="s">
        <v>72</v>
      </c>
      <c r="F26" s="86" t="s">
        <v>91</v>
      </c>
      <c r="G26" s="86" t="s">
        <v>92</v>
      </c>
      <c r="H26" s="86" t="s">
        <v>93</v>
      </c>
      <c r="I26" s="86" t="s">
        <v>107</v>
      </c>
      <c r="J26" s="86" t="s">
        <v>108</v>
      </c>
      <c r="K26" s="86" t="s">
        <v>109</v>
      </c>
      <c r="L26" s="86" t="s">
        <v>94</v>
      </c>
      <c r="M26" s="86" t="s">
        <v>127</v>
      </c>
      <c r="N26" s="86" t="s">
        <v>371</v>
      </c>
      <c r="O26" s="86" t="s">
        <v>171</v>
      </c>
      <c r="P26" s="86" t="s">
        <v>372</v>
      </c>
      <c r="Q26" s="86" t="s">
        <v>128</v>
      </c>
      <c r="R26" s="86" t="s">
        <v>373</v>
      </c>
      <c r="S26" s="86" t="s">
        <v>374</v>
      </c>
      <c r="T26" s="86" t="s">
        <v>375</v>
      </c>
      <c r="U26" s="86" t="s">
        <v>376</v>
      </c>
      <c r="V26" s="86" t="s">
        <v>377</v>
      </c>
      <c r="W26" s="86" t="s">
        <v>3</v>
      </c>
      <c r="X26" s="86" t="s">
        <v>556</v>
      </c>
      <c r="Y26" s="86" t="s">
        <v>557</v>
      </c>
      <c r="Z26" s="86" t="s">
        <v>567</v>
      </c>
      <c r="AA26" s="86" t="s">
        <v>568</v>
      </c>
    </row>
    <row r="27" spans="1:27" x14ac:dyDescent="0.3">
      <c r="A27" s="5">
        <v>1</v>
      </c>
      <c r="B27" s="5" t="s">
        <v>138</v>
      </c>
      <c r="C27" s="16">
        <v>2</v>
      </c>
      <c r="D27" s="80">
        <v>5</v>
      </c>
      <c r="E27" s="80">
        <f>IFERROR(C27*D27,0)</f>
        <v>10</v>
      </c>
      <c r="F27" s="17">
        <v>4</v>
      </c>
      <c r="G27" s="17">
        <v>0</v>
      </c>
      <c r="H27" s="17">
        <v>4.5</v>
      </c>
      <c r="I27" s="17">
        <v>0.4</v>
      </c>
      <c r="J27" s="17">
        <v>0.3</v>
      </c>
      <c r="K27" s="17">
        <v>0.2</v>
      </c>
      <c r="L27" s="5" t="s">
        <v>112</v>
      </c>
      <c r="M27" s="5"/>
      <c r="N27" s="5" t="s">
        <v>378</v>
      </c>
      <c r="O27" s="5"/>
      <c r="P27" s="5"/>
      <c r="Q27" s="5" t="s">
        <v>378</v>
      </c>
      <c r="R27" s="5"/>
      <c r="S27" s="5" t="s">
        <v>378</v>
      </c>
      <c r="T27" s="5"/>
      <c r="U27" s="5"/>
      <c r="V27" s="78">
        <f>IF(UPPER(M27)="X",0.5,IF(UPPER(N27)="X",0.2,IF(UPPER(O27)="X",0.05,0)))</f>
        <v>0.2</v>
      </c>
      <c r="W27" s="5"/>
    </row>
    <row r="28" spans="1:27" x14ac:dyDescent="0.3">
      <c r="A28" s="5">
        <v>2</v>
      </c>
      <c r="B28" s="5" t="s">
        <v>139</v>
      </c>
      <c r="C28" s="16">
        <v>1</v>
      </c>
      <c r="D28" s="80">
        <v>12</v>
      </c>
      <c r="E28" s="80">
        <f>IFERROR(C28*D28,0)</f>
        <v>12</v>
      </c>
      <c r="F28" s="17">
        <v>18</v>
      </c>
      <c r="G28" s="17">
        <v>0</v>
      </c>
      <c r="H28" s="17">
        <v>6</v>
      </c>
      <c r="I28" s="17">
        <v>0.6</v>
      </c>
      <c r="J28" s="17">
        <v>0.5</v>
      </c>
      <c r="K28" s="17">
        <v>0.3</v>
      </c>
      <c r="L28" s="5" t="s">
        <v>112</v>
      </c>
      <c r="M28" s="5" t="s">
        <v>378</v>
      </c>
      <c r="N28" s="5"/>
      <c r="O28" s="5"/>
      <c r="P28" s="5"/>
      <c r="Q28" s="5" t="s">
        <v>378</v>
      </c>
      <c r="R28" s="5" t="s">
        <v>378</v>
      </c>
      <c r="S28" s="5"/>
      <c r="T28" s="5"/>
      <c r="U28" s="5"/>
      <c r="V28" s="78">
        <f>IF(UPPER(M28)="X",0.5,IF(UPPER(N28)="X",0.2,IF(UPPER(O28)="X",0.05,0)))</f>
        <v>0.5</v>
      </c>
      <c r="W28" s="5" t="s">
        <v>140</v>
      </c>
    </row>
    <row r="29" spans="1:27" x14ac:dyDescent="0.3">
      <c r="A29" s="5">
        <v>3</v>
      </c>
      <c r="B29" s="5" t="s">
        <v>141</v>
      </c>
      <c r="C29" s="16">
        <v>1</v>
      </c>
      <c r="D29" s="80">
        <v>15</v>
      </c>
      <c r="E29" s="80">
        <f>IFERROR(C29*D29,0)</f>
        <v>15</v>
      </c>
      <c r="F29" s="17">
        <v>17</v>
      </c>
      <c r="G29" s="17">
        <v>0</v>
      </c>
      <c r="H29" s="17">
        <v>5.5</v>
      </c>
      <c r="I29" s="17">
        <v>30</v>
      </c>
      <c r="J29" s="17">
        <v>0.1</v>
      </c>
      <c r="K29" s="17">
        <v>0.1</v>
      </c>
      <c r="L29" s="5" t="s">
        <v>112</v>
      </c>
      <c r="M29" s="5" t="s">
        <v>378</v>
      </c>
      <c r="N29" s="5"/>
      <c r="O29" s="5"/>
      <c r="P29" s="5"/>
      <c r="Q29" s="5" t="s">
        <v>378</v>
      </c>
      <c r="R29" s="5" t="s">
        <v>378</v>
      </c>
      <c r="S29" s="5"/>
      <c r="T29" s="5"/>
      <c r="U29" s="5"/>
      <c r="V29" s="78">
        <f>IF(UPPER(M29)="X",0.5,IF(UPPER(N29)="X",0.2,IF(UPPER(O29)="X",0.05,0)))</f>
        <v>0.5</v>
      </c>
      <c r="W29" s="5"/>
    </row>
    <row r="35" spans="1:27" ht="15" thickBot="1" x14ac:dyDescent="0.35">
      <c r="A35" s="28"/>
      <c r="B35" s="28" t="s">
        <v>465</v>
      </c>
      <c r="C35" s="28"/>
      <c r="D35" s="28"/>
      <c r="E35" s="89">
        <f>SUM(E27:E29)</f>
        <v>37</v>
      </c>
      <c r="F35" s="30">
        <f>IFERROR(SUMPRODUCT(E27:E29,F27:F29)/E35,0)</f>
        <v>13.810810810810811</v>
      </c>
      <c r="G35" s="30">
        <f>IFERROR(SUMPRODUCT(E27:E29,G27:G29)/E35,0)</f>
        <v>0</v>
      </c>
      <c r="H35" s="30">
        <f>IFERROR(SUMPRODUCT(E27:E29,H27:H29)/E35,0)</f>
        <v>5.3918918918918921</v>
      </c>
      <c r="I35" s="89">
        <f>SUMPRODUCT(E27:E29,V27:V29)</f>
        <v>15.5</v>
      </c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 t="s">
        <v>560</v>
      </c>
      <c r="Y35" s="29">
        <f>SUMIFS(Import!$O:$O,Import!$S:$S,"2300")</f>
        <v>1082.1894589979918</v>
      </c>
      <c r="Z35" s="29">
        <f>Y35-E35</f>
        <v>1045.1894589979918</v>
      </c>
      <c r="AA35" s="95">
        <f>IFERROR((Y35-E35)/E35,0)</f>
        <v>28.248363756702481</v>
      </c>
    </row>
    <row r="36" spans="1:27" ht="15" thickTop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7" ht="15" thickBot="1" x14ac:dyDescent="0.3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7" ht="16.2" thickTop="1" x14ac:dyDescent="0.3">
      <c r="A40" s="111" t="s">
        <v>466</v>
      </c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4"/>
      <c r="Y40" s="14"/>
      <c r="Z40" s="14"/>
      <c r="AA40" s="14"/>
    </row>
    <row r="41" spans="1:27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85"/>
      <c r="B42" s="20" t="s">
        <v>482</v>
      </c>
      <c r="C42" s="20"/>
      <c r="D42" s="20" t="s">
        <v>351</v>
      </c>
      <c r="E42" s="20" t="s">
        <v>91</v>
      </c>
      <c r="F42" s="20" t="s">
        <v>92</v>
      </c>
      <c r="G42" s="20" t="s">
        <v>93</v>
      </c>
      <c r="H42" s="20" t="s">
        <v>83</v>
      </c>
      <c r="I42" s="20" t="s">
        <v>84</v>
      </c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20"/>
      <c r="Y42" s="20"/>
      <c r="Z42" s="20"/>
      <c r="AA42" s="20"/>
    </row>
    <row r="43" spans="1:27" x14ac:dyDescent="0.3">
      <c r="A43" s="45"/>
      <c r="B43" s="45"/>
      <c r="C43" s="45"/>
      <c r="D43" s="87">
        <f>E56</f>
        <v>61</v>
      </c>
      <c r="E43" s="88">
        <f>F56</f>
        <v>12.409836065573771</v>
      </c>
      <c r="F43" s="88">
        <f>G56</f>
        <v>0.26229508196721313</v>
      </c>
      <c r="G43" s="88">
        <f>H56</f>
        <v>4.0081967213114753</v>
      </c>
      <c r="H43" s="87">
        <f>I56</f>
        <v>11.450000000000001</v>
      </c>
      <c r="I43" s="87">
        <f>I56</f>
        <v>11.450000000000001</v>
      </c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85"/>
      <c r="Y43" s="85"/>
      <c r="Z43" s="85"/>
      <c r="AA43" s="85"/>
    </row>
    <row r="44" spans="1:27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110" t="s">
        <v>110</v>
      </c>
      <c r="N44" s="110"/>
      <c r="O44" s="110"/>
      <c r="P44" s="110" t="s">
        <v>487</v>
      </c>
      <c r="Q44" s="110"/>
      <c r="R44" s="110" t="s">
        <v>111</v>
      </c>
      <c r="S44" s="110"/>
      <c r="T44" s="110"/>
      <c r="U44" s="110"/>
      <c r="V44" s="5"/>
      <c r="W44" s="5"/>
    </row>
    <row r="45" spans="1:27" x14ac:dyDescent="0.3">
      <c r="A45" s="86" t="s">
        <v>105</v>
      </c>
      <c r="B45" s="86" t="s">
        <v>106</v>
      </c>
      <c r="C45" s="86" t="s">
        <v>2</v>
      </c>
      <c r="D45" s="86" t="s">
        <v>71</v>
      </c>
      <c r="E45" s="86" t="s">
        <v>72</v>
      </c>
      <c r="F45" s="86" t="s">
        <v>91</v>
      </c>
      <c r="G45" s="86" t="s">
        <v>92</v>
      </c>
      <c r="H45" s="86" t="s">
        <v>93</v>
      </c>
      <c r="I45" s="86" t="s">
        <v>107</v>
      </c>
      <c r="J45" s="86" t="s">
        <v>108</v>
      </c>
      <c r="K45" s="86" t="s">
        <v>109</v>
      </c>
      <c r="L45" s="86" t="s">
        <v>94</v>
      </c>
      <c r="M45" s="86" t="s">
        <v>127</v>
      </c>
      <c r="N45" s="86" t="s">
        <v>371</v>
      </c>
      <c r="O45" s="86" t="s">
        <v>171</v>
      </c>
      <c r="P45" s="86" t="s">
        <v>372</v>
      </c>
      <c r="Q45" s="86" t="s">
        <v>128</v>
      </c>
      <c r="R45" s="86" t="s">
        <v>373</v>
      </c>
      <c r="S45" s="86" t="s">
        <v>374</v>
      </c>
      <c r="T45" s="86" t="s">
        <v>375</v>
      </c>
      <c r="U45" s="86" t="s">
        <v>376</v>
      </c>
      <c r="V45" s="86" t="s">
        <v>377</v>
      </c>
      <c r="W45" s="86" t="s">
        <v>3</v>
      </c>
      <c r="X45" s="86" t="s">
        <v>556</v>
      </c>
      <c r="Y45" s="86" t="s">
        <v>557</v>
      </c>
      <c r="Z45" s="86" t="s">
        <v>567</v>
      </c>
      <c r="AA45" s="86" t="s">
        <v>568</v>
      </c>
    </row>
    <row r="46" spans="1:27" x14ac:dyDescent="0.3">
      <c r="A46" s="5">
        <v>1</v>
      </c>
      <c r="B46" s="5" t="s">
        <v>201</v>
      </c>
      <c r="C46" s="16">
        <v>2</v>
      </c>
      <c r="D46" s="80">
        <v>8</v>
      </c>
      <c r="E46" s="80">
        <f>IFERROR(C46*D46,0)</f>
        <v>16</v>
      </c>
      <c r="F46" s="17">
        <v>4.5</v>
      </c>
      <c r="G46" s="17">
        <v>1</v>
      </c>
      <c r="H46" s="17">
        <v>4.5</v>
      </c>
      <c r="I46" s="17">
        <v>1</v>
      </c>
      <c r="J46" s="17">
        <v>0.8</v>
      </c>
      <c r="K46" s="17">
        <v>0.1</v>
      </c>
      <c r="L46" s="5" t="s">
        <v>112</v>
      </c>
      <c r="M46" s="5"/>
      <c r="N46" s="5" t="s">
        <v>378</v>
      </c>
      <c r="O46" s="5"/>
      <c r="P46" s="5"/>
      <c r="Q46" s="5" t="s">
        <v>378</v>
      </c>
      <c r="R46" s="5"/>
      <c r="S46" s="5" t="s">
        <v>378</v>
      </c>
      <c r="T46" s="5"/>
      <c r="U46" s="5"/>
      <c r="V46" s="78">
        <f>IF(UPPER(M46)="X",0.5,IF(UPPER(N46)="X",0.2,IF(UPPER(O46)="X",0.05,0)))</f>
        <v>0.2</v>
      </c>
      <c r="W46" s="5"/>
    </row>
    <row r="47" spans="1:27" x14ac:dyDescent="0.3">
      <c r="A47" s="5">
        <v>2</v>
      </c>
      <c r="B47" s="5" t="s">
        <v>202</v>
      </c>
      <c r="C47" s="16">
        <v>2</v>
      </c>
      <c r="D47" s="80">
        <v>8</v>
      </c>
      <c r="E47" s="80">
        <f>IFERROR(C47*D47,0)</f>
        <v>16</v>
      </c>
      <c r="F47" s="17">
        <v>4.5</v>
      </c>
      <c r="G47" s="17">
        <v>0</v>
      </c>
      <c r="H47" s="17">
        <v>4.5</v>
      </c>
      <c r="I47" s="17">
        <v>1</v>
      </c>
      <c r="J47" s="17">
        <v>0.8</v>
      </c>
      <c r="K47" s="17">
        <v>0.1</v>
      </c>
      <c r="L47" s="5" t="s">
        <v>112</v>
      </c>
      <c r="M47" s="5"/>
      <c r="N47" s="5" t="s">
        <v>378</v>
      </c>
      <c r="O47" s="5"/>
      <c r="P47" s="5"/>
      <c r="Q47" s="5" t="s">
        <v>378</v>
      </c>
      <c r="R47" s="5"/>
      <c r="S47" s="5" t="s">
        <v>378</v>
      </c>
      <c r="T47" s="5"/>
      <c r="U47" s="5"/>
      <c r="V47" s="78">
        <f>IF(UPPER(M47)="X",0.5,IF(UPPER(N47)="X",0.2,IF(UPPER(O47)="X",0.05,0)))</f>
        <v>0.2</v>
      </c>
      <c r="W47" s="5"/>
    </row>
    <row r="48" spans="1:27" x14ac:dyDescent="0.3">
      <c r="A48" s="5">
        <v>3</v>
      </c>
      <c r="B48" s="5" t="s">
        <v>203</v>
      </c>
      <c r="C48" s="16">
        <v>1</v>
      </c>
      <c r="D48" s="80">
        <v>6</v>
      </c>
      <c r="E48" s="80">
        <f>IFERROR(C48*D48,0)</f>
        <v>6</v>
      </c>
      <c r="F48" s="17">
        <v>5</v>
      </c>
      <c r="G48" s="17">
        <v>0</v>
      </c>
      <c r="H48" s="17">
        <v>4</v>
      </c>
      <c r="I48" s="17">
        <v>0.8</v>
      </c>
      <c r="J48" s="17">
        <v>0.6</v>
      </c>
      <c r="K48" s="17">
        <v>0.1</v>
      </c>
      <c r="L48" s="5" t="s">
        <v>112</v>
      </c>
      <c r="M48" s="5"/>
      <c r="N48" s="5" t="s">
        <v>378</v>
      </c>
      <c r="O48" s="5"/>
      <c r="P48" s="5"/>
      <c r="Q48" s="5" t="s">
        <v>378</v>
      </c>
      <c r="R48" s="5"/>
      <c r="S48" s="5" t="s">
        <v>378</v>
      </c>
      <c r="T48" s="5"/>
      <c r="U48" s="5"/>
      <c r="V48" s="78">
        <f>IF(UPPER(M48)="X",0.5,IF(UPPER(N48)="X",0.2,IF(UPPER(O48)="X",0.05,0)))</f>
        <v>0.2</v>
      </c>
      <c r="W48" s="5"/>
    </row>
    <row r="49" spans="1:27" x14ac:dyDescent="0.3">
      <c r="A49" s="5">
        <v>4</v>
      </c>
      <c r="B49" s="5" t="s">
        <v>204</v>
      </c>
      <c r="C49" s="16">
        <v>1</v>
      </c>
      <c r="D49" s="80">
        <v>5</v>
      </c>
      <c r="E49" s="80">
        <f>IFERROR(C49*D49,0)</f>
        <v>5</v>
      </c>
      <c r="F49" s="17">
        <v>5</v>
      </c>
      <c r="G49" s="17">
        <v>0</v>
      </c>
      <c r="H49" s="17">
        <v>4.5</v>
      </c>
      <c r="I49" s="17">
        <v>0.5</v>
      </c>
      <c r="J49" s="17">
        <v>0.4</v>
      </c>
      <c r="K49" s="17">
        <v>0.1</v>
      </c>
      <c r="L49" s="5" t="s">
        <v>112</v>
      </c>
      <c r="M49" s="5"/>
      <c r="N49" s="5"/>
      <c r="O49" s="5" t="s">
        <v>378</v>
      </c>
      <c r="P49" s="5"/>
      <c r="Q49" s="5" t="s">
        <v>378</v>
      </c>
      <c r="R49" s="5"/>
      <c r="S49" s="5" t="s">
        <v>378</v>
      </c>
      <c r="T49" s="5"/>
      <c r="U49" s="5"/>
      <c r="V49" s="78">
        <f>IF(UPPER(M49)="X",0.5,IF(UPPER(N49)="X",0.2,IF(UPPER(O49)="X",0.05,0)))</f>
        <v>0.05</v>
      </c>
      <c r="W49" s="5"/>
    </row>
    <row r="50" spans="1:27" x14ac:dyDescent="0.3">
      <c r="A50" s="5">
        <v>5</v>
      </c>
      <c r="B50" s="5" t="s">
        <v>205</v>
      </c>
      <c r="C50" s="16">
        <v>1</v>
      </c>
      <c r="D50" s="80">
        <v>18</v>
      </c>
      <c r="E50" s="80">
        <f>IFERROR(C50*D50,0)</f>
        <v>18</v>
      </c>
      <c r="F50" s="17">
        <v>31</v>
      </c>
      <c r="G50" s="17">
        <v>0</v>
      </c>
      <c r="H50" s="17">
        <v>3</v>
      </c>
      <c r="I50" s="17">
        <v>1</v>
      </c>
      <c r="J50" s="17">
        <v>0.6</v>
      </c>
      <c r="K50" s="17">
        <v>0.4</v>
      </c>
      <c r="L50" s="5" t="s">
        <v>112</v>
      </c>
      <c r="M50" s="5"/>
      <c r="N50" s="5" t="s">
        <v>378</v>
      </c>
      <c r="O50" s="5"/>
      <c r="P50" s="5"/>
      <c r="Q50" s="5" t="s">
        <v>378</v>
      </c>
      <c r="R50" s="5"/>
      <c r="S50" s="5" t="s">
        <v>378</v>
      </c>
      <c r="T50" s="5"/>
      <c r="U50" s="5"/>
      <c r="V50" s="78">
        <f>IF(UPPER(M50)="X",0.5,IF(UPPER(N50)="X",0.2,IF(UPPER(O50)="X",0.05,0)))</f>
        <v>0.2</v>
      </c>
      <c r="W50" s="5" t="s">
        <v>206</v>
      </c>
    </row>
    <row r="56" spans="1:27" ht="15" thickBot="1" x14ac:dyDescent="0.35">
      <c r="A56" s="28"/>
      <c r="B56" s="28" t="s">
        <v>467</v>
      </c>
      <c r="C56" s="28"/>
      <c r="D56" s="28"/>
      <c r="E56" s="89">
        <f>SUM(E46:E50)</f>
        <v>61</v>
      </c>
      <c r="F56" s="30">
        <f>IFERROR(SUMPRODUCT(E46:E50,F46:F50)/E56,0)</f>
        <v>12.409836065573771</v>
      </c>
      <c r="G56" s="30">
        <f>IFERROR(SUMPRODUCT(E46:E50,G46:G50)/E56,0)</f>
        <v>0.26229508196721313</v>
      </c>
      <c r="H56" s="30">
        <f>IFERROR(SUMPRODUCT(E46:E50,H46:H50)/E56,0)</f>
        <v>4.0081967213114753</v>
      </c>
      <c r="I56" s="89">
        <f>SUMPRODUCT(E46:E50,V46:V50)</f>
        <v>11.450000000000001</v>
      </c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 t="s">
        <v>560</v>
      </c>
      <c r="Y56" s="29">
        <f>SUMIFS(Import!$O:$O,Import!$S:$S,"3100")</f>
        <v>133.68559286762977</v>
      </c>
      <c r="Z56" s="29">
        <f>Y56-E56</f>
        <v>72.685592867629765</v>
      </c>
      <c r="AA56" s="95">
        <f>IFERROR((Y56-E56)/E56,0)</f>
        <v>1.1915670961906519</v>
      </c>
    </row>
    <row r="57" spans="1:27" ht="15" thickTop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7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7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7" ht="15" thickBot="1" x14ac:dyDescent="0.3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7" ht="16.2" thickTop="1" x14ac:dyDescent="0.3">
      <c r="A61" s="111" t="s">
        <v>468</v>
      </c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4"/>
      <c r="Y61" s="14"/>
      <c r="Z61" s="14"/>
      <c r="AA61" s="14"/>
    </row>
    <row r="62" spans="1:27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7" x14ac:dyDescent="0.3">
      <c r="A63" s="85"/>
      <c r="B63" s="20" t="s">
        <v>482</v>
      </c>
      <c r="C63" s="20"/>
      <c r="D63" s="20" t="s">
        <v>351</v>
      </c>
      <c r="E63" s="20" t="s">
        <v>91</v>
      </c>
      <c r="F63" s="20" t="s">
        <v>92</v>
      </c>
      <c r="G63" s="20" t="s">
        <v>93</v>
      </c>
      <c r="H63" s="20" t="s">
        <v>83</v>
      </c>
      <c r="I63" s="20" t="s">
        <v>84</v>
      </c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20"/>
      <c r="Y63" s="20"/>
      <c r="Z63" s="20"/>
      <c r="AA63" s="20"/>
    </row>
    <row r="64" spans="1:27" x14ac:dyDescent="0.3">
      <c r="A64" s="45"/>
      <c r="B64" s="45"/>
      <c r="C64" s="45"/>
      <c r="D64" s="87">
        <f>E77</f>
        <v>90</v>
      </c>
      <c r="E64" s="88">
        <f>F77</f>
        <v>4.8666666666666663</v>
      </c>
      <c r="F64" s="88">
        <f>G77</f>
        <v>0</v>
      </c>
      <c r="G64" s="88">
        <f>H77</f>
        <v>3.6666666666666665</v>
      </c>
      <c r="H64" s="87">
        <f>I77</f>
        <v>31.8</v>
      </c>
      <c r="I64" s="87">
        <f>I77</f>
        <v>31.8</v>
      </c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85"/>
      <c r="Y64" s="85"/>
      <c r="Z64" s="85"/>
      <c r="AA64" s="85"/>
    </row>
    <row r="65" spans="1:27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110" t="s">
        <v>110</v>
      </c>
      <c r="N65" s="110"/>
      <c r="O65" s="110"/>
      <c r="P65" s="110" t="s">
        <v>487</v>
      </c>
      <c r="Q65" s="110"/>
      <c r="R65" s="110" t="s">
        <v>111</v>
      </c>
      <c r="S65" s="110"/>
      <c r="T65" s="110"/>
      <c r="U65" s="110"/>
      <c r="V65" s="5"/>
      <c r="W65" s="5"/>
    </row>
    <row r="66" spans="1:27" x14ac:dyDescent="0.3">
      <c r="A66" s="86" t="s">
        <v>105</v>
      </c>
      <c r="B66" s="86" t="s">
        <v>106</v>
      </c>
      <c r="C66" s="86" t="s">
        <v>2</v>
      </c>
      <c r="D66" s="86" t="s">
        <v>71</v>
      </c>
      <c r="E66" s="86" t="s">
        <v>72</v>
      </c>
      <c r="F66" s="86" t="s">
        <v>91</v>
      </c>
      <c r="G66" s="86" t="s">
        <v>92</v>
      </c>
      <c r="H66" s="86" t="s">
        <v>93</v>
      </c>
      <c r="I66" s="86" t="s">
        <v>107</v>
      </c>
      <c r="J66" s="86" t="s">
        <v>108</v>
      </c>
      <c r="K66" s="86" t="s">
        <v>109</v>
      </c>
      <c r="L66" s="86" t="s">
        <v>94</v>
      </c>
      <c r="M66" s="86" t="s">
        <v>127</v>
      </c>
      <c r="N66" s="86" t="s">
        <v>371</v>
      </c>
      <c r="O66" s="86" t="s">
        <v>171</v>
      </c>
      <c r="P66" s="86" t="s">
        <v>372</v>
      </c>
      <c r="Q66" s="86" t="s">
        <v>128</v>
      </c>
      <c r="R66" s="86" t="s">
        <v>373</v>
      </c>
      <c r="S66" s="86" t="s">
        <v>374</v>
      </c>
      <c r="T66" s="86" t="s">
        <v>375</v>
      </c>
      <c r="U66" s="86" t="s">
        <v>376</v>
      </c>
      <c r="V66" s="86" t="s">
        <v>377</v>
      </c>
      <c r="W66" s="86" t="s">
        <v>3</v>
      </c>
      <c r="X66" s="86" t="s">
        <v>556</v>
      </c>
      <c r="Y66" s="86" t="s">
        <v>557</v>
      </c>
      <c r="Z66" s="86" t="s">
        <v>567</v>
      </c>
      <c r="AA66" s="86" t="s">
        <v>568</v>
      </c>
    </row>
    <row r="67" spans="1:27" x14ac:dyDescent="0.3">
      <c r="A67" s="5">
        <v>1</v>
      </c>
      <c r="B67" s="5" t="s">
        <v>223</v>
      </c>
      <c r="C67" s="16">
        <v>2</v>
      </c>
      <c r="D67" s="80">
        <v>4</v>
      </c>
      <c r="E67" s="80">
        <f>IFERROR(C67*D67,0)</f>
        <v>8</v>
      </c>
      <c r="F67" s="17">
        <v>4</v>
      </c>
      <c r="G67" s="17">
        <v>0</v>
      </c>
      <c r="H67" s="17">
        <v>5</v>
      </c>
      <c r="I67" s="17">
        <v>0.4</v>
      </c>
      <c r="J67" s="17">
        <v>0.3</v>
      </c>
      <c r="K67" s="17">
        <v>0.15</v>
      </c>
      <c r="L67" s="5" t="s">
        <v>112</v>
      </c>
      <c r="M67" s="5"/>
      <c r="N67" s="5" t="s">
        <v>378</v>
      </c>
      <c r="O67" s="5"/>
      <c r="P67" s="5"/>
      <c r="Q67" s="5" t="s">
        <v>378</v>
      </c>
      <c r="R67" s="5"/>
      <c r="S67" s="5" t="s">
        <v>378</v>
      </c>
      <c r="T67" s="5"/>
      <c r="U67" s="5"/>
      <c r="V67" s="78">
        <f>IF(UPPER(M67)="X",0.5,IF(UPPER(N67)="X",0.2,IF(UPPER(O67)="X",0.05,0)))</f>
        <v>0.2</v>
      </c>
      <c r="W67" s="5"/>
    </row>
    <row r="68" spans="1:27" x14ac:dyDescent="0.3">
      <c r="A68" s="5">
        <v>2</v>
      </c>
      <c r="B68" s="5" t="s">
        <v>224</v>
      </c>
      <c r="C68" s="16">
        <v>2</v>
      </c>
      <c r="D68" s="80">
        <v>12</v>
      </c>
      <c r="E68" s="80">
        <f>IFERROR(C68*D68,0)</f>
        <v>24</v>
      </c>
      <c r="F68" s="17">
        <v>7</v>
      </c>
      <c r="G68" s="17">
        <v>0</v>
      </c>
      <c r="H68" s="17">
        <v>3</v>
      </c>
      <c r="I68" s="17">
        <v>0.6</v>
      </c>
      <c r="J68" s="17">
        <v>0.4</v>
      </c>
      <c r="K68" s="17">
        <v>0.3</v>
      </c>
      <c r="L68" s="5" t="s">
        <v>112</v>
      </c>
      <c r="M68" s="5"/>
      <c r="N68" s="5" t="s">
        <v>378</v>
      </c>
      <c r="O68" s="5"/>
      <c r="P68" s="5"/>
      <c r="Q68" s="5" t="s">
        <v>378</v>
      </c>
      <c r="R68" s="5"/>
      <c r="S68" s="5" t="s">
        <v>378</v>
      </c>
      <c r="T68" s="5"/>
      <c r="U68" s="5"/>
      <c r="V68" s="78">
        <f>IF(UPPER(M68)="X",0.5,IF(UPPER(N68)="X",0.2,IF(UPPER(O68)="X",0.05,0)))</f>
        <v>0.2</v>
      </c>
      <c r="W68" s="5" t="s">
        <v>225</v>
      </c>
    </row>
    <row r="69" spans="1:27" x14ac:dyDescent="0.3">
      <c r="A69" s="5">
        <v>3</v>
      </c>
      <c r="B69" s="5" t="s">
        <v>226</v>
      </c>
      <c r="C69" s="16">
        <v>2</v>
      </c>
      <c r="D69" s="80">
        <v>6</v>
      </c>
      <c r="E69" s="80">
        <f>IFERROR(C69*D69,0)</f>
        <v>12</v>
      </c>
      <c r="F69" s="17">
        <v>5</v>
      </c>
      <c r="G69" s="17">
        <v>0</v>
      </c>
      <c r="H69" s="17">
        <v>4</v>
      </c>
      <c r="I69" s="17">
        <v>0.5</v>
      </c>
      <c r="J69" s="17">
        <v>0.3</v>
      </c>
      <c r="K69" s="17">
        <v>0.2</v>
      </c>
      <c r="L69" s="5" t="s">
        <v>112</v>
      </c>
      <c r="M69" s="5"/>
      <c r="N69" s="5" t="s">
        <v>378</v>
      </c>
      <c r="O69" s="5"/>
      <c r="P69" s="5"/>
      <c r="Q69" s="5" t="s">
        <v>378</v>
      </c>
      <c r="R69" s="5"/>
      <c r="S69" s="5" t="s">
        <v>378</v>
      </c>
      <c r="T69" s="5"/>
      <c r="U69" s="5"/>
      <c r="V69" s="78">
        <f>IF(UPPER(M69)="X",0.5,IF(UPPER(N69)="X",0.2,IF(UPPER(O69)="X",0.05,0)))</f>
        <v>0.2</v>
      </c>
      <c r="W69" s="5"/>
    </row>
    <row r="70" spans="1:27" x14ac:dyDescent="0.3">
      <c r="A70" s="5">
        <v>4</v>
      </c>
      <c r="B70" s="5" t="s">
        <v>227</v>
      </c>
      <c r="C70" s="16">
        <v>1</v>
      </c>
      <c r="D70" s="80">
        <v>28</v>
      </c>
      <c r="E70" s="80">
        <f>IFERROR(C70*D70,0)</f>
        <v>28</v>
      </c>
      <c r="F70" s="17">
        <v>2.5</v>
      </c>
      <c r="G70" s="17">
        <v>0</v>
      </c>
      <c r="H70" s="17">
        <v>3.5</v>
      </c>
      <c r="I70" s="17">
        <v>1.2</v>
      </c>
      <c r="J70" s="17">
        <v>1.2</v>
      </c>
      <c r="K70" s="17">
        <v>0.8</v>
      </c>
      <c r="L70" s="5" t="s">
        <v>112</v>
      </c>
      <c r="M70" s="5" t="s">
        <v>378</v>
      </c>
      <c r="N70" s="5"/>
      <c r="O70" s="5"/>
      <c r="P70" s="5"/>
      <c r="Q70" s="5" t="s">
        <v>378</v>
      </c>
      <c r="R70" s="5" t="s">
        <v>378</v>
      </c>
      <c r="S70" s="5"/>
      <c r="T70" s="5"/>
      <c r="U70" s="5"/>
      <c r="V70" s="78">
        <f>IF(UPPER(M70)="X",0.5,IF(UPPER(N70)="X",0.2,IF(UPPER(O70)="X",0.05,0)))</f>
        <v>0.5</v>
      </c>
      <c r="W70" s="5" t="s">
        <v>228</v>
      </c>
    </row>
    <row r="71" spans="1:27" x14ac:dyDescent="0.3">
      <c r="A71" s="5">
        <v>5</v>
      </c>
      <c r="B71" s="5" t="s">
        <v>229</v>
      </c>
      <c r="C71" s="16">
        <v>1</v>
      </c>
      <c r="D71" s="80">
        <v>18</v>
      </c>
      <c r="E71" s="80">
        <f>IFERROR(C71*D71,0)</f>
        <v>18</v>
      </c>
      <c r="F71" s="17">
        <v>6</v>
      </c>
      <c r="G71" s="17">
        <v>0</v>
      </c>
      <c r="H71" s="17">
        <v>4</v>
      </c>
      <c r="I71" s="17">
        <v>0.8</v>
      </c>
      <c r="J71" s="17">
        <v>0.6</v>
      </c>
      <c r="K71" s="17">
        <v>0.3</v>
      </c>
      <c r="L71" s="5" t="s">
        <v>112</v>
      </c>
      <c r="M71" s="5" t="s">
        <v>378</v>
      </c>
      <c r="N71" s="5"/>
      <c r="O71" s="5"/>
      <c r="P71" s="5"/>
      <c r="Q71" s="5" t="s">
        <v>378</v>
      </c>
      <c r="R71" s="5" t="s">
        <v>378</v>
      </c>
      <c r="S71" s="5"/>
      <c r="T71" s="5"/>
      <c r="U71" s="5"/>
      <c r="V71" s="78">
        <f>IF(UPPER(M71)="X",0.5,IF(UPPER(N71)="X",0.2,IF(UPPER(O71)="X",0.05,0)))</f>
        <v>0.5</v>
      </c>
      <c r="W71" s="5"/>
    </row>
    <row r="77" spans="1:27" ht="15" thickBot="1" x14ac:dyDescent="0.35">
      <c r="A77" s="28"/>
      <c r="B77" s="28" t="s">
        <v>469</v>
      </c>
      <c r="C77" s="28"/>
      <c r="D77" s="28"/>
      <c r="E77" s="89">
        <f>SUM(E67:E71)</f>
        <v>90</v>
      </c>
      <c r="F77" s="30">
        <f>IFERROR(SUMPRODUCT(E67:E71,F67:F71)/E77,0)</f>
        <v>4.8666666666666663</v>
      </c>
      <c r="G77" s="30">
        <f>IFERROR(SUMPRODUCT(E67:E71,G67:G71)/E77,0)</f>
        <v>0</v>
      </c>
      <c r="H77" s="30">
        <f>IFERROR(SUMPRODUCT(E67:E71,H67:H71)/E77,0)</f>
        <v>3.6666666666666665</v>
      </c>
      <c r="I77" s="89">
        <f>SUMPRODUCT(E67:E71,V67:V71)</f>
        <v>31.8</v>
      </c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 t="s">
        <v>560</v>
      </c>
      <c r="Y77" s="29">
        <f>SUMIFS(Import!$O:$O,Import!$S:$S,"3400")</f>
        <v>89.999892967446002</v>
      </c>
      <c r="Z77" s="29">
        <f>Y77-E77</f>
        <v>-1.0703255399846512E-4</v>
      </c>
      <c r="AA77" s="95">
        <f>IFERROR((Y77-E77)/E77,0)</f>
        <v>-1.1892505999829458E-6</v>
      </c>
    </row>
    <row r="78" spans="1:27" ht="15" thickTop="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</sheetData>
  <mergeCells count="17">
    <mergeCell ref="A1:W1"/>
    <mergeCell ref="A3:W3"/>
    <mergeCell ref="A21:W21"/>
    <mergeCell ref="A40:W40"/>
    <mergeCell ref="A61:W61"/>
    <mergeCell ref="M7:O7"/>
    <mergeCell ref="P7:Q7"/>
    <mergeCell ref="R7:U7"/>
    <mergeCell ref="M25:O25"/>
    <mergeCell ref="P25:Q25"/>
    <mergeCell ref="R25:U25"/>
    <mergeCell ref="M44:O44"/>
    <mergeCell ref="P44:Q44"/>
    <mergeCell ref="R44:U44"/>
    <mergeCell ref="M65:O65"/>
    <mergeCell ref="P65:Q65"/>
    <mergeCell ref="R65:U65"/>
  </mergeCells>
  <conditionalFormatting sqref="AA16">
    <cfRule type="cellIs" dxfId="9" priority="1" operator="notBetween">
      <formula>0.05</formula>
      <formula>-0.05</formula>
    </cfRule>
  </conditionalFormatting>
  <conditionalFormatting sqref="AA35">
    <cfRule type="cellIs" dxfId="8" priority="2" operator="notBetween">
      <formula>0.05</formula>
      <formula>-0.05</formula>
    </cfRule>
  </conditionalFormatting>
  <conditionalFormatting sqref="AA56">
    <cfRule type="cellIs" dxfId="7" priority="3" operator="notBetween">
      <formula>0.05</formula>
      <formula>-0.05</formula>
    </cfRule>
  </conditionalFormatting>
  <conditionalFormatting sqref="AA77">
    <cfRule type="cellIs" dxfId="6" priority="4" operator="notBetween">
      <formula>0.05</formula>
      <formula>-0.05</formula>
    </cfRule>
  </conditionalFormatting>
  <dataValidations count="1">
    <dataValidation type="list" allowBlank="1" showInputMessage="1" showErrorMessage="1" sqref="X16 X35 X56 X77" xr:uid="{34256117-4F8E-46A4-A3BA-78724EC36A50}">
      <formula1>"Bottom-up,MDO"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30CA-CDB8-4AB6-ABB5-14C9B593900D}">
  <sheetPr codeName="Sheet50"/>
  <dimension ref="A1:AA95"/>
  <sheetViews>
    <sheetView workbookViewId="0">
      <selection activeCell="K23" sqref="K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3" t="s">
        <v>344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11" t="s">
        <v>483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482</v>
      </c>
      <c r="C5" s="20"/>
      <c r="D5" s="20" t="s">
        <v>351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E35</f>
        <v>1440</v>
      </c>
      <c r="E6" s="88">
        <f>F35</f>
        <v>28.119444444444444</v>
      </c>
      <c r="F6" s="88">
        <f>G35</f>
        <v>0</v>
      </c>
      <c r="G6" s="88">
        <f>H35</f>
        <v>3.3843749999999999</v>
      </c>
      <c r="H6" s="87">
        <f>I35</f>
        <v>720</v>
      </c>
      <c r="I6" s="87">
        <f>I35</f>
        <v>720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487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371</v>
      </c>
      <c r="O8" s="86" t="s">
        <v>171</v>
      </c>
      <c r="P8" s="86" t="s">
        <v>372</v>
      </c>
      <c r="Q8" s="86" t="s">
        <v>128</v>
      </c>
      <c r="R8" s="86" t="s">
        <v>373</v>
      </c>
      <c r="S8" s="86" t="s">
        <v>374</v>
      </c>
      <c r="T8" s="86" t="s">
        <v>375</v>
      </c>
      <c r="U8" s="86" t="s">
        <v>376</v>
      </c>
      <c r="V8" s="86" t="s">
        <v>377</v>
      </c>
      <c r="W8" s="86" t="s">
        <v>3</v>
      </c>
      <c r="X8" s="86" t="s">
        <v>556</v>
      </c>
      <c r="Y8" s="86" t="s">
        <v>557</v>
      </c>
      <c r="Z8" s="86" t="s">
        <v>567</v>
      </c>
      <c r="AA8" s="86" t="s">
        <v>568</v>
      </c>
    </row>
    <row r="9" spans="1:27" x14ac:dyDescent="0.3">
      <c r="A9" s="5">
        <v>1</v>
      </c>
      <c r="B9" s="5" t="s">
        <v>291</v>
      </c>
      <c r="C9" s="16">
        <v>1</v>
      </c>
      <c r="D9" s="80">
        <v>65</v>
      </c>
      <c r="E9" s="80">
        <f t="shared" ref="E9:E29" si="0">IFERROR(C9*D9,0)</f>
        <v>65</v>
      </c>
      <c r="F9" s="17">
        <v>24</v>
      </c>
      <c r="G9" s="17">
        <v>3</v>
      </c>
      <c r="H9" s="17">
        <v>3</v>
      </c>
      <c r="I9" s="17">
        <v>8</v>
      </c>
      <c r="J9" s="17">
        <v>1.5</v>
      </c>
      <c r="K9" s="17">
        <v>1.5</v>
      </c>
      <c r="L9" s="5" t="s">
        <v>118</v>
      </c>
      <c r="M9" s="5" t="s">
        <v>378</v>
      </c>
      <c r="N9" s="5"/>
      <c r="O9" s="5"/>
      <c r="P9" s="5"/>
      <c r="Q9" s="5" t="s">
        <v>378</v>
      </c>
      <c r="R9" s="5" t="s">
        <v>378</v>
      </c>
      <c r="S9" s="5"/>
      <c r="T9" s="5"/>
      <c r="U9" s="5"/>
      <c r="V9" s="78">
        <f t="shared" ref="V9:V29" si="1">IF(UPPER(M9)="X",0.5,IF(UPPER(N9)="X",0.2,IF(UPPER(O9)="X",0.05,0)))</f>
        <v>0.5</v>
      </c>
      <c r="W9" s="5" t="s">
        <v>292</v>
      </c>
    </row>
    <row r="10" spans="1:27" x14ac:dyDescent="0.3">
      <c r="A10" s="5">
        <v>2</v>
      </c>
      <c r="B10" s="5" t="s">
        <v>293</v>
      </c>
      <c r="C10" s="16">
        <v>1</v>
      </c>
      <c r="D10" s="80">
        <v>65</v>
      </c>
      <c r="E10" s="80">
        <f t="shared" si="0"/>
        <v>65</v>
      </c>
      <c r="F10" s="17">
        <v>24</v>
      </c>
      <c r="G10" s="17">
        <v>-3</v>
      </c>
      <c r="H10" s="17">
        <v>3</v>
      </c>
      <c r="I10" s="17">
        <v>8</v>
      </c>
      <c r="J10" s="17">
        <v>1.5</v>
      </c>
      <c r="K10" s="17">
        <v>1.5</v>
      </c>
      <c r="L10" s="5" t="s">
        <v>118</v>
      </c>
      <c r="M10" s="5" t="s">
        <v>378</v>
      </c>
      <c r="N10" s="5"/>
      <c r="O10" s="5"/>
      <c r="P10" s="5"/>
      <c r="Q10" s="5" t="s">
        <v>378</v>
      </c>
      <c r="R10" s="5" t="s">
        <v>378</v>
      </c>
      <c r="S10" s="5"/>
      <c r="T10" s="5"/>
      <c r="U10" s="5"/>
      <c r="V10" s="78">
        <f t="shared" si="1"/>
        <v>0.5</v>
      </c>
      <c r="W10" s="5"/>
    </row>
    <row r="11" spans="1:27" x14ac:dyDescent="0.3">
      <c r="A11" s="5">
        <v>3</v>
      </c>
      <c r="B11" s="5" t="s">
        <v>294</v>
      </c>
      <c r="C11" s="16">
        <v>1</v>
      </c>
      <c r="D11" s="80">
        <v>95</v>
      </c>
      <c r="E11" s="80">
        <f t="shared" si="0"/>
        <v>95</v>
      </c>
      <c r="F11" s="17">
        <v>29</v>
      </c>
      <c r="G11" s="17">
        <v>3</v>
      </c>
      <c r="H11" s="17">
        <v>3</v>
      </c>
      <c r="I11" s="17">
        <v>1.5</v>
      </c>
      <c r="J11" s="17">
        <v>2</v>
      </c>
      <c r="K11" s="17">
        <v>2</v>
      </c>
      <c r="L11" s="5" t="s">
        <v>118</v>
      </c>
      <c r="M11" s="5" t="s">
        <v>378</v>
      </c>
      <c r="N11" s="5"/>
      <c r="O11" s="5"/>
      <c r="P11" s="5"/>
      <c r="Q11" s="5" t="s">
        <v>378</v>
      </c>
      <c r="R11" s="5" t="s">
        <v>378</v>
      </c>
      <c r="S11" s="5"/>
      <c r="T11" s="5"/>
      <c r="U11" s="5"/>
      <c r="V11" s="78">
        <f t="shared" si="1"/>
        <v>0.5</v>
      </c>
      <c r="W11" s="5"/>
    </row>
    <row r="12" spans="1:27" x14ac:dyDescent="0.3">
      <c r="A12" s="5">
        <v>4</v>
      </c>
      <c r="B12" s="5" t="s">
        <v>295</v>
      </c>
      <c r="C12" s="16">
        <v>1</v>
      </c>
      <c r="D12" s="80">
        <v>95</v>
      </c>
      <c r="E12" s="80">
        <f t="shared" si="0"/>
        <v>95</v>
      </c>
      <c r="F12" s="17">
        <v>29</v>
      </c>
      <c r="G12" s="17">
        <v>-3</v>
      </c>
      <c r="H12" s="17">
        <v>3</v>
      </c>
      <c r="I12" s="17">
        <v>1.5</v>
      </c>
      <c r="J12" s="17">
        <v>2</v>
      </c>
      <c r="K12" s="17">
        <v>2</v>
      </c>
      <c r="L12" s="5" t="s">
        <v>118</v>
      </c>
      <c r="M12" s="5" t="s">
        <v>378</v>
      </c>
      <c r="N12" s="5"/>
      <c r="O12" s="5"/>
      <c r="P12" s="5"/>
      <c r="Q12" s="5" t="s">
        <v>378</v>
      </c>
      <c r="R12" s="5" t="s">
        <v>378</v>
      </c>
      <c r="S12" s="5"/>
      <c r="T12" s="5"/>
      <c r="U12" s="5"/>
      <c r="V12" s="78">
        <f t="shared" si="1"/>
        <v>0.5</v>
      </c>
      <c r="W12" s="5"/>
    </row>
    <row r="13" spans="1:27" x14ac:dyDescent="0.3">
      <c r="A13" s="5">
        <v>5</v>
      </c>
      <c r="B13" s="5" t="s">
        <v>296</v>
      </c>
      <c r="C13" s="16">
        <v>2</v>
      </c>
      <c r="D13" s="80">
        <v>75</v>
      </c>
      <c r="E13" s="80">
        <f t="shared" si="0"/>
        <v>150</v>
      </c>
      <c r="F13" s="17">
        <v>28.5</v>
      </c>
      <c r="G13" s="17">
        <v>3</v>
      </c>
      <c r="H13" s="17">
        <v>3</v>
      </c>
      <c r="I13" s="17">
        <v>1</v>
      </c>
      <c r="J13" s="17">
        <v>1.5</v>
      </c>
      <c r="K13" s="17">
        <v>1.5</v>
      </c>
      <c r="L13" s="5" t="s">
        <v>118</v>
      </c>
      <c r="M13" s="5" t="s">
        <v>378</v>
      </c>
      <c r="N13" s="5"/>
      <c r="O13" s="5"/>
      <c r="P13" s="5"/>
      <c r="Q13" s="5" t="s">
        <v>378</v>
      </c>
      <c r="R13" s="5" t="s">
        <v>378</v>
      </c>
      <c r="S13" s="5"/>
      <c r="T13" s="5"/>
      <c r="U13" s="5"/>
      <c r="V13" s="78">
        <f t="shared" si="1"/>
        <v>0.5</v>
      </c>
      <c r="W13" s="5" t="s">
        <v>297</v>
      </c>
    </row>
    <row r="14" spans="1:27" x14ac:dyDescent="0.3">
      <c r="A14" s="5">
        <v>6</v>
      </c>
      <c r="B14" s="5" t="s">
        <v>298</v>
      </c>
      <c r="C14" s="16">
        <v>2</v>
      </c>
      <c r="D14" s="80">
        <v>75</v>
      </c>
      <c r="E14" s="80">
        <f t="shared" si="0"/>
        <v>150</v>
      </c>
      <c r="F14" s="17">
        <v>28.5</v>
      </c>
      <c r="G14" s="17">
        <v>-3</v>
      </c>
      <c r="H14" s="17">
        <v>3</v>
      </c>
      <c r="I14" s="17">
        <v>1</v>
      </c>
      <c r="J14" s="17">
        <v>1.5</v>
      </c>
      <c r="K14" s="17">
        <v>1.5</v>
      </c>
      <c r="L14" s="5" t="s">
        <v>118</v>
      </c>
      <c r="M14" s="5" t="s">
        <v>378</v>
      </c>
      <c r="N14" s="5"/>
      <c r="O14" s="5"/>
      <c r="P14" s="5"/>
      <c r="Q14" s="5" t="s">
        <v>378</v>
      </c>
      <c r="R14" s="5" t="s">
        <v>378</v>
      </c>
      <c r="S14" s="5"/>
      <c r="T14" s="5"/>
      <c r="U14" s="5"/>
      <c r="V14" s="78">
        <f t="shared" si="1"/>
        <v>0.5</v>
      </c>
      <c r="W14" s="5"/>
    </row>
    <row r="15" spans="1:27" x14ac:dyDescent="0.3">
      <c r="A15" s="5">
        <v>7</v>
      </c>
      <c r="B15" s="5" t="s">
        <v>299</v>
      </c>
      <c r="C15" s="16">
        <v>1</v>
      </c>
      <c r="D15" s="80">
        <v>55</v>
      </c>
      <c r="E15" s="80">
        <f t="shared" si="0"/>
        <v>55</v>
      </c>
      <c r="F15" s="17">
        <v>30.5</v>
      </c>
      <c r="G15" s="17">
        <v>3</v>
      </c>
      <c r="H15" s="17">
        <v>3</v>
      </c>
      <c r="I15" s="17">
        <v>1.5</v>
      </c>
      <c r="J15" s="17">
        <v>1.8</v>
      </c>
      <c r="K15" s="17">
        <v>1.8</v>
      </c>
      <c r="L15" s="5" t="s">
        <v>118</v>
      </c>
      <c r="M15" s="5" t="s">
        <v>378</v>
      </c>
      <c r="N15" s="5"/>
      <c r="O15" s="5"/>
      <c r="P15" s="5"/>
      <c r="Q15" s="5" t="s">
        <v>378</v>
      </c>
      <c r="R15" s="5" t="s">
        <v>378</v>
      </c>
      <c r="S15" s="5"/>
      <c r="T15" s="5"/>
      <c r="U15" s="5"/>
      <c r="V15" s="78">
        <f t="shared" si="1"/>
        <v>0.5</v>
      </c>
      <c r="W15" s="5" t="s">
        <v>300</v>
      </c>
    </row>
    <row r="16" spans="1:27" x14ac:dyDescent="0.3">
      <c r="A16" s="5">
        <v>8</v>
      </c>
      <c r="B16" s="5" t="s">
        <v>301</v>
      </c>
      <c r="C16" s="16">
        <v>1</v>
      </c>
      <c r="D16" s="80">
        <v>55</v>
      </c>
      <c r="E16" s="80">
        <f t="shared" si="0"/>
        <v>55</v>
      </c>
      <c r="F16" s="17">
        <v>30.5</v>
      </c>
      <c r="G16" s="17">
        <v>-3</v>
      </c>
      <c r="H16" s="17">
        <v>3</v>
      </c>
      <c r="I16" s="17">
        <v>1.5</v>
      </c>
      <c r="J16" s="17">
        <v>1.8</v>
      </c>
      <c r="K16" s="17">
        <v>1.8</v>
      </c>
      <c r="L16" s="5" t="s">
        <v>118</v>
      </c>
      <c r="M16" s="5" t="s">
        <v>378</v>
      </c>
      <c r="N16" s="5"/>
      <c r="O16" s="5"/>
      <c r="P16" s="5"/>
      <c r="Q16" s="5" t="s">
        <v>378</v>
      </c>
      <c r="R16" s="5" t="s">
        <v>378</v>
      </c>
      <c r="S16" s="5"/>
      <c r="T16" s="5"/>
      <c r="U16" s="5"/>
      <c r="V16" s="78">
        <f t="shared" si="1"/>
        <v>0.5</v>
      </c>
      <c r="W16" s="5"/>
    </row>
    <row r="17" spans="1:23" x14ac:dyDescent="0.3">
      <c r="A17" s="5">
        <v>9</v>
      </c>
      <c r="B17" s="5" t="s">
        <v>302</v>
      </c>
      <c r="C17" s="16">
        <v>1</v>
      </c>
      <c r="D17" s="80">
        <v>35</v>
      </c>
      <c r="E17" s="80">
        <f t="shared" si="0"/>
        <v>35</v>
      </c>
      <c r="F17" s="17">
        <v>32</v>
      </c>
      <c r="G17" s="17">
        <v>3</v>
      </c>
      <c r="H17" s="17">
        <v>3</v>
      </c>
      <c r="I17" s="17">
        <v>1.5</v>
      </c>
      <c r="J17" s="17">
        <v>1.5</v>
      </c>
      <c r="K17" s="17">
        <v>1.5</v>
      </c>
      <c r="L17" s="5" t="s">
        <v>118</v>
      </c>
      <c r="M17" s="5" t="s">
        <v>378</v>
      </c>
      <c r="N17" s="5"/>
      <c r="O17" s="5"/>
      <c r="P17" s="5"/>
      <c r="Q17" s="5" t="s">
        <v>378</v>
      </c>
      <c r="R17" s="5" t="s">
        <v>378</v>
      </c>
      <c r="S17" s="5"/>
      <c r="T17" s="5"/>
      <c r="U17" s="5"/>
      <c r="V17" s="78">
        <f t="shared" si="1"/>
        <v>0.5</v>
      </c>
      <c r="W17" s="5"/>
    </row>
    <row r="18" spans="1:23" x14ac:dyDescent="0.3">
      <c r="A18" s="5">
        <v>10</v>
      </c>
      <c r="B18" s="5" t="s">
        <v>303</v>
      </c>
      <c r="C18" s="16">
        <v>1</v>
      </c>
      <c r="D18" s="80">
        <v>35</v>
      </c>
      <c r="E18" s="80">
        <f t="shared" si="0"/>
        <v>35</v>
      </c>
      <c r="F18" s="17">
        <v>32</v>
      </c>
      <c r="G18" s="17">
        <v>-3</v>
      </c>
      <c r="H18" s="17">
        <v>3</v>
      </c>
      <c r="I18" s="17">
        <v>1.5</v>
      </c>
      <c r="J18" s="17">
        <v>1.5</v>
      </c>
      <c r="K18" s="17">
        <v>1.5</v>
      </c>
      <c r="L18" s="5" t="s">
        <v>118</v>
      </c>
      <c r="M18" s="5" t="s">
        <v>378</v>
      </c>
      <c r="N18" s="5"/>
      <c r="O18" s="5"/>
      <c r="P18" s="5"/>
      <c r="Q18" s="5" t="s">
        <v>378</v>
      </c>
      <c r="R18" s="5" t="s">
        <v>378</v>
      </c>
      <c r="S18" s="5"/>
      <c r="T18" s="5"/>
      <c r="U18" s="5"/>
      <c r="V18" s="78">
        <f t="shared" si="1"/>
        <v>0.5</v>
      </c>
      <c r="W18" s="5"/>
    </row>
    <row r="19" spans="1:23" x14ac:dyDescent="0.3">
      <c r="A19" s="5">
        <v>11</v>
      </c>
      <c r="B19" s="5" t="s">
        <v>304</v>
      </c>
      <c r="C19" s="16">
        <v>1</v>
      </c>
      <c r="D19" s="80">
        <v>28</v>
      </c>
      <c r="E19" s="80">
        <f t="shared" si="0"/>
        <v>28</v>
      </c>
      <c r="F19" s="17">
        <v>29</v>
      </c>
      <c r="G19" s="17">
        <v>3</v>
      </c>
      <c r="H19" s="17">
        <v>3</v>
      </c>
      <c r="I19" s="17">
        <v>1</v>
      </c>
      <c r="J19" s="17">
        <v>1</v>
      </c>
      <c r="K19" s="17">
        <v>1</v>
      </c>
      <c r="L19" s="5" t="s">
        <v>118</v>
      </c>
      <c r="M19" s="5" t="s">
        <v>378</v>
      </c>
      <c r="N19" s="5"/>
      <c r="O19" s="5"/>
      <c r="P19" s="5"/>
      <c r="Q19" s="5" t="s">
        <v>378</v>
      </c>
      <c r="R19" s="5" t="s">
        <v>378</v>
      </c>
      <c r="S19" s="5"/>
      <c r="T19" s="5"/>
      <c r="U19" s="5"/>
      <c r="V19" s="78">
        <f t="shared" si="1"/>
        <v>0.5</v>
      </c>
      <c r="W19" s="5"/>
    </row>
    <row r="20" spans="1:23" x14ac:dyDescent="0.3">
      <c r="A20" s="5">
        <v>12</v>
      </c>
      <c r="B20" s="5" t="s">
        <v>305</v>
      </c>
      <c r="C20" s="16">
        <v>1</v>
      </c>
      <c r="D20" s="80">
        <v>28</v>
      </c>
      <c r="E20" s="80">
        <f t="shared" si="0"/>
        <v>28</v>
      </c>
      <c r="F20" s="17">
        <v>29</v>
      </c>
      <c r="G20" s="17">
        <v>-3</v>
      </c>
      <c r="H20" s="17">
        <v>3</v>
      </c>
      <c r="I20" s="17">
        <v>1</v>
      </c>
      <c r="J20" s="17">
        <v>1</v>
      </c>
      <c r="K20" s="17">
        <v>1</v>
      </c>
      <c r="L20" s="5" t="s">
        <v>118</v>
      </c>
      <c r="M20" s="5" t="s">
        <v>378</v>
      </c>
      <c r="N20" s="5"/>
      <c r="O20" s="5"/>
      <c r="P20" s="5"/>
      <c r="Q20" s="5" t="s">
        <v>378</v>
      </c>
      <c r="R20" s="5" t="s">
        <v>378</v>
      </c>
      <c r="S20" s="5"/>
      <c r="T20" s="5"/>
      <c r="U20" s="5"/>
      <c r="V20" s="78">
        <f t="shared" si="1"/>
        <v>0.5</v>
      </c>
      <c r="W20" s="5"/>
    </row>
    <row r="21" spans="1:23" x14ac:dyDescent="0.3">
      <c r="A21" s="5">
        <v>13</v>
      </c>
      <c r="B21" s="5" t="s">
        <v>306</v>
      </c>
      <c r="C21" s="16">
        <v>1</v>
      </c>
      <c r="D21" s="80">
        <v>45</v>
      </c>
      <c r="E21" s="80">
        <f t="shared" si="0"/>
        <v>45</v>
      </c>
      <c r="F21" s="17">
        <v>22</v>
      </c>
      <c r="G21" s="17">
        <v>0</v>
      </c>
      <c r="H21" s="17">
        <v>4.5</v>
      </c>
      <c r="I21" s="17">
        <v>6</v>
      </c>
      <c r="J21" s="17">
        <v>1.2</v>
      </c>
      <c r="K21" s="17">
        <v>1.2</v>
      </c>
      <c r="L21" s="5" t="s">
        <v>118</v>
      </c>
      <c r="M21" s="5" t="s">
        <v>378</v>
      </c>
      <c r="N21" s="5"/>
      <c r="O21" s="5"/>
      <c r="P21" s="5"/>
      <c r="Q21" s="5" t="s">
        <v>378</v>
      </c>
      <c r="R21" s="5" t="s">
        <v>378</v>
      </c>
      <c r="S21" s="5"/>
      <c r="T21" s="5"/>
      <c r="U21" s="5"/>
      <c r="V21" s="78">
        <f t="shared" si="1"/>
        <v>0.5</v>
      </c>
      <c r="W21" s="5" t="s">
        <v>307</v>
      </c>
    </row>
    <row r="22" spans="1:23" x14ac:dyDescent="0.3">
      <c r="A22" s="5">
        <v>14</v>
      </c>
      <c r="B22" s="5" t="s">
        <v>308</v>
      </c>
      <c r="C22" s="16">
        <v>1</v>
      </c>
      <c r="D22" s="80">
        <v>220</v>
      </c>
      <c r="E22" s="80">
        <f t="shared" si="0"/>
        <v>220</v>
      </c>
      <c r="F22" s="17">
        <v>27</v>
      </c>
      <c r="G22" s="17">
        <v>0</v>
      </c>
      <c r="H22" s="17">
        <v>4</v>
      </c>
      <c r="I22" s="17">
        <v>3</v>
      </c>
      <c r="J22" s="17">
        <v>2</v>
      </c>
      <c r="K22" s="17">
        <v>2</v>
      </c>
      <c r="L22" s="5" t="s">
        <v>118</v>
      </c>
      <c r="M22" s="5" t="s">
        <v>378</v>
      </c>
      <c r="N22" s="5"/>
      <c r="O22" s="5"/>
      <c r="P22" s="5"/>
      <c r="Q22" s="5" t="s">
        <v>378</v>
      </c>
      <c r="R22" s="5" t="s">
        <v>378</v>
      </c>
      <c r="S22" s="5"/>
      <c r="T22" s="5"/>
      <c r="U22" s="5"/>
      <c r="V22" s="78">
        <f t="shared" si="1"/>
        <v>0.5</v>
      </c>
      <c r="W22" s="5" t="s">
        <v>309</v>
      </c>
    </row>
    <row r="23" spans="1:23" x14ac:dyDescent="0.3">
      <c r="A23" s="5">
        <v>15</v>
      </c>
      <c r="B23" s="5" t="s">
        <v>310</v>
      </c>
      <c r="C23" s="16">
        <v>1</v>
      </c>
      <c r="D23" s="80">
        <v>180</v>
      </c>
      <c r="E23" s="80">
        <f t="shared" si="0"/>
        <v>180</v>
      </c>
      <c r="F23" s="17">
        <v>28</v>
      </c>
      <c r="G23" s="17">
        <v>0</v>
      </c>
      <c r="H23" s="17">
        <v>4</v>
      </c>
      <c r="I23" s="17">
        <v>2</v>
      </c>
      <c r="J23" s="17">
        <v>1.8</v>
      </c>
      <c r="K23" s="17">
        <v>1.8</v>
      </c>
      <c r="L23" s="5" t="s">
        <v>118</v>
      </c>
      <c r="M23" s="5" t="s">
        <v>378</v>
      </c>
      <c r="N23" s="5"/>
      <c r="O23" s="5"/>
      <c r="P23" s="5"/>
      <c r="Q23" s="5" t="s">
        <v>378</v>
      </c>
      <c r="R23" s="5" t="s">
        <v>378</v>
      </c>
      <c r="S23" s="5"/>
      <c r="T23" s="5"/>
      <c r="U23" s="5"/>
      <c r="V23" s="78">
        <f t="shared" si="1"/>
        <v>0.5</v>
      </c>
      <c r="W23" s="5" t="s">
        <v>311</v>
      </c>
    </row>
    <row r="24" spans="1:23" x14ac:dyDescent="0.3">
      <c r="A24" s="5">
        <v>16</v>
      </c>
      <c r="B24" s="5" t="s">
        <v>312</v>
      </c>
      <c r="C24" s="16">
        <v>1</v>
      </c>
      <c r="D24" s="80">
        <v>28</v>
      </c>
      <c r="E24" s="80">
        <f t="shared" si="0"/>
        <v>28</v>
      </c>
      <c r="F24" s="17">
        <v>30</v>
      </c>
      <c r="G24" s="17">
        <v>0</v>
      </c>
      <c r="H24" s="17">
        <v>4.5</v>
      </c>
      <c r="I24" s="17">
        <v>2</v>
      </c>
      <c r="J24" s="17">
        <v>1.2</v>
      </c>
      <c r="K24" s="17">
        <v>1.2</v>
      </c>
      <c r="L24" s="5" t="s">
        <v>118</v>
      </c>
      <c r="M24" s="5" t="s">
        <v>378</v>
      </c>
      <c r="N24" s="5"/>
      <c r="O24" s="5"/>
      <c r="P24" s="5"/>
      <c r="Q24" s="5" t="s">
        <v>378</v>
      </c>
      <c r="R24" s="5" t="s">
        <v>378</v>
      </c>
      <c r="S24" s="5"/>
      <c r="T24" s="5"/>
      <c r="U24" s="5"/>
      <c r="V24" s="78">
        <f t="shared" si="1"/>
        <v>0.5</v>
      </c>
      <c r="W24" s="5"/>
    </row>
    <row r="25" spans="1:23" x14ac:dyDescent="0.3">
      <c r="A25" s="5">
        <v>17</v>
      </c>
      <c r="B25" s="5" t="s">
        <v>313</v>
      </c>
      <c r="C25" s="16">
        <v>1</v>
      </c>
      <c r="D25" s="80">
        <v>35</v>
      </c>
      <c r="E25" s="80">
        <f t="shared" si="0"/>
        <v>35</v>
      </c>
      <c r="F25" s="17">
        <v>27</v>
      </c>
      <c r="G25" s="17">
        <v>0</v>
      </c>
      <c r="H25" s="17">
        <v>4</v>
      </c>
      <c r="I25" s="17">
        <v>1.5</v>
      </c>
      <c r="J25" s="17">
        <v>1.5</v>
      </c>
      <c r="K25" s="17">
        <v>1</v>
      </c>
      <c r="L25" s="5" t="s">
        <v>118</v>
      </c>
      <c r="M25" s="5" t="s">
        <v>378</v>
      </c>
      <c r="N25" s="5"/>
      <c r="O25" s="5"/>
      <c r="P25" s="5"/>
      <c r="Q25" s="5" t="s">
        <v>378</v>
      </c>
      <c r="R25" s="5" t="s">
        <v>378</v>
      </c>
      <c r="S25" s="5"/>
      <c r="T25" s="5"/>
      <c r="U25" s="5"/>
      <c r="V25" s="78">
        <f t="shared" si="1"/>
        <v>0.5</v>
      </c>
      <c r="W25" s="5"/>
    </row>
    <row r="26" spans="1:23" x14ac:dyDescent="0.3">
      <c r="A26" s="5">
        <v>18</v>
      </c>
      <c r="B26" s="5" t="s">
        <v>314</v>
      </c>
      <c r="C26" s="16">
        <v>1</v>
      </c>
      <c r="D26" s="80">
        <v>18</v>
      </c>
      <c r="E26" s="80">
        <f t="shared" si="0"/>
        <v>18</v>
      </c>
      <c r="F26" s="17">
        <v>27</v>
      </c>
      <c r="G26" s="17">
        <v>0</v>
      </c>
      <c r="H26" s="17">
        <v>3.5</v>
      </c>
      <c r="I26" s="17">
        <v>1</v>
      </c>
      <c r="J26" s="17">
        <v>0.8</v>
      </c>
      <c r="K26" s="17">
        <v>0.6</v>
      </c>
      <c r="L26" s="5" t="s">
        <v>118</v>
      </c>
      <c r="M26" s="5" t="s">
        <v>378</v>
      </c>
      <c r="N26" s="5"/>
      <c r="O26" s="5"/>
      <c r="P26" s="5"/>
      <c r="Q26" s="5" t="s">
        <v>378</v>
      </c>
      <c r="R26" s="5" t="s">
        <v>378</v>
      </c>
      <c r="S26" s="5"/>
      <c r="T26" s="5"/>
      <c r="U26" s="5"/>
      <c r="V26" s="78">
        <f t="shared" si="1"/>
        <v>0.5</v>
      </c>
      <c r="W26" s="5"/>
    </row>
    <row r="27" spans="1:23" x14ac:dyDescent="0.3">
      <c r="A27" s="5">
        <v>19</v>
      </c>
      <c r="B27" s="5" t="s">
        <v>325</v>
      </c>
      <c r="C27" s="16">
        <v>1</v>
      </c>
      <c r="D27" s="80">
        <v>18</v>
      </c>
      <c r="E27" s="80">
        <f t="shared" si="0"/>
        <v>18</v>
      </c>
      <c r="F27" s="17">
        <v>32.5</v>
      </c>
      <c r="G27" s="17">
        <v>3</v>
      </c>
      <c r="H27" s="17">
        <v>3</v>
      </c>
      <c r="I27" s="17">
        <v>1</v>
      </c>
      <c r="J27" s="17">
        <v>1.8</v>
      </c>
      <c r="K27" s="17">
        <v>1.8</v>
      </c>
      <c r="L27" s="5" t="s">
        <v>118</v>
      </c>
      <c r="M27" s="5" t="s">
        <v>378</v>
      </c>
      <c r="N27" s="5"/>
      <c r="O27" s="5"/>
      <c r="P27" s="5"/>
      <c r="Q27" s="5" t="s">
        <v>378</v>
      </c>
      <c r="R27" s="5" t="s">
        <v>378</v>
      </c>
      <c r="S27" s="5"/>
      <c r="T27" s="5"/>
      <c r="U27" s="5"/>
      <c r="V27" s="78">
        <f t="shared" si="1"/>
        <v>0.5</v>
      </c>
      <c r="W27" s="5"/>
    </row>
    <row r="28" spans="1:23" x14ac:dyDescent="0.3">
      <c r="A28" s="5">
        <v>20</v>
      </c>
      <c r="B28" s="5" t="s">
        <v>326</v>
      </c>
      <c r="C28" s="16">
        <v>1</v>
      </c>
      <c r="D28" s="80">
        <v>18</v>
      </c>
      <c r="E28" s="80">
        <f t="shared" si="0"/>
        <v>18</v>
      </c>
      <c r="F28" s="17">
        <v>32.5</v>
      </c>
      <c r="G28" s="17">
        <v>-3</v>
      </c>
      <c r="H28" s="17">
        <v>3</v>
      </c>
      <c r="I28" s="17">
        <v>1</v>
      </c>
      <c r="J28" s="17">
        <v>1.8</v>
      </c>
      <c r="K28" s="17">
        <v>1.8</v>
      </c>
      <c r="L28" s="5" t="s">
        <v>118</v>
      </c>
      <c r="M28" s="5" t="s">
        <v>378</v>
      </c>
      <c r="N28" s="5"/>
      <c r="O28" s="5"/>
      <c r="P28" s="5"/>
      <c r="Q28" s="5" t="s">
        <v>378</v>
      </c>
      <c r="R28" s="5" t="s">
        <v>378</v>
      </c>
      <c r="S28" s="5"/>
      <c r="T28" s="5"/>
      <c r="U28" s="5"/>
      <c r="V28" s="78">
        <f t="shared" si="1"/>
        <v>0.5</v>
      </c>
      <c r="W28" s="5"/>
    </row>
    <row r="29" spans="1:23" x14ac:dyDescent="0.3">
      <c r="A29" s="5">
        <v>21</v>
      </c>
      <c r="B29" s="5" t="s">
        <v>327</v>
      </c>
      <c r="C29" s="16">
        <v>1</v>
      </c>
      <c r="D29" s="80">
        <v>22</v>
      </c>
      <c r="E29" s="80">
        <f t="shared" si="0"/>
        <v>22</v>
      </c>
      <c r="F29" s="17">
        <v>31</v>
      </c>
      <c r="G29" s="17">
        <v>0</v>
      </c>
      <c r="H29" s="17">
        <v>3</v>
      </c>
      <c r="I29" s="17">
        <v>4</v>
      </c>
      <c r="J29" s="17">
        <v>4</v>
      </c>
      <c r="K29" s="17">
        <v>0.1</v>
      </c>
      <c r="L29" s="5" t="s">
        <v>118</v>
      </c>
      <c r="M29" s="5" t="s">
        <v>378</v>
      </c>
      <c r="N29" s="5"/>
      <c r="O29" s="5"/>
      <c r="P29" s="5"/>
      <c r="Q29" s="5" t="s">
        <v>378</v>
      </c>
      <c r="R29" s="5" t="s">
        <v>378</v>
      </c>
      <c r="S29" s="5"/>
      <c r="T29" s="5"/>
      <c r="U29" s="5"/>
      <c r="V29" s="78">
        <f t="shared" si="1"/>
        <v>0.5</v>
      </c>
      <c r="W29" s="5"/>
    </row>
    <row r="35" spans="1:27" ht="15" thickBot="1" x14ac:dyDescent="0.35">
      <c r="A35" s="28"/>
      <c r="B35" s="28" t="s">
        <v>470</v>
      </c>
      <c r="C35" s="28"/>
      <c r="D35" s="28"/>
      <c r="E35" s="89">
        <f>SUM(E9:E29)</f>
        <v>1440</v>
      </c>
      <c r="F35" s="30">
        <f>IFERROR(SUMPRODUCT(E9:E29,F9:F29)/E35,0)</f>
        <v>28.119444444444444</v>
      </c>
      <c r="G35" s="30">
        <f>IFERROR(SUMPRODUCT(E9:E29,G9:G29)/E35,0)</f>
        <v>0</v>
      </c>
      <c r="H35" s="30">
        <f>IFERROR(SUMPRODUCT(E9:E29,H9:H29)/E35,0)</f>
        <v>3.3843749999999999</v>
      </c>
      <c r="I35" s="89">
        <f>SUMPRODUCT(E9:E29,V9:V29)</f>
        <v>720</v>
      </c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 t="s">
        <v>560</v>
      </c>
      <c r="Y35" s="29">
        <f>SUMIFS(Import!$O:$O,Import!$S:$S,"7100")</f>
        <v>873.02951999999982</v>
      </c>
      <c r="Z35" s="29">
        <f>Y35-E35</f>
        <v>-566.97048000000018</v>
      </c>
      <c r="AA35" s="95">
        <f>IFERROR((Y35-E35)/E35,0)</f>
        <v>-0.39372950000000012</v>
      </c>
    </row>
    <row r="36" spans="1:27" ht="15" thickTop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7" ht="15" thickBot="1" x14ac:dyDescent="0.3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7" ht="16.2" thickTop="1" x14ac:dyDescent="0.3">
      <c r="A40" s="111" t="s">
        <v>471</v>
      </c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4"/>
      <c r="Y40" s="14"/>
      <c r="Z40" s="14"/>
      <c r="AA40" s="14"/>
    </row>
    <row r="41" spans="1:27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85"/>
      <c r="B42" s="20" t="s">
        <v>482</v>
      </c>
      <c r="C42" s="20"/>
      <c r="D42" s="20" t="s">
        <v>351</v>
      </c>
      <c r="E42" s="20" t="s">
        <v>91</v>
      </c>
      <c r="F42" s="20" t="s">
        <v>92</v>
      </c>
      <c r="G42" s="20" t="s">
        <v>93</v>
      </c>
      <c r="H42" s="20" t="s">
        <v>83</v>
      </c>
      <c r="I42" s="20" t="s">
        <v>84</v>
      </c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20"/>
      <c r="Y42" s="20"/>
      <c r="Z42" s="20"/>
      <c r="AA42" s="20"/>
    </row>
    <row r="43" spans="1:27" x14ac:dyDescent="0.3">
      <c r="A43" s="45"/>
      <c r="B43" s="45"/>
      <c r="C43" s="45"/>
      <c r="D43" s="87">
        <f>E56</f>
        <v>75</v>
      </c>
      <c r="E43" s="88">
        <f>F56</f>
        <v>27.84</v>
      </c>
      <c r="F43" s="88">
        <f>G56</f>
        <v>1.6</v>
      </c>
      <c r="G43" s="88">
        <f>H56</f>
        <v>3.2933333333333334</v>
      </c>
      <c r="H43" s="87">
        <f>I56</f>
        <v>37.5</v>
      </c>
      <c r="I43" s="87">
        <f>I56</f>
        <v>37.5</v>
      </c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85"/>
      <c r="Y43" s="85"/>
      <c r="Z43" s="85"/>
      <c r="AA43" s="85"/>
    </row>
    <row r="44" spans="1:27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110" t="s">
        <v>110</v>
      </c>
      <c r="N44" s="110"/>
      <c r="O44" s="110"/>
      <c r="P44" s="110" t="s">
        <v>487</v>
      </c>
      <c r="Q44" s="110"/>
      <c r="R44" s="110" t="s">
        <v>111</v>
      </c>
      <c r="S44" s="110"/>
      <c r="T44" s="110"/>
      <c r="U44" s="110"/>
      <c r="V44" s="5"/>
      <c r="W44" s="5"/>
    </row>
    <row r="45" spans="1:27" x14ac:dyDescent="0.3">
      <c r="A45" s="86" t="s">
        <v>105</v>
      </c>
      <c r="B45" s="86" t="s">
        <v>106</v>
      </c>
      <c r="C45" s="86" t="s">
        <v>2</v>
      </c>
      <c r="D45" s="86" t="s">
        <v>71</v>
      </c>
      <c r="E45" s="86" t="s">
        <v>72</v>
      </c>
      <c r="F45" s="86" t="s">
        <v>91</v>
      </c>
      <c r="G45" s="86" t="s">
        <v>92</v>
      </c>
      <c r="H45" s="86" t="s">
        <v>93</v>
      </c>
      <c r="I45" s="86" t="s">
        <v>107</v>
      </c>
      <c r="J45" s="86" t="s">
        <v>108</v>
      </c>
      <c r="K45" s="86" t="s">
        <v>109</v>
      </c>
      <c r="L45" s="86" t="s">
        <v>94</v>
      </c>
      <c r="M45" s="86" t="s">
        <v>127</v>
      </c>
      <c r="N45" s="86" t="s">
        <v>371</v>
      </c>
      <c r="O45" s="86" t="s">
        <v>171</v>
      </c>
      <c r="P45" s="86" t="s">
        <v>372</v>
      </c>
      <c r="Q45" s="86" t="s">
        <v>128</v>
      </c>
      <c r="R45" s="86" t="s">
        <v>373</v>
      </c>
      <c r="S45" s="86" t="s">
        <v>374</v>
      </c>
      <c r="T45" s="86" t="s">
        <v>375</v>
      </c>
      <c r="U45" s="86" t="s">
        <v>376</v>
      </c>
      <c r="V45" s="86" t="s">
        <v>377</v>
      </c>
      <c r="W45" s="86" t="s">
        <v>3</v>
      </c>
      <c r="X45" s="86" t="s">
        <v>556</v>
      </c>
      <c r="Y45" s="86" t="s">
        <v>557</v>
      </c>
      <c r="Z45" s="86" t="s">
        <v>567</v>
      </c>
      <c r="AA45" s="86" t="s">
        <v>568</v>
      </c>
    </row>
    <row r="46" spans="1:27" x14ac:dyDescent="0.3">
      <c r="A46" s="5">
        <v>1</v>
      </c>
      <c r="B46" s="5" t="s">
        <v>315</v>
      </c>
      <c r="C46" s="16">
        <v>2</v>
      </c>
      <c r="D46" s="80">
        <v>12</v>
      </c>
      <c r="E46" s="80">
        <f>IFERROR(C46*D46,0)</f>
        <v>24</v>
      </c>
      <c r="F46" s="17">
        <v>28</v>
      </c>
      <c r="G46" s="17">
        <v>3</v>
      </c>
      <c r="H46" s="17">
        <v>3.5</v>
      </c>
      <c r="I46" s="17">
        <v>0.6</v>
      </c>
      <c r="J46" s="17">
        <v>0.5</v>
      </c>
      <c r="K46" s="17">
        <v>0.3</v>
      </c>
      <c r="L46" s="5" t="s">
        <v>118</v>
      </c>
      <c r="M46" s="5" t="s">
        <v>378</v>
      </c>
      <c r="N46" s="5"/>
      <c r="O46" s="5"/>
      <c r="P46" s="5"/>
      <c r="Q46" s="5" t="s">
        <v>378</v>
      </c>
      <c r="R46" s="5" t="s">
        <v>378</v>
      </c>
      <c r="S46" s="5"/>
      <c r="T46" s="5"/>
      <c r="U46" s="5"/>
      <c r="V46" s="78">
        <f>IF(UPPER(M46)="X",0.5,IF(UPPER(N46)="X",0.2,IF(UPPER(O46)="X",0.05,0)))</f>
        <v>0.5</v>
      </c>
      <c r="W46" s="5"/>
    </row>
    <row r="47" spans="1:27" x14ac:dyDescent="0.3">
      <c r="A47" s="5">
        <v>2</v>
      </c>
      <c r="B47" s="5" t="s">
        <v>316</v>
      </c>
      <c r="C47" s="16">
        <v>1</v>
      </c>
      <c r="D47" s="80">
        <v>12</v>
      </c>
      <c r="E47" s="80">
        <f>IFERROR(C47*D47,0)</f>
        <v>12</v>
      </c>
      <c r="F47" s="17">
        <v>27</v>
      </c>
      <c r="G47" s="17">
        <v>0</v>
      </c>
      <c r="H47" s="17">
        <v>3.5</v>
      </c>
      <c r="I47" s="17">
        <v>0.6</v>
      </c>
      <c r="J47" s="17">
        <v>0.5</v>
      </c>
      <c r="K47" s="17">
        <v>0.3</v>
      </c>
      <c r="L47" s="5" t="s">
        <v>118</v>
      </c>
      <c r="M47" s="5" t="s">
        <v>378</v>
      </c>
      <c r="N47" s="5"/>
      <c r="O47" s="5"/>
      <c r="P47" s="5"/>
      <c r="Q47" s="5" t="s">
        <v>378</v>
      </c>
      <c r="R47" s="5" t="s">
        <v>378</v>
      </c>
      <c r="S47" s="5"/>
      <c r="T47" s="5"/>
      <c r="U47" s="5"/>
      <c r="V47" s="78">
        <f>IF(UPPER(M47)="X",0.5,IF(UPPER(N47)="X",0.2,IF(UPPER(O47)="X",0.05,0)))</f>
        <v>0.5</v>
      </c>
      <c r="W47" s="5"/>
    </row>
    <row r="48" spans="1:27" x14ac:dyDescent="0.3">
      <c r="A48" s="5">
        <v>3</v>
      </c>
      <c r="B48" s="5" t="s">
        <v>317</v>
      </c>
      <c r="C48" s="16">
        <v>1</v>
      </c>
      <c r="D48" s="80">
        <v>8</v>
      </c>
      <c r="E48" s="80">
        <f>IFERROR(C48*D48,0)</f>
        <v>8</v>
      </c>
      <c r="F48" s="17">
        <v>26</v>
      </c>
      <c r="G48" s="17">
        <v>0</v>
      </c>
      <c r="H48" s="17">
        <v>3.5</v>
      </c>
      <c r="I48" s="17">
        <v>0.5</v>
      </c>
      <c r="J48" s="17">
        <v>0.4</v>
      </c>
      <c r="K48" s="17">
        <v>0.3</v>
      </c>
      <c r="L48" s="5" t="s">
        <v>118</v>
      </c>
      <c r="M48" s="5" t="s">
        <v>378</v>
      </c>
      <c r="N48" s="5"/>
      <c r="O48" s="5"/>
      <c r="P48" s="5"/>
      <c r="Q48" s="5" t="s">
        <v>378</v>
      </c>
      <c r="R48" s="5" t="s">
        <v>378</v>
      </c>
      <c r="S48" s="5"/>
      <c r="T48" s="5"/>
      <c r="U48" s="5"/>
      <c r="V48" s="78">
        <f>IF(UPPER(M48)="X",0.5,IF(UPPER(N48)="X",0.2,IF(UPPER(O48)="X",0.05,0)))</f>
        <v>0.5</v>
      </c>
      <c r="W48" s="5"/>
    </row>
    <row r="49" spans="1:27" x14ac:dyDescent="0.3">
      <c r="A49" s="5">
        <v>4</v>
      </c>
      <c r="B49" s="5" t="s">
        <v>318</v>
      </c>
      <c r="C49" s="16">
        <v>2</v>
      </c>
      <c r="D49" s="80">
        <v>8</v>
      </c>
      <c r="E49" s="80">
        <f>IFERROR(C49*D49,0)</f>
        <v>16</v>
      </c>
      <c r="F49" s="17">
        <v>29</v>
      </c>
      <c r="G49" s="17">
        <v>3</v>
      </c>
      <c r="H49" s="17">
        <v>3</v>
      </c>
      <c r="I49" s="17">
        <v>0.5</v>
      </c>
      <c r="J49" s="17">
        <v>0.4</v>
      </c>
      <c r="K49" s="17">
        <v>0.3</v>
      </c>
      <c r="L49" s="5" t="s">
        <v>118</v>
      </c>
      <c r="M49" s="5" t="s">
        <v>378</v>
      </c>
      <c r="N49" s="5"/>
      <c r="O49" s="5"/>
      <c r="P49" s="5"/>
      <c r="Q49" s="5" t="s">
        <v>378</v>
      </c>
      <c r="R49" s="5" t="s">
        <v>378</v>
      </c>
      <c r="S49" s="5"/>
      <c r="T49" s="5"/>
      <c r="U49" s="5"/>
      <c r="V49" s="78">
        <f>IF(UPPER(M49)="X",0.5,IF(UPPER(N49)="X",0.2,IF(UPPER(O49)="X",0.05,0)))</f>
        <v>0.5</v>
      </c>
      <c r="W49" s="5" t="s">
        <v>319</v>
      </c>
    </row>
    <row r="50" spans="1:27" x14ac:dyDescent="0.3">
      <c r="A50" s="5">
        <v>5</v>
      </c>
      <c r="B50" s="5" t="s">
        <v>320</v>
      </c>
      <c r="C50" s="16">
        <v>1</v>
      </c>
      <c r="D50" s="80">
        <v>15</v>
      </c>
      <c r="E50" s="80">
        <f>IFERROR(C50*D50,0)</f>
        <v>15</v>
      </c>
      <c r="F50" s="17">
        <v>28</v>
      </c>
      <c r="G50" s="17">
        <v>0</v>
      </c>
      <c r="H50" s="17">
        <v>3</v>
      </c>
      <c r="I50" s="17">
        <v>8</v>
      </c>
      <c r="J50" s="17">
        <v>0.2</v>
      </c>
      <c r="K50" s="17">
        <v>0.2</v>
      </c>
      <c r="L50" s="5" t="s">
        <v>118</v>
      </c>
      <c r="M50" s="5" t="s">
        <v>378</v>
      </c>
      <c r="N50" s="5"/>
      <c r="O50" s="5"/>
      <c r="P50" s="5"/>
      <c r="Q50" s="5" t="s">
        <v>378</v>
      </c>
      <c r="R50" s="5" t="s">
        <v>378</v>
      </c>
      <c r="S50" s="5"/>
      <c r="T50" s="5"/>
      <c r="U50" s="5"/>
      <c r="V50" s="78">
        <f>IF(UPPER(M50)="X",0.5,IF(UPPER(N50)="X",0.2,IF(UPPER(O50)="X",0.05,0)))</f>
        <v>0.5</v>
      </c>
      <c r="W50" s="5"/>
    </row>
    <row r="56" spans="1:27" ht="15" thickBot="1" x14ac:dyDescent="0.35">
      <c r="A56" s="28"/>
      <c r="B56" s="28" t="s">
        <v>472</v>
      </c>
      <c r="C56" s="28"/>
      <c r="D56" s="28"/>
      <c r="E56" s="89">
        <f>SUM(E46:E50)</f>
        <v>75</v>
      </c>
      <c r="F56" s="30">
        <f>IFERROR(SUMPRODUCT(E46:E50,F46:F50)/E56,0)</f>
        <v>27.84</v>
      </c>
      <c r="G56" s="30">
        <f>IFERROR(SUMPRODUCT(E46:E50,G46:G50)/E56,0)</f>
        <v>1.6</v>
      </c>
      <c r="H56" s="30">
        <f>IFERROR(SUMPRODUCT(E46:E50,H46:H50)/E56,0)</f>
        <v>3.2933333333333334</v>
      </c>
      <c r="I56" s="89">
        <f>SUMPRODUCT(E46:E50,V46:V50)</f>
        <v>37.5</v>
      </c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 t="s">
        <v>560</v>
      </c>
      <c r="Y56" s="29">
        <f>SUMIFS(Import!$O:$O,Import!$S:$S,"7300")</f>
        <v>0</v>
      </c>
      <c r="Z56" s="29">
        <f>Y56-E56</f>
        <v>-75</v>
      </c>
      <c r="AA56" s="95">
        <f>IFERROR((Y56-E56)/E56,0)</f>
        <v>-1</v>
      </c>
    </row>
    <row r="57" spans="1:27" ht="15" thickTop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7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7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7" ht="15" thickBot="1" x14ac:dyDescent="0.3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7" ht="16.2" thickTop="1" x14ac:dyDescent="0.3">
      <c r="A61" s="111" t="s">
        <v>473</v>
      </c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4"/>
      <c r="Y61" s="14"/>
      <c r="Z61" s="14"/>
      <c r="AA61" s="14"/>
    </row>
    <row r="62" spans="1:27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7" x14ac:dyDescent="0.3">
      <c r="A63" s="85"/>
      <c r="B63" s="20" t="s">
        <v>482</v>
      </c>
      <c r="C63" s="20"/>
      <c r="D63" s="20" t="s">
        <v>351</v>
      </c>
      <c r="E63" s="20" t="s">
        <v>91</v>
      </c>
      <c r="F63" s="20" t="s">
        <v>92</v>
      </c>
      <c r="G63" s="20" t="s">
        <v>93</v>
      </c>
      <c r="H63" s="20" t="s">
        <v>83</v>
      </c>
      <c r="I63" s="20" t="s">
        <v>84</v>
      </c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20"/>
      <c r="Y63" s="20"/>
      <c r="Z63" s="20"/>
      <c r="AA63" s="20"/>
    </row>
    <row r="64" spans="1:27" x14ac:dyDescent="0.3">
      <c r="A64" s="45"/>
      <c r="B64" s="45"/>
      <c r="C64" s="45"/>
      <c r="D64" s="87">
        <f>E75</f>
        <v>62</v>
      </c>
      <c r="E64" s="88">
        <f>F75</f>
        <v>20</v>
      </c>
      <c r="F64" s="88">
        <f>G75</f>
        <v>0</v>
      </c>
      <c r="G64" s="88">
        <f>H75</f>
        <v>3.5806451612903225</v>
      </c>
      <c r="H64" s="87">
        <f>I75</f>
        <v>31</v>
      </c>
      <c r="I64" s="87">
        <f>I75</f>
        <v>31</v>
      </c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85"/>
      <c r="Y64" s="85"/>
      <c r="Z64" s="85"/>
      <c r="AA64" s="85"/>
    </row>
    <row r="65" spans="1:27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110" t="s">
        <v>110</v>
      </c>
      <c r="N65" s="110"/>
      <c r="O65" s="110"/>
      <c r="P65" s="110" t="s">
        <v>487</v>
      </c>
      <c r="Q65" s="110"/>
      <c r="R65" s="110" t="s">
        <v>111</v>
      </c>
      <c r="S65" s="110"/>
      <c r="T65" s="110"/>
      <c r="U65" s="110"/>
      <c r="V65" s="5"/>
      <c r="W65" s="5"/>
    </row>
    <row r="66" spans="1:27" x14ac:dyDescent="0.3">
      <c r="A66" s="86" t="s">
        <v>105</v>
      </c>
      <c r="B66" s="86" t="s">
        <v>106</v>
      </c>
      <c r="C66" s="86" t="s">
        <v>2</v>
      </c>
      <c r="D66" s="86" t="s">
        <v>71</v>
      </c>
      <c r="E66" s="86" t="s">
        <v>72</v>
      </c>
      <c r="F66" s="86" t="s">
        <v>91</v>
      </c>
      <c r="G66" s="86" t="s">
        <v>92</v>
      </c>
      <c r="H66" s="86" t="s">
        <v>93</v>
      </c>
      <c r="I66" s="86" t="s">
        <v>107</v>
      </c>
      <c r="J66" s="86" t="s">
        <v>108</v>
      </c>
      <c r="K66" s="86" t="s">
        <v>109</v>
      </c>
      <c r="L66" s="86" t="s">
        <v>94</v>
      </c>
      <c r="M66" s="86" t="s">
        <v>127</v>
      </c>
      <c r="N66" s="86" t="s">
        <v>371</v>
      </c>
      <c r="O66" s="86" t="s">
        <v>171</v>
      </c>
      <c r="P66" s="86" t="s">
        <v>372</v>
      </c>
      <c r="Q66" s="86" t="s">
        <v>128</v>
      </c>
      <c r="R66" s="86" t="s">
        <v>373</v>
      </c>
      <c r="S66" s="86" t="s">
        <v>374</v>
      </c>
      <c r="T66" s="86" t="s">
        <v>375</v>
      </c>
      <c r="U66" s="86" t="s">
        <v>376</v>
      </c>
      <c r="V66" s="86" t="s">
        <v>377</v>
      </c>
      <c r="W66" s="86" t="s">
        <v>3</v>
      </c>
      <c r="X66" s="86" t="s">
        <v>556</v>
      </c>
      <c r="Y66" s="86" t="s">
        <v>557</v>
      </c>
      <c r="Z66" s="86" t="s">
        <v>567</v>
      </c>
      <c r="AA66" s="86" t="s">
        <v>568</v>
      </c>
    </row>
    <row r="67" spans="1:27" x14ac:dyDescent="0.3">
      <c r="A67" s="5">
        <v>1</v>
      </c>
      <c r="B67" s="5" t="s">
        <v>321</v>
      </c>
      <c r="C67" s="16">
        <v>1</v>
      </c>
      <c r="D67" s="80">
        <v>22</v>
      </c>
      <c r="E67" s="80">
        <f>IFERROR(C67*D67,0)</f>
        <v>22</v>
      </c>
      <c r="F67" s="17">
        <v>20</v>
      </c>
      <c r="G67" s="17">
        <v>3</v>
      </c>
      <c r="H67" s="17">
        <v>3</v>
      </c>
      <c r="I67" s="17">
        <v>1</v>
      </c>
      <c r="J67" s="17">
        <v>1.8</v>
      </c>
      <c r="K67" s="17">
        <v>1.8</v>
      </c>
      <c r="L67" s="5" t="s">
        <v>118</v>
      </c>
      <c r="M67" s="5" t="s">
        <v>378</v>
      </c>
      <c r="N67" s="5"/>
      <c r="O67" s="5"/>
      <c r="P67" s="5"/>
      <c r="Q67" s="5" t="s">
        <v>378</v>
      </c>
      <c r="R67" s="5" t="s">
        <v>378</v>
      </c>
      <c r="S67" s="5"/>
      <c r="T67" s="5"/>
      <c r="U67" s="5"/>
      <c r="V67" s="78">
        <f>IF(UPPER(M67)="X",0.5,IF(UPPER(N67)="X",0.2,IF(UPPER(O67)="X",0.05,0)))</f>
        <v>0.5</v>
      </c>
      <c r="W67" s="5"/>
    </row>
    <row r="68" spans="1:27" x14ac:dyDescent="0.3">
      <c r="A68" s="5">
        <v>2</v>
      </c>
      <c r="B68" s="5" t="s">
        <v>322</v>
      </c>
      <c r="C68" s="16">
        <v>1</v>
      </c>
      <c r="D68" s="80">
        <v>22</v>
      </c>
      <c r="E68" s="80">
        <f>IFERROR(C68*D68,0)</f>
        <v>22</v>
      </c>
      <c r="F68" s="17">
        <v>20</v>
      </c>
      <c r="G68" s="17">
        <v>-3</v>
      </c>
      <c r="H68" s="17">
        <v>3</v>
      </c>
      <c r="I68" s="17">
        <v>1</v>
      </c>
      <c r="J68" s="17">
        <v>1.8</v>
      </c>
      <c r="K68" s="17">
        <v>1.8</v>
      </c>
      <c r="L68" s="5" t="s">
        <v>118</v>
      </c>
      <c r="M68" s="5" t="s">
        <v>378</v>
      </c>
      <c r="N68" s="5"/>
      <c r="O68" s="5"/>
      <c r="P68" s="5"/>
      <c r="Q68" s="5" t="s">
        <v>378</v>
      </c>
      <c r="R68" s="5" t="s">
        <v>378</v>
      </c>
      <c r="S68" s="5"/>
      <c r="T68" s="5"/>
      <c r="U68" s="5"/>
      <c r="V68" s="78">
        <f>IF(UPPER(M68)="X",0.5,IF(UPPER(N68)="X",0.2,IF(UPPER(O68)="X",0.05,0)))</f>
        <v>0.5</v>
      </c>
      <c r="W68" s="5"/>
    </row>
    <row r="69" spans="1:27" x14ac:dyDescent="0.3">
      <c r="A69" s="5">
        <v>3</v>
      </c>
      <c r="B69" s="5" t="s">
        <v>323</v>
      </c>
      <c r="C69" s="16">
        <v>1</v>
      </c>
      <c r="D69" s="80">
        <v>18</v>
      </c>
      <c r="E69" s="80">
        <f>IFERROR(C69*D69,0)</f>
        <v>18</v>
      </c>
      <c r="F69" s="17">
        <v>20</v>
      </c>
      <c r="G69" s="17">
        <v>0</v>
      </c>
      <c r="H69" s="17">
        <v>5</v>
      </c>
      <c r="I69" s="17">
        <v>1</v>
      </c>
      <c r="J69" s="17">
        <v>1.5</v>
      </c>
      <c r="K69" s="17">
        <v>1.5</v>
      </c>
      <c r="L69" s="5" t="s">
        <v>118</v>
      </c>
      <c r="M69" s="5" t="s">
        <v>378</v>
      </c>
      <c r="N69" s="5"/>
      <c r="O69" s="5"/>
      <c r="P69" s="5"/>
      <c r="Q69" s="5" t="s">
        <v>378</v>
      </c>
      <c r="R69" s="5" t="s">
        <v>378</v>
      </c>
      <c r="S69" s="5"/>
      <c r="T69" s="5"/>
      <c r="U69" s="5"/>
      <c r="V69" s="78">
        <f>IF(UPPER(M69)="X",0.5,IF(UPPER(N69)="X",0.2,IF(UPPER(O69)="X",0.05,0)))</f>
        <v>0.5</v>
      </c>
      <c r="W69" s="5" t="s">
        <v>324</v>
      </c>
    </row>
    <row r="75" spans="1:27" ht="15" thickBot="1" x14ac:dyDescent="0.35">
      <c r="A75" s="28"/>
      <c r="B75" s="28" t="s">
        <v>474</v>
      </c>
      <c r="C75" s="28"/>
      <c r="D75" s="28"/>
      <c r="E75" s="89">
        <f>SUM(E67:E69)</f>
        <v>62</v>
      </c>
      <c r="F75" s="30">
        <f>IFERROR(SUMPRODUCT(E67:E69,F67:F69)/E75,0)</f>
        <v>20</v>
      </c>
      <c r="G75" s="30">
        <f>IFERROR(SUMPRODUCT(E67:E69,G67:G69)/E75,0)</f>
        <v>0</v>
      </c>
      <c r="H75" s="30">
        <f>IFERROR(SUMPRODUCT(E67:E69,H67:H69)/E75,0)</f>
        <v>3.5806451612903225</v>
      </c>
      <c r="I75" s="89">
        <f>SUMPRODUCT(E67:E69,V67:V69)</f>
        <v>31</v>
      </c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 t="s">
        <v>560</v>
      </c>
      <c r="Y75" s="29">
        <f>SUMIFS(Import!$O:$O,Import!$S:$S,"7500")</f>
        <v>0</v>
      </c>
      <c r="Z75" s="29">
        <f>Y75-E75</f>
        <v>-62</v>
      </c>
      <c r="AA75" s="95">
        <f>IFERROR((Y75-E75)/E75,0)</f>
        <v>-1</v>
      </c>
    </row>
    <row r="76" spans="1:27" ht="15" thickTop="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7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7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7" ht="15" thickBot="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7" ht="16.2" thickTop="1" x14ac:dyDescent="0.3">
      <c r="A80" s="111" t="s">
        <v>475</v>
      </c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4"/>
      <c r="Y80" s="14"/>
      <c r="Z80" s="14"/>
      <c r="AA80" s="14"/>
    </row>
    <row r="81" spans="1:27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7" x14ac:dyDescent="0.3">
      <c r="A82" s="85"/>
      <c r="B82" s="20" t="s">
        <v>482</v>
      </c>
      <c r="C82" s="20"/>
      <c r="D82" s="20" t="s">
        <v>351</v>
      </c>
      <c r="E82" s="20" t="s">
        <v>91</v>
      </c>
      <c r="F82" s="20" t="s">
        <v>92</v>
      </c>
      <c r="G82" s="20" t="s">
        <v>93</v>
      </c>
      <c r="H82" s="20" t="s">
        <v>83</v>
      </c>
      <c r="I82" s="20" t="s">
        <v>84</v>
      </c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20"/>
      <c r="Y82" s="20"/>
      <c r="Z82" s="20"/>
      <c r="AA82" s="20"/>
    </row>
    <row r="83" spans="1:27" x14ac:dyDescent="0.3">
      <c r="A83" s="45"/>
      <c r="B83" s="45"/>
      <c r="C83" s="45"/>
      <c r="D83" s="87">
        <f>E94</f>
        <v>26</v>
      </c>
      <c r="E83" s="88">
        <f>F94</f>
        <v>27.923076923076923</v>
      </c>
      <c r="F83" s="88">
        <f>G94</f>
        <v>0.92307692307692313</v>
      </c>
      <c r="G83" s="88">
        <f>H94</f>
        <v>3.3461538461538463</v>
      </c>
      <c r="H83" s="87">
        <f>I94</f>
        <v>13</v>
      </c>
      <c r="I83" s="87">
        <f>I94</f>
        <v>13</v>
      </c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85"/>
      <c r="Y83" s="85"/>
      <c r="Z83" s="85"/>
      <c r="AA83" s="85"/>
    </row>
    <row r="84" spans="1:27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110" t="s">
        <v>110</v>
      </c>
      <c r="N84" s="110"/>
      <c r="O84" s="110"/>
      <c r="P84" s="110" t="s">
        <v>487</v>
      </c>
      <c r="Q84" s="110"/>
      <c r="R84" s="110" t="s">
        <v>111</v>
      </c>
      <c r="S84" s="110"/>
      <c r="T84" s="110"/>
      <c r="U84" s="110"/>
      <c r="V84" s="5"/>
      <c r="W84" s="5"/>
    </row>
    <row r="85" spans="1:27" x14ac:dyDescent="0.3">
      <c r="A85" s="86" t="s">
        <v>105</v>
      </c>
      <c r="B85" s="86" t="s">
        <v>106</v>
      </c>
      <c r="C85" s="86" t="s">
        <v>2</v>
      </c>
      <c r="D85" s="86" t="s">
        <v>71</v>
      </c>
      <c r="E85" s="86" t="s">
        <v>72</v>
      </c>
      <c r="F85" s="86" t="s">
        <v>91</v>
      </c>
      <c r="G85" s="86" t="s">
        <v>92</v>
      </c>
      <c r="H85" s="86" t="s">
        <v>93</v>
      </c>
      <c r="I85" s="86" t="s">
        <v>107</v>
      </c>
      <c r="J85" s="86" t="s">
        <v>108</v>
      </c>
      <c r="K85" s="86" t="s">
        <v>109</v>
      </c>
      <c r="L85" s="86" t="s">
        <v>94</v>
      </c>
      <c r="M85" s="86" t="s">
        <v>127</v>
      </c>
      <c r="N85" s="86" t="s">
        <v>371</v>
      </c>
      <c r="O85" s="86" t="s">
        <v>171</v>
      </c>
      <c r="P85" s="86" t="s">
        <v>372</v>
      </c>
      <c r="Q85" s="86" t="s">
        <v>128</v>
      </c>
      <c r="R85" s="86" t="s">
        <v>373</v>
      </c>
      <c r="S85" s="86" t="s">
        <v>374</v>
      </c>
      <c r="T85" s="86" t="s">
        <v>375</v>
      </c>
      <c r="U85" s="86" t="s">
        <v>376</v>
      </c>
      <c r="V85" s="86" t="s">
        <v>377</v>
      </c>
      <c r="W85" s="86" t="s">
        <v>3</v>
      </c>
      <c r="X85" s="86" t="s">
        <v>556</v>
      </c>
      <c r="Y85" s="86" t="s">
        <v>557</v>
      </c>
      <c r="Z85" s="86" t="s">
        <v>567</v>
      </c>
      <c r="AA85" s="86" t="s">
        <v>568</v>
      </c>
    </row>
    <row r="86" spans="1:27" x14ac:dyDescent="0.3">
      <c r="A86" s="5">
        <v>1</v>
      </c>
      <c r="B86" s="5" t="s">
        <v>328</v>
      </c>
      <c r="C86" s="16">
        <v>1</v>
      </c>
      <c r="D86" s="80">
        <v>14</v>
      </c>
      <c r="E86" s="80">
        <f>IFERROR(C86*D86,0)</f>
        <v>14</v>
      </c>
      <c r="F86" s="17">
        <v>27</v>
      </c>
      <c r="G86" s="17">
        <v>0</v>
      </c>
      <c r="H86" s="17">
        <v>3.5</v>
      </c>
      <c r="I86" s="17">
        <v>0.7</v>
      </c>
      <c r="J86" s="17">
        <v>0.5</v>
      </c>
      <c r="K86" s="17">
        <v>0.5</v>
      </c>
      <c r="L86" s="5" t="s">
        <v>118</v>
      </c>
      <c r="M86" s="5" t="s">
        <v>378</v>
      </c>
      <c r="N86" s="5"/>
      <c r="O86" s="5"/>
      <c r="P86" s="5"/>
      <c r="Q86" s="5" t="s">
        <v>378</v>
      </c>
      <c r="R86" s="5" t="s">
        <v>378</v>
      </c>
      <c r="S86" s="5"/>
      <c r="T86" s="5"/>
      <c r="U86" s="5"/>
      <c r="V86" s="78">
        <f>IF(UPPER(M86)="X",0.5,IF(UPPER(N86)="X",0.2,IF(UPPER(O86)="X",0.05,0)))</f>
        <v>0.5</v>
      </c>
      <c r="W86" s="5" t="s">
        <v>329</v>
      </c>
    </row>
    <row r="87" spans="1:27" x14ac:dyDescent="0.3">
      <c r="A87" s="5">
        <v>2</v>
      </c>
      <c r="B87" s="5" t="s">
        <v>330</v>
      </c>
      <c r="C87" s="16">
        <v>1</v>
      </c>
      <c r="D87" s="80">
        <v>4</v>
      </c>
      <c r="E87" s="80">
        <f>IFERROR(C87*D87,0)</f>
        <v>4</v>
      </c>
      <c r="F87" s="17">
        <v>27</v>
      </c>
      <c r="G87" s="17">
        <v>0</v>
      </c>
      <c r="H87" s="17">
        <v>3.5</v>
      </c>
      <c r="I87" s="17">
        <v>0.4</v>
      </c>
      <c r="J87" s="17">
        <v>0.3</v>
      </c>
      <c r="K87" s="17">
        <v>0.2</v>
      </c>
      <c r="L87" s="5" t="s">
        <v>118</v>
      </c>
      <c r="M87" s="5" t="s">
        <v>378</v>
      </c>
      <c r="N87" s="5"/>
      <c r="O87" s="5"/>
      <c r="P87" s="5"/>
      <c r="Q87" s="5" t="s">
        <v>378</v>
      </c>
      <c r="R87" s="5" t="s">
        <v>378</v>
      </c>
      <c r="S87" s="5"/>
      <c r="T87" s="5"/>
      <c r="U87" s="5"/>
      <c r="V87" s="78">
        <f>IF(UPPER(M87)="X",0.5,IF(UPPER(N87)="X",0.2,IF(UPPER(O87)="X",0.05,0)))</f>
        <v>0.5</v>
      </c>
      <c r="W87" s="5"/>
    </row>
    <row r="88" spans="1:27" x14ac:dyDescent="0.3">
      <c r="A88" s="5">
        <v>3</v>
      </c>
      <c r="B88" s="5" t="s">
        <v>331</v>
      </c>
      <c r="C88" s="16">
        <v>2</v>
      </c>
      <c r="D88" s="80">
        <v>4</v>
      </c>
      <c r="E88" s="80">
        <f>IFERROR(C88*D88,0)</f>
        <v>8</v>
      </c>
      <c r="F88" s="17">
        <v>30</v>
      </c>
      <c r="G88" s="17">
        <v>3</v>
      </c>
      <c r="H88" s="17">
        <v>3</v>
      </c>
      <c r="I88" s="17">
        <v>0.4</v>
      </c>
      <c r="J88" s="17">
        <v>0.3</v>
      </c>
      <c r="K88" s="17">
        <v>0.2</v>
      </c>
      <c r="L88" s="5" t="s">
        <v>118</v>
      </c>
      <c r="M88" s="5" t="s">
        <v>378</v>
      </c>
      <c r="N88" s="5"/>
      <c r="O88" s="5"/>
      <c r="P88" s="5"/>
      <c r="Q88" s="5" t="s">
        <v>378</v>
      </c>
      <c r="R88" s="5" t="s">
        <v>378</v>
      </c>
      <c r="S88" s="5"/>
      <c r="T88" s="5"/>
      <c r="U88" s="5"/>
      <c r="V88" s="78">
        <f>IF(UPPER(M88)="X",0.5,IF(UPPER(N88)="X",0.2,IF(UPPER(O88)="X",0.05,0)))</f>
        <v>0.5</v>
      </c>
      <c r="W88" s="5" t="s">
        <v>319</v>
      </c>
    </row>
    <row r="94" spans="1:27" ht="15" thickBot="1" x14ac:dyDescent="0.35">
      <c r="A94" s="28"/>
      <c r="B94" s="28" t="s">
        <v>476</v>
      </c>
      <c r="C94" s="28"/>
      <c r="D94" s="28"/>
      <c r="E94" s="89">
        <f>SUM(E86:E88)</f>
        <v>26</v>
      </c>
      <c r="F94" s="30">
        <f>IFERROR(SUMPRODUCT(E86:E88,F86:F88)/E94,0)</f>
        <v>27.923076923076923</v>
      </c>
      <c r="G94" s="30">
        <f>IFERROR(SUMPRODUCT(E86:E88,G86:G88)/E94,0)</f>
        <v>0.92307692307692313</v>
      </c>
      <c r="H94" s="30">
        <f>IFERROR(SUMPRODUCT(E86:E88,H86:H88)/E94,0)</f>
        <v>3.3461538461538463</v>
      </c>
      <c r="I94" s="89">
        <f>SUMPRODUCT(E86:E88,V86:V88)</f>
        <v>13</v>
      </c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 t="s">
        <v>560</v>
      </c>
      <c r="Y94" s="29">
        <f>SUMIFS(Import!$O:$O,Import!$S:$S,"8000")</f>
        <v>0</v>
      </c>
      <c r="Z94" s="29">
        <f>Y94-E94</f>
        <v>-26</v>
      </c>
      <c r="AA94" s="95">
        <f>IFERROR((Y94-E94)/E94,0)</f>
        <v>-1</v>
      </c>
    </row>
    <row r="95" spans="1:27" ht="15" thickTop="1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</sheetData>
  <mergeCells count="17">
    <mergeCell ref="A1:W1"/>
    <mergeCell ref="A3:W3"/>
    <mergeCell ref="A40:W40"/>
    <mergeCell ref="A61:W61"/>
    <mergeCell ref="A80:W80"/>
    <mergeCell ref="M7:O7"/>
    <mergeCell ref="P7:Q7"/>
    <mergeCell ref="R7:U7"/>
    <mergeCell ref="M44:O44"/>
    <mergeCell ref="P44:Q44"/>
    <mergeCell ref="R44:U44"/>
    <mergeCell ref="M65:O65"/>
    <mergeCell ref="P65:Q65"/>
    <mergeCell ref="R65:U65"/>
    <mergeCell ref="M84:O84"/>
    <mergeCell ref="P84:Q84"/>
    <mergeCell ref="R84:U84"/>
  </mergeCells>
  <conditionalFormatting sqref="AA35">
    <cfRule type="cellIs" dxfId="5" priority="1" operator="notBetween">
      <formula>0.05</formula>
      <formula>-0.05</formula>
    </cfRule>
  </conditionalFormatting>
  <conditionalFormatting sqref="AA56">
    <cfRule type="cellIs" dxfId="4" priority="2" operator="notBetween">
      <formula>0.05</formula>
      <formula>-0.05</formula>
    </cfRule>
  </conditionalFormatting>
  <conditionalFormatting sqref="AA75">
    <cfRule type="cellIs" dxfId="3" priority="3" operator="notBetween">
      <formula>0.05</formula>
      <formula>-0.05</formula>
    </cfRule>
  </conditionalFormatting>
  <conditionalFormatting sqref="AA94">
    <cfRule type="cellIs" dxfId="2" priority="4" operator="notBetween">
      <formula>0.05</formula>
      <formula>-0.05</formula>
    </cfRule>
  </conditionalFormatting>
  <dataValidations count="1">
    <dataValidation type="list" allowBlank="1" showInputMessage="1" showErrorMessage="1" sqref="X35 X56 X75 X94" xr:uid="{7A2F0C56-010A-4218-9CAA-416DEFB0490B}">
      <formula1>"Bottom-up,MDO"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4120-F787-4EEA-B519-8CCFFBB39B34}">
  <sheetPr codeName="Sheet51"/>
  <dimension ref="A1:AA42"/>
  <sheetViews>
    <sheetView workbookViewId="0">
      <selection activeCell="K23" sqref="K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3" t="s">
        <v>346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11" t="s">
        <v>477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482</v>
      </c>
      <c r="C5" s="20"/>
      <c r="D5" s="20" t="s">
        <v>351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E21</f>
        <v>695</v>
      </c>
      <c r="E6" s="88">
        <f>F21</f>
        <v>14.03956834532374</v>
      </c>
      <c r="F6" s="88">
        <f>G21</f>
        <v>0.63669064748201443</v>
      </c>
      <c r="G6" s="88">
        <f>H21</f>
        <v>3.0949640287769786</v>
      </c>
      <c r="H6" s="87">
        <f>I21</f>
        <v>259</v>
      </c>
      <c r="I6" s="87">
        <f>I21</f>
        <v>259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487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371</v>
      </c>
      <c r="O8" s="86" t="s">
        <v>171</v>
      </c>
      <c r="P8" s="86" t="s">
        <v>372</v>
      </c>
      <c r="Q8" s="86" t="s">
        <v>128</v>
      </c>
      <c r="R8" s="86" t="s">
        <v>373</v>
      </c>
      <c r="S8" s="86" t="s">
        <v>374</v>
      </c>
      <c r="T8" s="86" t="s">
        <v>375</v>
      </c>
      <c r="U8" s="86" t="s">
        <v>376</v>
      </c>
      <c r="V8" s="86" t="s">
        <v>377</v>
      </c>
      <c r="W8" s="86" t="s">
        <v>3</v>
      </c>
      <c r="X8" s="86" t="s">
        <v>556</v>
      </c>
      <c r="Y8" s="86" t="s">
        <v>557</v>
      </c>
      <c r="Z8" s="86" t="s">
        <v>567</v>
      </c>
      <c r="AA8" s="86" t="s">
        <v>568</v>
      </c>
    </row>
    <row r="9" spans="1:27" x14ac:dyDescent="0.3">
      <c r="A9" s="5">
        <v>1</v>
      </c>
      <c r="B9" s="5" t="s">
        <v>155</v>
      </c>
      <c r="C9" s="16">
        <v>1</v>
      </c>
      <c r="D9" s="80">
        <v>45</v>
      </c>
      <c r="E9" s="80">
        <f t="shared" ref="E9:E15" si="0">IFERROR(C9*D9,0)</f>
        <v>45</v>
      </c>
      <c r="F9" s="17">
        <v>5</v>
      </c>
      <c r="G9" s="17">
        <v>0</v>
      </c>
      <c r="H9" s="17">
        <v>3</v>
      </c>
      <c r="I9" s="17">
        <v>3</v>
      </c>
      <c r="J9" s="17">
        <v>2</v>
      </c>
      <c r="K9" s="17">
        <v>4</v>
      </c>
      <c r="L9" s="5" t="s">
        <v>114</v>
      </c>
      <c r="M9" s="5"/>
      <c r="N9" s="5" t="s">
        <v>378</v>
      </c>
      <c r="O9" s="5"/>
      <c r="P9" s="5"/>
      <c r="Q9" s="5" t="s">
        <v>378</v>
      </c>
      <c r="R9" s="5"/>
      <c r="S9" s="5" t="s">
        <v>378</v>
      </c>
      <c r="T9" s="5"/>
      <c r="U9" s="5"/>
      <c r="V9" s="78">
        <f t="shared" ref="V9:V15" si="1">IF(UPPER(M9)="X",0.5,IF(UPPER(N9)="X",0.2,IF(UPPER(O9)="X",0.05,0)))</f>
        <v>0.2</v>
      </c>
      <c r="W9" s="5"/>
    </row>
    <row r="10" spans="1:27" x14ac:dyDescent="0.3">
      <c r="A10" s="5">
        <v>2</v>
      </c>
      <c r="B10" s="5" t="s">
        <v>156</v>
      </c>
      <c r="C10" s="16">
        <v>4</v>
      </c>
      <c r="D10" s="80">
        <v>50</v>
      </c>
      <c r="E10" s="80">
        <f t="shared" si="0"/>
        <v>200</v>
      </c>
      <c r="F10" s="17">
        <v>14</v>
      </c>
      <c r="G10" s="17">
        <v>1.8</v>
      </c>
      <c r="H10" s="17">
        <v>3</v>
      </c>
      <c r="I10" s="17">
        <v>3</v>
      </c>
      <c r="J10" s="17">
        <v>2</v>
      </c>
      <c r="K10" s="17">
        <v>4</v>
      </c>
      <c r="L10" s="5" t="s">
        <v>114</v>
      </c>
      <c r="M10" s="5"/>
      <c r="N10" s="5" t="s">
        <v>378</v>
      </c>
      <c r="O10" s="5"/>
      <c r="P10" s="5"/>
      <c r="Q10" s="5" t="s">
        <v>378</v>
      </c>
      <c r="R10" s="5"/>
      <c r="S10" s="5" t="s">
        <v>378</v>
      </c>
      <c r="T10" s="5"/>
      <c r="U10" s="5"/>
      <c r="V10" s="78">
        <f t="shared" si="1"/>
        <v>0.2</v>
      </c>
      <c r="W10" s="5" t="s">
        <v>157</v>
      </c>
    </row>
    <row r="11" spans="1:27" x14ac:dyDescent="0.3">
      <c r="A11" s="5">
        <v>3</v>
      </c>
      <c r="B11" s="5" t="s">
        <v>158</v>
      </c>
      <c r="C11" s="16">
        <v>1</v>
      </c>
      <c r="D11" s="80">
        <v>50</v>
      </c>
      <c r="E11" s="80">
        <f t="shared" si="0"/>
        <v>50</v>
      </c>
      <c r="F11" s="17">
        <v>20</v>
      </c>
      <c r="G11" s="17">
        <v>0</v>
      </c>
      <c r="H11" s="17">
        <v>3</v>
      </c>
      <c r="I11" s="17">
        <v>3</v>
      </c>
      <c r="J11" s="17">
        <v>2</v>
      </c>
      <c r="K11" s="17">
        <v>4</v>
      </c>
      <c r="L11" s="5" t="s">
        <v>114</v>
      </c>
      <c r="M11" s="5"/>
      <c r="N11" s="5" t="s">
        <v>378</v>
      </c>
      <c r="O11" s="5"/>
      <c r="P11" s="5"/>
      <c r="Q11" s="5" t="s">
        <v>378</v>
      </c>
      <c r="R11" s="5"/>
      <c r="S11" s="5" t="s">
        <v>378</v>
      </c>
      <c r="T11" s="5"/>
      <c r="U11" s="5"/>
      <c r="V11" s="78">
        <f t="shared" si="1"/>
        <v>0.2</v>
      </c>
      <c r="W11" s="5"/>
    </row>
    <row r="12" spans="1:27" x14ac:dyDescent="0.3">
      <c r="A12" s="5">
        <v>4</v>
      </c>
      <c r="B12" s="5" t="s">
        <v>159</v>
      </c>
      <c r="C12" s="16">
        <v>1</v>
      </c>
      <c r="D12" s="80">
        <v>180</v>
      </c>
      <c r="E12" s="80">
        <f t="shared" si="0"/>
        <v>180</v>
      </c>
      <c r="F12" s="17">
        <v>14</v>
      </c>
      <c r="G12" s="17">
        <v>0</v>
      </c>
      <c r="H12" s="17">
        <v>4</v>
      </c>
      <c r="I12" s="17">
        <v>18</v>
      </c>
      <c r="J12" s="17">
        <v>5</v>
      </c>
      <c r="K12" s="17">
        <v>1</v>
      </c>
      <c r="L12" s="5" t="s">
        <v>114</v>
      </c>
      <c r="M12" s="5" t="s">
        <v>378</v>
      </c>
      <c r="N12" s="5"/>
      <c r="O12" s="5"/>
      <c r="P12" s="5"/>
      <c r="Q12" s="5" t="s">
        <v>378</v>
      </c>
      <c r="R12" s="5" t="s">
        <v>378</v>
      </c>
      <c r="S12" s="5"/>
      <c r="T12" s="5"/>
      <c r="U12" s="5"/>
      <c r="V12" s="78">
        <f t="shared" si="1"/>
        <v>0.5</v>
      </c>
      <c r="W12" s="5"/>
    </row>
    <row r="13" spans="1:27" x14ac:dyDescent="0.3">
      <c r="A13" s="5">
        <v>5</v>
      </c>
      <c r="B13" s="5" t="s">
        <v>160</v>
      </c>
      <c r="C13" s="16">
        <v>1</v>
      </c>
      <c r="D13" s="80">
        <v>95</v>
      </c>
      <c r="E13" s="80">
        <f t="shared" si="0"/>
        <v>95</v>
      </c>
      <c r="F13" s="17">
        <v>14</v>
      </c>
      <c r="G13" s="17">
        <v>0</v>
      </c>
      <c r="H13" s="17">
        <v>1.8</v>
      </c>
      <c r="I13" s="17">
        <v>18</v>
      </c>
      <c r="J13" s="17">
        <v>5</v>
      </c>
      <c r="K13" s="17">
        <v>0.2</v>
      </c>
      <c r="L13" s="5" t="s">
        <v>114</v>
      </c>
      <c r="M13" s="5" t="s">
        <v>378</v>
      </c>
      <c r="N13" s="5"/>
      <c r="O13" s="5"/>
      <c r="P13" s="5"/>
      <c r="Q13" s="5" t="s">
        <v>378</v>
      </c>
      <c r="R13" s="5" t="s">
        <v>378</v>
      </c>
      <c r="S13" s="5"/>
      <c r="T13" s="5"/>
      <c r="U13" s="5"/>
      <c r="V13" s="78">
        <f t="shared" si="1"/>
        <v>0.5</v>
      </c>
      <c r="W13" s="5"/>
    </row>
    <row r="14" spans="1:27" x14ac:dyDescent="0.3">
      <c r="A14" s="5">
        <v>6</v>
      </c>
      <c r="B14" s="5" t="s">
        <v>161</v>
      </c>
      <c r="C14" s="16">
        <v>1</v>
      </c>
      <c r="D14" s="80">
        <v>70</v>
      </c>
      <c r="E14" s="80">
        <f t="shared" si="0"/>
        <v>70</v>
      </c>
      <c r="F14" s="17">
        <v>21</v>
      </c>
      <c r="G14" s="17">
        <v>0</v>
      </c>
      <c r="H14" s="17">
        <v>3</v>
      </c>
      <c r="I14" s="17">
        <v>3</v>
      </c>
      <c r="J14" s="17">
        <v>2.5</v>
      </c>
      <c r="K14" s="17">
        <v>5</v>
      </c>
      <c r="L14" s="5" t="s">
        <v>114</v>
      </c>
      <c r="M14" s="5" t="s">
        <v>378</v>
      </c>
      <c r="N14" s="5"/>
      <c r="O14" s="5"/>
      <c r="P14" s="5"/>
      <c r="Q14" s="5" t="s">
        <v>378</v>
      </c>
      <c r="R14" s="5" t="s">
        <v>378</v>
      </c>
      <c r="S14" s="5"/>
      <c r="T14" s="5"/>
      <c r="U14" s="5"/>
      <c r="V14" s="78">
        <f t="shared" si="1"/>
        <v>0.5</v>
      </c>
      <c r="W14" s="5" t="s">
        <v>162</v>
      </c>
    </row>
    <row r="15" spans="1:27" x14ac:dyDescent="0.3">
      <c r="A15" s="5">
        <v>7</v>
      </c>
      <c r="B15" s="5" t="s">
        <v>163</v>
      </c>
      <c r="C15" s="16">
        <v>1</v>
      </c>
      <c r="D15" s="80">
        <v>55</v>
      </c>
      <c r="E15" s="80">
        <f t="shared" si="0"/>
        <v>55</v>
      </c>
      <c r="F15" s="17">
        <v>7.5</v>
      </c>
      <c r="G15" s="17">
        <v>1.5</v>
      </c>
      <c r="H15" s="17">
        <v>3</v>
      </c>
      <c r="I15" s="17">
        <v>2</v>
      </c>
      <c r="J15" s="17">
        <v>1.5</v>
      </c>
      <c r="K15" s="17">
        <v>4</v>
      </c>
      <c r="L15" s="5" t="s">
        <v>114</v>
      </c>
      <c r="M15" s="5" t="s">
        <v>378</v>
      </c>
      <c r="N15" s="5"/>
      <c r="O15" s="5"/>
      <c r="P15" s="5"/>
      <c r="Q15" s="5" t="s">
        <v>378</v>
      </c>
      <c r="R15" s="5" t="s">
        <v>378</v>
      </c>
      <c r="S15" s="5"/>
      <c r="T15" s="5"/>
      <c r="U15" s="5"/>
      <c r="V15" s="78">
        <f t="shared" si="1"/>
        <v>0.5</v>
      </c>
      <c r="W15" s="5"/>
    </row>
    <row r="21" spans="1:27" ht="15" thickBot="1" x14ac:dyDescent="0.35">
      <c r="A21" s="28"/>
      <c r="B21" s="28" t="s">
        <v>478</v>
      </c>
      <c r="C21" s="28"/>
      <c r="D21" s="28"/>
      <c r="E21" s="89">
        <f>SUM(E9:E15)</f>
        <v>695</v>
      </c>
      <c r="F21" s="30">
        <f>IFERROR(SUMPRODUCT(E9:E15,F9:F15)/E21,0)</f>
        <v>14.03956834532374</v>
      </c>
      <c r="G21" s="30">
        <f>IFERROR(SUMPRODUCT(E9:E15,G9:G15)/E21,0)</f>
        <v>0.63669064748201443</v>
      </c>
      <c r="H21" s="30">
        <f>IFERROR(SUMPRODUCT(E9:E15,H9:H15)/E21,0)</f>
        <v>3.0949640287769786</v>
      </c>
      <c r="I21" s="89">
        <f>SUMPRODUCT(E9:E15,V9:V15)</f>
        <v>259</v>
      </c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 t="s">
        <v>560</v>
      </c>
      <c r="Y21" s="29">
        <f>SUMIFS(Import!$O:$O,Import!$S:$S,"2500")</f>
        <v>217.59974121906944</v>
      </c>
      <c r="Z21" s="29">
        <f>Y21-E21</f>
        <v>-477.40025878093059</v>
      </c>
      <c r="AA21" s="95">
        <f>IFERROR((Y21-E21)/E21,0)</f>
        <v>-0.68690684716680661</v>
      </c>
    </row>
    <row r="22" spans="1:2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7" ht="15" thickBot="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7" ht="16.2" thickTop="1" x14ac:dyDescent="0.3">
      <c r="A26" s="111" t="s">
        <v>479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4"/>
      <c r="Y26" s="14"/>
      <c r="Z26" s="14"/>
      <c r="AA26" s="14"/>
    </row>
    <row r="27" spans="1:2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7" x14ac:dyDescent="0.3">
      <c r="A28" s="85"/>
      <c r="B28" s="20" t="s">
        <v>482</v>
      </c>
      <c r="C28" s="20"/>
      <c r="D28" s="20" t="s">
        <v>351</v>
      </c>
      <c r="E28" s="20" t="s">
        <v>91</v>
      </c>
      <c r="F28" s="20" t="s">
        <v>92</v>
      </c>
      <c r="G28" s="20" t="s">
        <v>93</v>
      </c>
      <c r="H28" s="20" t="s">
        <v>83</v>
      </c>
      <c r="I28" s="20" t="s">
        <v>84</v>
      </c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20"/>
      <c r="Y28" s="20"/>
      <c r="Z28" s="20"/>
      <c r="AA28" s="20"/>
    </row>
    <row r="29" spans="1:27" x14ac:dyDescent="0.3">
      <c r="A29" s="45"/>
      <c r="B29" s="45"/>
      <c r="C29" s="45"/>
      <c r="D29" s="87">
        <f>E41</f>
        <v>60</v>
      </c>
      <c r="E29" s="88">
        <f>F41</f>
        <v>20.166666666666668</v>
      </c>
      <c r="F29" s="88">
        <f>G41</f>
        <v>2</v>
      </c>
      <c r="G29" s="88">
        <f>H41</f>
        <v>2.5833333333333335</v>
      </c>
      <c r="H29" s="87">
        <f>I41</f>
        <v>16.5</v>
      </c>
      <c r="I29" s="87">
        <f>I41</f>
        <v>16.5</v>
      </c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85"/>
      <c r="Y29" s="85"/>
      <c r="Z29" s="85"/>
      <c r="AA29" s="85"/>
    </row>
    <row r="30" spans="1:2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110" t="s">
        <v>110</v>
      </c>
      <c r="N30" s="110"/>
      <c r="O30" s="110"/>
      <c r="P30" s="110" t="s">
        <v>487</v>
      </c>
      <c r="Q30" s="110"/>
      <c r="R30" s="110" t="s">
        <v>111</v>
      </c>
      <c r="S30" s="110"/>
      <c r="T30" s="110"/>
      <c r="U30" s="110"/>
      <c r="V30" s="5"/>
      <c r="W30" s="5"/>
    </row>
    <row r="31" spans="1:27" x14ac:dyDescent="0.3">
      <c r="A31" s="86" t="s">
        <v>105</v>
      </c>
      <c r="B31" s="86" t="s">
        <v>106</v>
      </c>
      <c r="C31" s="86" t="s">
        <v>2</v>
      </c>
      <c r="D31" s="86" t="s">
        <v>71</v>
      </c>
      <c r="E31" s="86" t="s">
        <v>72</v>
      </c>
      <c r="F31" s="86" t="s">
        <v>91</v>
      </c>
      <c r="G31" s="86" t="s">
        <v>92</v>
      </c>
      <c r="H31" s="86" t="s">
        <v>93</v>
      </c>
      <c r="I31" s="86" t="s">
        <v>107</v>
      </c>
      <c r="J31" s="86" t="s">
        <v>108</v>
      </c>
      <c r="K31" s="86" t="s">
        <v>109</v>
      </c>
      <c r="L31" s="86" t="s">
        <v>94</v>
      </c>
      <c r="M31" s="86" t="s">
        <v>127</v>
      </c>
      <c r="N31" s="86" t="s">
        <v>371</v>
      </c>
      <c r="O31" s="86" t="s">
        <v>171</v>
      </c>
      <c r="P31" s="86" t="s">
        <v>372</v>
      </c>
      <c r="Q31" s="86" t="s">
        <v>128</v>
      </c>
      <c r="R31" s="86" t="s">
        <v>373</v>
      </c>
      <c r="S31" s="86" t="s">
        <v>374</v>
      </c>
      <c r="T31" s="86" t="s">
        <v>375</v>
      </c>
      <c r="U31" s="86" t="s">
        <v>376</v>
      </c>
      <c r="V31" s="86" t="s">
        <v>377</v>
      </c>
      <c r="W31" s="86" t="s">
        <v>3</v>
      </c>
      <c r="X31" s="86" t="s">
        <v>556</v>
      </c>
      <c r="Y31" s="86" t="s">
        <v>557</v>
      </c>
      <c r="Z31" s="86" t="s">
        <v>567</v>
      </c>
      <c r="AA31" s="86" t="s">
        <v>568</v>
      </c>
    </row>
    <row r="32" spans="1:27" x14ac:dyDescent="0.3">
      <c r="A32" s="5">
        <v>1</v>
      </c>
      <c r="B32" s="5" t="s">
        <v>164</v>
      </c>
      <c r="C32" s="16">
        <v>2</v>
      </c>
      <c r="D32" s="80">
        <v>15</v>
      </c>
      <c r="E32" s="80">
        <f>IFERROR(C32*D32,0)</f>
        <v>30</v>
      </c>
      <c r="F32" s="17">
        <v>19</v>
      </c>
      <c r="G32" s="17">
        <v>4</v>
      </c>
      <c r="H32" s="17">
        <v>2</v>
      </c>
      <c r="I32" s="17">
        <v>0.8</v>
      </c>
      <c r="J32" s="17">
        <v>0.5</v>
      </c>
      <c r="K32" s="17">
        <v>0.5</v>
      </c>
      <c r="L32" s="5" t="s">
        <v>165</v>
      </c>
      <c r="M32" s="5"/>
      <c r="N32" s="5" t="s">
        <v>378</v>
      </c>
      <c r="O32" s="5"/>
      <c r="P32" s="5"/>
      <c r="Q32" s="5" t="s">
        <v>378</v>
      </c>
      <c r="R32" s="5"/>
      <c r="S32" s="5" t="s">
        <v>378</v>
      </c>
      <c r="T32" s="5"/>
      <c r="U32" s="5"/>
      <c r="V32" s="78">
        <f>IF(UPPER(M32)="X",0.5,IF(UPPER(N32)="X",0.2,IF(UPPER(O32)="X",0.05,0)))</f>
        <v>0.2</v>
      </c>
      <c r="W32" s="5" t="s">
        <v>166</v>
      </c>
    </row>
    <row r="33" spans="1:27" x14ac:dyDescent="0.3">
      <c r="A33" s="5">
        <v>2</v>
      </c>
      <c r="B33" s="5" t="s">
        <v>167</v>
      </c>
      <c r="C33" s="16">
        <v>1</v>
      </c>
      <c r="D33" s="80">
        <v>12</v>
      </c>
      <c r="E33" s="80">
        <f>IFERROR(C33*D33,0)</f>
        <v>12</v>
      </c>
      <c r="F33" s="17">
        <v>27</v>
      </c>
      <c r="G33" s="17">
        <v>0</v>
      </c>
      <c r="H33" s="17">
        <v>3</v>
      </c>
      <c r="I33" s="17">
        <v>0.7</v>
      </c>
      <c r="J33" s="17">
        <v>0.5</v>
      </c>
      <c r="K33" s="17">
        <v>0.5</v>
      </c>
      <c r="L33" s="5" t="s">
        <v>165</v>
      </c>
      <c r="M33" s="5" t="s">
        <v>378</v>
      </c>
      <c r="N33" s="5"/>
      <c r="O33" s="5"/>
      <c r="P33" s="5"/>
      <c r="Q33" s="5" t="s">
        <v>378</v>
      </c>
      <c r="R33" s="5" t="s">
        <v>378</v>
      </c>
      <c r="S33" s="5"/>
      <c r="T33" s="5"/>
      <c r="U33" s="5"/>
      <c r="V33" s="78">
        <f>IF(UPPER(M33)="X",0.5,IF(UPPER(N33)="X",0.2,IF(UPPER(O33)="X",0.05,0)))</f>
        <v>0.5</v>
      </c>
      <c r="W33" s="5"/>
    </row>
    <row r="34" spans="1:27" x14ac:dyDescent="0.3">
      <c r="A34" s="5">
        <v>3</v>
      </c>
      <c r="B34" s="5" t="s">
        <v>168</v>
      </c>
      <c r="C34" s="16">
        <v>1</v>
      </c>
      <c r="D34" s="80">
        <v>8</v>
      </c>
      <c r="E34" s="80">
        <f>IFERROR(C34*D34,0)</f>
        <v>8</v>
      </c>
      <c r="F34" s="17">
        <v>22</v>
      </c>
      <c r="G34" s="17">
        <v>0</v>
      </c>
      <c r="H34" s="17">
        <v>3</v>
      </c>
      <c r="I34" s="17">
        <v>12</v>
      </c>
      <c r="J34" s="17">
        <v>0.05</v>
      </c>
      <c r="K34" s="17">
        <v>0.05</v>
      </c>
      <c r="L34" s="5" t="s">
        <v>165</v>
      </c>
      <c r="M34" s="5" t="s">
        <v>378</v>
      </c>
      <c r="N34" s="5"/>
      <c r="O34" s="5"/>
      <c r="P34" s="5"/>
      <c r="Q34" s="5" t="s">
        <v>378</v>
      </c>
      <c r="R34" s="5" t="s">
        <v>378</v>
      </c>
      <c r="S34" s="5"/>
      <c r="T34" s="5"/>
      <c r="U34" s="5"/>
      <c r="V34" s="78">
        <f>IF(UPPER(M34)="X",0.5,IF(UPPER(N34)="X",0.2,IF(UPPER(O34)="X",0.05,0)))</f>
        <v>0.5</v>
      </c>
      <c r="W34" s="5" t="s">
        <v>169</v>
      </c>
    </row>
    <row r="35" spans="1:27" x14ac:dyDescent="0.3">
      <c r="A35" s="5">
        <v>4</v>
      </c>
      <c r="B35" s="5" t="s">
        <v>170</v>
      </c>
      <c r="C35" s="16">
        <v>2</v>
      </c>
      <c r="D35" s="80">
        <v>5</v>
      </c>
      <c r="E35" s="80">
        <f>IFERROR(C35*D35,0)</f>
        <v>10</v>
      </c>
      <c r="F35" s="17">
        <v>14</v>
      </c>
      <c r="G35" s="17">
        <v>0</v>
      </c>
      <c r="H35" s="17">
        <v>3.5</v>
      </c>
      <c r="I35" s="17">
        <v>0.5</v>
      </c>
      <c r="J35" s="17">
        <v>0.3</v>
      </c>
      <c r="K35" s="17">
        <v>0.3</v>
      </c>
      <c r="L35" s="5" t="s">
        <v>165</v>
      </c>
      <c r="M35" s="5"/>
      <c r="N35" s="5"/>
      <c r="O35" s="5" t="s">
        <v>378</v>
      </c>
      <c r="P35" s="5"/>
      <c r="Q35" s="5" t="s">
        <v>378</v>
      </c>
      <c r="R35" s="5"/>
      <c r="S35" s="5" t="s">
        <v>378</v>
      </c>
      <c r="T35" s="5"/>
      <c r="U35" s="5"/>
      <c r="V35" s="78">
        <f>IF(UPPER(M35)="X",0.5,IF(UPPER(N35)="X",0.2,IF(UPPER(O35)="X",0.05,0)))</f>
        <v>0.05</v>
      </c>
      <c r="W35" s="5"/>
    </row>
    <row r="41" spans="1:27" ht="15" thickBot="1" x14ac:dyDescent="0.35">
      <c r="A41" s="28"/>
      <c r="B41" s="28" t="s">
        <v>480</v>
      </c>
      <c r="C41" s="28"/>
      <c r="D41" s="28"/>
      <c r="E41" s="89">
        <f>SUM(E32:E35)</f>
        <v>60</v>
      </c>
      <c r="F41" s="30">
        <f>IFERROR(SUMPRODUCT(E32:E35,F32:F35)/E41,0)</f>
        <v>20.166666666666668</v>
      </c>
      <c r="G41" s="30">
        <f>IFERROR(SUMPRODUCT(E32:E35,G32:G35)/E41,0)</f>
        <v>2</v>
      </c>
      <c r="H41" s="30">
        <f>IFERROR(SUMPRODUCT(E32:E35,H32:H35)/E41,0)</f>
        <v>2.5833333333333335</v>
      </c>
      <c r="I41" s="89">
        <f>SUMPRODUCT(E32:E35,V32:V35)</f>
        <v>16.5</v>
      </c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 t="s">
        <v>560</v>
      </c>
      <c r="Y41" s="29">
        <f>SUMIFS(Import!$O:$O,Import!$S:$S,"2600")</f>
        <v>59.999928644964001</v>
      </c>
      <c r="Z41" s="29">
        <f>Y41-E41</f>
        <v>-7.1355035998976746E-5</v>
      </c>
      <c r="AA41" s="95">
        <f>IFERROR((Y41-E41)/E41,0)</f>
        <v>-1.1892505999829458E-6</v>
      </c>
    </row>
    <row r="42" spans="1:27" ht="15" thickTop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</sheetData>
  <mergeCells count="9">
    <mergeCell ref="M30:O30"/>
    <mergeCell ref="P30:Q30"/>
    <mergeCell ref="R30:U30"/>
    <mergeCell ref="A1:W1"/>
    <mergeCell ref="A3:W3"/>
    <mergeCell ref="A26:W26"/>
    <mergeCell ref="M7:O7"/>
    <mergeCell ref="P7:Q7"/>
    <mergeCell ref="R7:U7"/>
  </mergeCells>
  <conditionalFormatting sqref="AA21">
    <cfRule type="cellIs" dxfId="1" priority="1" operator="notBetween">
      <formula>0.05</formula>
      <formula>-0.05</formula>
    </cfRule>
  </conditionalFormatting>
  <conditionalFormatting sqref="AA41">
    <cfRule type="cellIs" dxfId="0" priority="2" operator="notBetween">
      <formula>0.05</formula>
      <formula>-0.05</formula>
    </cfRule>
  </conditionalFormatting>
  <dataValidations count="1">
    <dataValidation type="list" allowBlank="1" showInputMessage="1" showErrorMessage="1" sqref="X21 X41" xr:uid="{AF6AA540-DDB3-4F4E-8E38-D200F4EFC4DC}">
      <formula1>"Bottom-up,MDO"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7E56-7A40-46F1-8E78-189D0E74B61B}">
  <sheetPr codeName="Sheet5"/>
  <dimension ref="A1:T53"/>
  <sheetViews>
    <sheetView workbookViewId="0">
      <selection activeCell="D29" sqref="D29"/>
    </sheetView>
  </sheetViews>
  <sheetFormatPr defaultRowHeight="14.4" x14ac:dyDescent="0.3"/>
  <cols>
    <col min="1" max="1" width="27.77734375" bestFit="1" customWidth="1"/>
  </cols>
  <sheetData>
    <row r="1" spans="1:20" x14ac:dyDescent="0.3">
      <c r="A1" t="s">
        <v>394</v>
      </c>
      <c r="B1" t="s">
        <v>42</v>
      </c>
      <c r="C1" t="s">
        <v>393</v>
      </c>
      <c r="D1" t="s">
        <v>548</v>
      </c>
      <c r="E1" t="s">
        <v>547</v>
      </c>
      <c r="F1" t="s">
        <v>546</v>
      </c>
      <c r="G1" t="s">
        <v>545</v>
      </c>
      <c r="H1" t="s">
        <v>544</v>
      </c>
      <c r="I1" t="s">
        <v>543</v>
      </c>
      <c r="J1" t="s">
        <v>542</v>
      </c>
      <c r="K1" t="s">
        <v>541</v>
      </c>
      <c r="L1" t="s">
        <v>540</v>
      </c>
      <c r="M1" t="s">
        <v>539</v>
      </c>
      <c r="N1" t="s">
        <v>43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</row>
    <row r="2" spans="1:20" x14ac:dyDescent="0.3">
      <c r="A2" t="s">
        <v>333</v>
      </c>
      <c r="B2">
        <v>5200</v>
      </c>
      <c r="C2" t="s">
        <v>99</v>
      </c>
      <c r="D2" t="s">
        <v>538</v>
      </c>
      <c r="E2">
        <v>1</v>
      </c>
      <c r="F2">
        <v>46.720014110000001</v>
      </c>
      <c r="G2">
        <v>46.720014110000001</v>
      </c>
      <c r="H2">
        <v>2.4384000000000001</v>
      </c>
      <c r="I2">
        <v>-0.76200000000000001</v>
      </c>
      <c r="J2">
        <v>0.91439999999999999</v>
      </c>
      <c r="K2">
        <v>113.922082405824</v>
      </c>
      <c r="L2">
        <v>-35.600650751819998</v>
      </c>
      <c r="M2">
        <v>42.720780902184003</v>
      </c>
      <c r="N2" t="s">
        <v>502</v>
      </c>
      <c r="O2">
        <f t="shared" ref="O2:O33" si="0">IFERROR(G2*2.20462,"")</f>
        <v>102.99987750718819</v>
      </c>
      <c r="P2">
        <f t="shared" ref="P2:P33" si="1">IFERROR(H2*3.28084,"")</f>
        <v>8.0000002559999999</v>
      </c>
      <c r="Q2">
        <f t="shared" ref="Q2:Q33" si="2">IFERROR(I2*3.28084,"")</f>
        <v>-2.50000008</v>
      </c>
      <c r="R2">
        <f t="shared" ref="R2:R33" si="3">IFERROR(J2*3.28084,"")</f>
        <v>3.0000000959999999</v>
      </c>
      <c r="S2" t="str">
        <f t="shared" ref="S2:S33" si="4">IFERROR(TEXT(B2,"@"),"")</f>
        <v>5200</v>
      </c>
    </row>
    <row r="3" spans="1:20" x14ac:dyDescent="0.3">
      <c r="A3" t="s">
        <v>333</v>
      </c>
      <c r="B3">
        <v>5300</v>
      </c>
      <c r="C3" t="s">
        <v>23</v>
      </c>
      <c r="D3" t="s">
        <v>537</v>
      </c>
      <c r="E3">
        <v>1</v>
      </c>
      <c r="F3">
        <v>3480.3479559714001</v>
      </c>
      <c r="G3">
        <v>3480.3479559714001</v>
      </c>
      <c r="H3">
        <v>13.8</v>
      </c>
      <c r="I3">
        <v>0</v>
      </c>
      <c r="J3">
        <v>1.8</v>
      </c>
      <c r="K3">
        <v>48028.801792405298</v>
      </c>
      <c r="L3">
        <v>0</v>
      </c>
      <c r="M3">
        <v>6264.6263207485199</v>
      </c>
      <c r="O3">
        <f t="shared" si="0"/>
        <v>7672.8447106936674</v>
      </c>
      <c r="P3">
        <f t="shared" si="1"/>
        <v>45.275592000000003</v>
      </c>
      <c r="Q3">
        <f t="shared" si="2"/>
        <v>0</v>
      </c>
      <c r="R3">
        <f t="shared" si="3"/>
        <v>5.9055119999999999</v>
      </c>
      <c r="S3" t="str">
        <f t="shared" si="4"/>
        <v>5300</v>
      </c>
    </row>
    <row r="4" spans="1:20" x14ac:dyDescent="0.3">
      <c r="A4" t="s">
        <v>333</v>
      </c>
      <c r="B4">
        <v>5500</v>
      </c>
      <c r="C4" t="s">
        <v>100</v>
      </c>
      <c r="D4" t="s">
        <v>536</v>
      </c>
      <c r="E4">
        <v>1</v>
      </c>
      <c r="F4">
        <v>81.166553262798601</v>
      </c>
      <c r="G4">
        <v>81.166553262798601</v>
      </c>
      <c r="H4">
        <v>26.1</v>
      </c>
      <c r="I4">
        <v>0</v>
      </c>
      <c r="J4">
        <v>3.06</v>
      </c>
      <c r="K4">
        <v>2118.4470401590402</v>
      </c>
      <c r="L4">
        <v>0</v>
      </c>
      <c r="M4">
        <v>248.369652984163</v>
      </c>
      <c r="O4">
        <f t="shared" si="0"/>
        <v>178.94140665423103</v>
      </c>
      <c r="P4">
        <f t="shared" si="1"/>
        <v>85.629924000000003</v>
      </c>
      <c r="Q4">
        <f t="shared" si="2"/>
        <v>0</v>
      </c>
      <c r="R4">
        <f t="shared" si="3"/>
        <v>10.039370399999999</v>
      </c>
      <c r="S4" t="str">
        <f t="shared" si="4"/>
        <v>5500</v>
      </c>
    </row>
    <row r="5" spans="1:20" x14ac:dyDescent="0.3">
      <c r="A5" t="s">
        <v>333</v>
      </c>
      <c r="B5">
        <v>5500</v>
      </c>
      <c r="C5" t="s">
        <v>100</v>
      </c>
      <c r="D5" t="s">
        <v>535</v>
      </c>
      <c r="E5">
        <v>1</v>
      </c>
      <c r="F5">
        <v>38.449590853682402</v>
      </c>
      <c r="G5">
        <v>38.449590853682402</v>
      </c>
      <c r="H5">
        <v>26.4</v>
      </c>
      <c r="I5">
        <v>0</v>
      </c>
      <c r="J5">
        <v>4.1399999999999997</v>
      </c>
      <c r="K5">
        <v>1015.06919853721</v>
      </c>
      <c r="L5">
        <v>0</v>
      </c>
      <c r="M5">
        <v>159.18130613424501</v>
      </c>
      <c r="O5">
        <f t="shared" si="0"/>
        <v>84.766736987845292</v>
      </c>
      <c r="P5">
        <f t="shared" si="1"/>
        <v>86.614176</v>
      </c>
      <c r="Q5">
        <f t="shared" si="2"/>
        <v>0</v>
      </c>
      <c r="R5">
        <f t="shared" si="3"/>
        <v>13.582677599999998</v>
      </c>
      <c r="S5" t="str">
        <f t="shared" si="4"/>
        <v>5500</v>
      </c>
    </row>
    <row r="6" spans="1:20" x14ac:dyDescent="0.3">
      <c r="A6" t="s">
        <v>333</v>
      </c>
      <c r="B6">
        <v>5600</v>
      </c>
      <c r="C6" t="s">
        <v>26</v>
      </c>
      <c r="D6" t="s">
        <v>534</v>
      </c>
      <c r="E6">
        <v>1</v>
      </c>
      <c r="F6">
        <v>56.245453879999999</v>
      </c>
      <c r="G6">
        <v>56.245453879999999</v>
      </c>
      <c r="H6">
        <v>2.7923610000000001</v>
      </c>
      <c r="I6">
        <v>0.67449300000000001</v>
      </c>
      <c r="J6">
        <v>1.440426</v>
      </c>
      <c r="K6">
        <v>157.05761184181</v>
      </c>
      <c r="L6">
        <v>37.937164923882797</v>
      </c>
      <c r="M6">
        <v>81.017414150552796</v>
      </c>
      <c r="N6" t="s">
        <v>502</v>
      </c>
      <c r="O6">
        <f t="shared" si="0"/>
        <v>123.99985253292559</v>
      </c>
      <c r="P6">
        <f t="shared" si="1"/>
        <v>9.1612896632399998</v>
      </c>
      <c r="Q6">
        <f t="shared" si="2"/>
        <v>2.21290361412</v>
      </c>
      <c r="R6">
        <f t="shared" si="3"/>
        <v>4.7258072378399998</v>
      </c>
      <c r="S6" t="str">
        <f t="shared" si="4"/>
        <v>5600</v>
      </c>
    </row>
    <row r="7" spans="1:20" x14ac:dyDescent="0.3">
      <c r="A7" t="s">
        <v>333</v>
      </c>
      <c r="B7">
        <v>5700</v>
      </c>
      <c r="C7" t="s">
        <v>27</v>
      </c>
      <c r="D7" t="s">
        <v>533</v>
      </c>
      <c r="E7">
        <v>1</v>
      </c>
      <c r="F7">
        <v>1406.1098927785899</v>
      </c>
      <c r="G7">
        <v>1406.1098927785899</v>
      </c>
      <c r="H7">
        <v>12.6</v>
      </c>
      <c r="I7">
        <v>0</v>
      </c>
      <c r="J7">
        <v>1.98</v>
      </c>
      <c r="K7">
        <v>17716.984649010301</v>
      </c>
      <c r="L7">
        <v>0</v>
      </c>
      <c r="M7">
        <v>2784.0975877016099</v>
      </c>
      <c r="O7">
        <f t="shared" si="0"/>
        <v>3099.9379918175346</v>
      </c>
      <c r="P7">
        <f t="shared" si="1"/>
        <v>41.338583999999997</v>
      </c>
      <c r="Q7">
        <f t="shared" si="2"/>
        <v>0</v>
      </c>
      <c r="R7">
        <f t="shared" si="3"/>
        <v>6.4960632</v>
      </c>
      <c r="S7" t="str">
        <f t="shared" si="4"/>
        <v>5700</v>
      </c>
    </row>
    <row r="8" spans="1:20" x14ac:dyDescent="0.3">
      <c r="A8" t="s">
        <v>333</v>
      </c>
      <c r="B8">
        <v>3200</v>
      </c>
      <c r="C8" t="s">
        <v>15</v>
      </c>
      <c r="D8" t="s">
        <v>532</v>
      </c>
      <c r="E8">
        <v>1</v>
      </c>
      <c r="F8">
        <v>1.28</v>
      </c>
      <c r="G8">
        <v>1.28</v>
      </c>
      <c r="H8">
        <v>13.5</v>
      </c>
      <c r="I8">
        <v>0</v>
      </c>
      <c r="J8">
        <v>0.9</v>
      </c>
      <c r="K8">
        <v>17.28</v>
      </c>
      <c r="L8">
        <v>0</v>
      </c>
      <c r="M8">
        <v>1.1519999999999999</v>
      </c>
      <c r="O8">
        <f t="shared" si="0"/>
        <v>2.8219135999999998</v>
      </c>
      <c r="P8">
        <f t="shared" si="1"/>
        <v>44.291339999999998</v>
      </c>
      <c r="Q8">
        <f t="shared" si="2"/>
        <v>0</v>
      </c>
      <c r="R8">
        <f t="shared" si="3"/>
        <v>2.9527559999999999</v>
      </c>
      <c r="S8" t="str">
        <f t="shared" si="4"/>
        <v>3200</v>
      </c>
    </row>
    <row r="9" spans="1:20" x14ac:dyDescent="0.3">
      <c r="A9" t="s">
        <v>333</v>
      </c>
      <c r="B9">
        <v>3200</v>
      </c>
      <c r="C9" t="s">
        <v>15</v>
      </c>
      <c r="D9" t="s">
        <v>531</v>
      </c>
      <c r="E9">
        <v>1</v>
      </c>
      <c r="F9">
        <v>233.396168725889</v>
      </c>
      <c r="G9">
        <v>233.396168725889</v>
      </c>
      <c r="H9">
        <v>14.4</v>
      </c>
      <c r="I9">
        <v>0</v>
      </c>
      <c r="J9">
        <v>-0.36</v>
      </c>
      <c r="K9">
        <v>3360.9048296528099</v>
      </c>
      <c r="L9">
        <v>0</v>
      </c>
      <c r="M9">
        <v>-84.022620741320296</v>
      </c>
      <c r="O9">
        <f t="shared" si="0"/>
        <v>514.54986149646936</v>
      </c>
      <c r="P9">
        <f t="shared" si="1"/>
        <v>47.244095999999999</v>
      </c>
      <c r="Q9">
        <f t="shared" si="2"/>
        <v>0</v>
      </c>
      <c r="R9">
        <f t="shared" si="3"/>
        <v>-1.1811023999999999</v>
      </c>
      <c r="S9" t="str">
        <f t="shared" si="4"/>
        <v>3200</v>
      </c>
    </row>
    <row r="10" spans="1:20" x14ac:dyDescent="0.3">
      <c r="A10" t="s">
        <v>333</v>
      </c>
      <c r="B10">
        <v>3200</v>
      </c>
      <c r="C10" t="s">
        <v>15</v>
      </c>
      <c r="D10" t="s">
        <v>530</v>
      </c>
      <c r="E10">
        <v>1</v>
      </c>
      <c r="F10">
        <v>73.518149293496293</v>
      </c>
      <c r="G10">
        <v>73.518149293496293</v>
      </c>
      <c r="H10">
        <v>3.6</v>
      </c>
      <c r="I10">
        <v>0</v>
      </c>
      <c r="J10">
        <v>-0.36</v>
      </c>
      <c r="K10">
        <v>264.66533745658597</v>
      </c>
      <c r="L10">
        <v>0</v>
      </c>
      <c r="M10">
        <v>-26.466533745658602</v>
      </c>
      <c r="O10">
        <f t="shared" si="0"/>
        <v>162.07958229542777</v>
      </c>
      <c r="P10">
        <f t="shared" si="1"/>
        <v>11.811024</v>
      </c>
      <c r="Q10">
        <f t="shared" si="2"/>
        <v>0</v>
      </c>
      <c r="R10">
        <f t="shared" si="3"/>
        <v>-1.1811023999999999</v>
      </c>
      <c r="S10" t="str">
        <f t="shared" si="4"/>
        <v>3200</v>
      </c>
    </row>
    <row r="11" spans="1:20" x14ac:dyDescent="0.3">
      <c r="A11" t="s">
        <v>529</v>
      </c>
      <c r="G11">
        <v>5417.2337788758596</v>
      </c>
      <c r="O11">
        <f t="shared" si="0"/>
        <v>11942.941933585296</v>
      </c>
      <c r="P11">
        <f t="shared" si="1"/>
        <v>0</v>
      </c>
      <c r="Q11">
        <f t="shared" si="2"/>
        <v>0</v>
      </c>
      <c r="R11">
        <f t="shared" si="3"/>
        <v>0</v>
      </c>
      <c r="S11" t="str">
        <f t="shared" si="4"/>
        <v>0</v>
      </c>
    </row>
    <row r="12" spans="1:20" x14ac:dyDescent="0.3">
      <c r="A12" t="s">
        <v>335</v>
      </c>
      <c r="B12">
        <v>2100</v>
      </c>
      <c r="C12" t="s">
        <v>4</v>
      </c>
      <c r="D12" t="s">
        <v>528</v>
      </c>
      <c r="E12">
        <v>1</v>
      </c>
      <c r="F12">
        <v>91.444221791999993</v>
      </c>
      <c r="G12">
        <v>91.444221791999993</v>
      </c>
      <c r="H12">
        <v>16.5</v>
      </c>
      <c r="I12">
        <v>0</v>
      </c>
      <c r="J12">
        <v>2.34</v>
      </c>
      <c r="K12">
        <v>1508.8296595679999</v>
      </c>
      <c r="L12">
        <v>0</v>
      </c>
      <c r="M12">
        <v>213.97947899328</v>
      </c>
      <c r="O12">
        <f t="shared" si="0"/>
        <v>201.59976024707902</v>
      </c>
      <c r="P12">
        <f t="shared" si="1"/>
        <v>54.133859999999999</v>
      </c>
      <c r="Q12">
        <f t="shared" si="2"/>
        <v>0</v>
      </c>
      <c r="R12">
        <f t="shared" si="3"/>
        <v>7.6771655999999995</v>
      </c>
      <c r="S12" t="str">
        <f t="shared" si="4"/>
        <v>2100</v>
      </c>
    </row>
    <row r="13" spans="1:20" x14ac:dyDescent="0.3">
      <c r="A13" t="s">
        <v>335</v>
      </c>
      <c r="B13">
        <v>2700</v>
      </c>
      <c r="C13" t="s">
        <v>10</v>
      </c>
      <c r="D13" t="s">
        <v>527</v>
      </c>
      <c r="E13">
        <v>1</v>
      </c>
      <c r="F13">
        <v>32.346475372307999</v>
      </c>
      <c r="G13">
        <v>32.346475372307999</v>
      </c>
      <c r="H13">
        <v>16.5</v>
      </c>
      <c r="I13">
        <v>0</v>
      </c>
      <c r="J13">
        <v>2.52</v>
      </c>
      <c r="K13">
        <v>533.71684364308203</v>
      </c>
      <c r="L13">
        <v>0</v>
      </c>
      <c r="M13">
        <v>81.513117938216197</v>
      </c>
      <c r="O13">
        <f t="shared" si="0"/>
        <v>71.311686535297653</v>
      </c>
      <c r="P13">
        <f t="shared" si="1"/>
        <v>54.133859999999999</v>
      </c>
      <c r="Q13">
        <f t="shared" si="2"/>
        <v>0</v>
      </c>
      <c r="R13">
        <f t="shared" si="3"/>
        <v>8.2677168000000005</v>
      </c>
      <c r="S13" t="str">
        <f t="shared" si="4"/>
        <v>2700</v>
      </c>
    </row>
    <row r="14" spans="1:20" x14ac:dyDescent="0.3">
      <c r="A14" t="s">
        <v>335</v>
      </c>
      <c r="B14">
        <v>2800</v>
      </c>
      <c r="C14" t="s">
        <v>336</v>
      </c>
      <c r="D14" t="s">
        <v>526</v>
      </c>
      <c r="E14">
        <v>1</v>
      </c>
      <c r="F14">
        <v>0</v>
      </c>
      <c r="G14">
        <v>0</v>
      </c>
      <c r="H14">
        <v>12.9</v>
      </c>
      <c r="I14">
        <v>0</v>
      </c>
      <c r="J14">
        <v>1.62</v>
      </c>
      <c r="K14">
        <v>0</v>
      </c>
      <c r="L14">
        <v>0</v>
      </c>
      <c r="M14">
        <v>0</v>
      </c>
      <c r="O14">
        <f t="shared" si="0"/>
        <v>0</v>
      </c>
      <c r="P14">
        <f t="shared" si="1"/>
        <v>42.322836000000002</v>
      </c>
      <c r="Q14">
        <f t="shared" si="2"/>
        <v>0</v>
      </c>
      <c r="R14">
        <f t="shared" si="3"/>
        <v>5.3149608000000006</v>
      </c>
      <c r="S14" t="str">
        <f t="shared" si="4"/>
        <v>2800</v>
      </c>
    </row>
    <row r="15" spans="1:20" x14ac:dyDescent="0.3">
      <c r="A15" t="s">
        <v>335</v>
      </c>
      <c r="B15">
        <v>2900</v>
      </c>
      <c r="C15" t="s">
        <v>12</v>
      </c>
      <c r="D15" t="s">
        <v>525</v>
      </c>
      <c r="E15">
        <v>1</v>
      </c>
      <c r="F15">
        <v>49.167130159644103</v>
      </c>
      <c r="G15">
        <v>49.167130159644103</v>
      </c>
      <c r="H15">
        <v>14.4</v>
      </c>
      <c r="I15">
        <v>0</v>
      </c>
      <c r="J15">
        <v>1.62</v>
      </c>
      <c r="K15">
        <v>708.00667429887596</v>
      </c>
      <c r="L15">
        <v>0</v>
      </c>
      <c r="M15">
        <v>79.650750858623496</v>
      </c>
      <c r="O15">
        <f t="shared" si="0"/>
        <v>108.39483849255457</v>
      </c>
      <c r="P15">
        <f t="shared" si="1"/>
        <v>47.244095999999999</v>
      </c>
      <c r="Q15">
        <f t="shared" si="2"/>
        <v>0</v>
      </c>
      <c r="R15">
        <f t="shared" si="3"/>
        <v>5.3149608000000006</v>
      </c>
      <c r="S15" t="str">
        <f t="shared" si="4"/>
        <v>2900</v>
      </c>
    </row>
    <row r="16" spans="1:20" x14ac:dyDescent="0.3">
      <c r="A16" t="s">
        <v>335</v>
      </c>
      <c r="B16">
        <v>3000</v>
      </c>
      <c r="C16" t="s">
        <v>13</v>
      </c>
      <c r="D16" t="s">
        <v>524</v>
      </c>
      <c r="E16">
        <v>1</v>
      </c>
      <c r="F16">
        <v>30.390688789999999</v>
      </c>
      <c r="G16">
        <v>30.390688789999999</v>
      </c>
      <c r="H16">
        <v>4.3854810000000004</v>
      </c>
      <c r="I16">
        <v>0.286603</v>
      </c>
      <c r="J16">
        <v>1.1873549999999999</v>
      </c>
      <c r="K16">
        <v>133.27778826545801</v>
      </c>
      <c r="L16">
        <v>8.7100625792803701</v>
      </c>
      <c r="M16">
        <v>36.084536288250398</v>
      </c>
      <c r="N16" t="s">
        <v>502</v>
      </c>
      <c r="O16">
        <f t="shared" si="0"/>
        <v>66.999920320209796</v>
      </c>
      <c r="P16">
        <f t="shared" si="1"/>
        <v>14.388061484040001</v>
      </c>
      <c r="Q16">
        <f t="shared" si="2"/>
        <v>0.94029858651999998</v>
      </c>
      <c r="R16">
        <f t="shared" si="3"/>
        <v>3.8955217781999996</v>
      </c>
      <c r="S16" t="str">
        <f t="shared" si="4"/>
        <v>3000</v>
      </c>
    </row>
    <row r="17" spans="1:19" x14ac:dyDescent="0.3">
      <c r="A17" t="s">
        <v>335</v>
      </c>
      <c r="B17">
        <v>3500</v>
      </c>
      <c r="C17" t="s">
        <v>18</v>
      </c>
      <c r="D17" t="s">
        <v>523</v>
      </c>
      <c r="E17">
        <v>1</v>
      </c>
      <c r="F17">
        <v>21.772433759999998</v>
      </c>
      <c r="G17">
        <v>21.772433759999998</v>
      </c>
      <c r="H17">
        <v>2.9083000000000001</v>
      </c>
      <c r="I17">
        <v>0</v>
      </c>
      <c r="J17">
        <v>0.91439999999999999</v>
      </c>
      <c r="K17">
        <v>63.320769104207997</v>
      </c>
      <c r="L17">
        <v>0</v>
      </c>
      <c r="M17">
        <v>19.908713430144001</v>
      </c>
      <c r="N17" t="s">
        <v>502</v>
      </c>
      <c r="O17">
        <f t="shared" si="0"/>
        <v>47.999942915971189</v>
      </c>
      <c r="P17">
        <f t="shared" si="1"/>
        <v>9.5416669719999998</v>
      </c>
      <c r="Q17">
        <f t="shared" si="2"/>
        <v>0</v>
      </c>
      <c r="R17">
        <f t="shared" si="3"/>
        <v>3.0000000959999999</v>
      </c>
      <c r="S17" t="str">
        <f t="shared" si="4"/>
        <v>3500</v>
      </c>
    </row>
    <row r="18" spans="1:19" x14ac:dyDescent="0.3">
      <c r="A18" t="s">
        <v>335</v>
      </c>
      <c r="B18">
        <v>3600</v>
      </c>
      <c r="C18" t="s">
        <v>19</v>
      </c>
      <c r="D18" t="s">
        <v>522</v>
      </c>
      <c r="E18">
        <v>1</v>
      </c>
      <c r="F18">
        <v>26.30835746</v>
      </c>
      <c r="G18">
        <v>26.30835746</v>
      </c>
      <c r="H18">
        <v>7.62</v>
      </c>
      <c r="I18">
        <v>0</v>
      </c>
      <c r="J18">
        <v>0.76200000000000001</v>
      </c>
      <c r="K18">
        <v>200.4696838452</v>
      </c>
      <c r="L18">
        <v>0</v>
      </c>
      <c r="M18">
        <v>20.04696838452</v>
      </c>
      <c r="N18" t="s">
        <v>502</v>
      </c>
      <c r="O18">
        <f t="shared" si="0"/>
        <v>57.999931023465194</v>
      </c>
      <c r="P18">
        <f t="shared" si="1"/>
        <v>25.000000799999999</v>
      </c>
      <c r="Q18">
        <f t="shared" si="2"/>
        <v>0</v>
      </c>
      <c r="R18">
        <f t="shared" si="3"/>
        <v>2.50000008</v>
      </c>
      <c r="S18" t="str">
        <f t="shared" si="4"/>
        <v>3600</v>
      </c>
    </row>
    <row r="19" spans="1:19" x14ac:dyDescent="0.3">
      <c r="A19" t="s">
        <v>335</v>
      </c>
      <c r="B19">
        <v>3800</v>
      </c>
      <c r="C19" t="s">
        <v>120</v>
      </c>
      <c r="D19" t="s">
        <v>521</v>
      </c>
      <c r="E19">
        <v>1</v>
      </c>
      <c r="F19">
        <v>20.86524902</v>
      </c>
      <c r="G19">
        <v>20.86524902</v>
      </c>
      <c r="H19">
        <v>6.7321039999999996</v>
      </c>
      <c r="I19">
        <v>0</v>
      </c>
      <c r="J19">
        <v>0.59634799999999999</v>
      </c>
      <c r="K19">
        <v>140.46702638853799</v>
      </c>
      <c r="L19">
        <v>0</v>
      </c>
      <c r="M19">
        <v>12.4429495225789</v>
      </c>
      <c r="N19" t="s">
        <v>502</v>
      </c>
      <c r="O19">
        <f t="shared" si="0"/>
        <v>45.999945294472397</v>
      </c>
      <c r="P19">
        <f t="shared" si="1"/>
        <v>22.086956087359997</v>
      </c>
      <c r="Q19">
        <f t="shared" si="2"/>
        <v>0</v>
      </c>
      <c r="R19">
        <f t="shared" si="3"/>
        <v>1.95652237232</v>
      </c>
      <c r="S19" t="str">
        <f t="shared" si="4"/>
        <v>3800</v>
      </c>
    </row>
    <row r="20" spans="1:19" x14ac:dyDescent="0.3">
      <c r="A20" t="s">
        <v>520</v>
      </c>
      <c r="G20">
        <v>272.29455635395198</v>
      </c>
      <c r="O20">
        <f t="shared" si="0"/>
        <v>600.30602482904953</v>
      </c>
      <c r="P20">
        <f t="shared" si="1"/>
        <v>0</v>
      </c>
      <c r="Q20">
        <f t="shared" si="2"/>
        <v>0</v>
      </c>
      <c r="R20">
        <f t="shared" si="3"/>
        <v>0</v>
      </c>
      <c r="S20" t="str">
        <f t="shared" si="4"/>
        <v>0</v>
      </c>
    </row>
    <row r="21" spans="1:19" x14ac:dyDescent="0.3">
      <c r="A21" t="s">
        <v>339</v>
      </c>
      <c r="B21" t="s">
        <v>124</v>
      </c>
      <c r="C21" t="s">
        <v>95</v>
      </c>
      <c r="D21" t="s">
        <v>519</v>
      </c>
      <c r="E21">
        <v>1</v>
      </c>
      <c r="F21">
        <v>155.238509964331</v>
      </c>
      <c r="G21">
        <v>155.238509964331</v>
      </c>
      <c r="H21">
        <v>11.4</v>
      </c>
      <c r="I21">
        <v>0</v>
      </c>
      <c r="J21">
        <v>1.98</v>
      </c>
      <c r="K21">
        <v>1769.7190135933699</v>
      </c>
      <c r="L21">
        <v>0</v>
      </c>
      <c r="M21">
        <v>307.37224972937599</v>
      </c>
      <c r="O21">
        <f t="shared" si="0"/>
        <v>342.24192383756338</v>
      </c>
      <c r="P21">
        <f t="shared" si="1"/>
        <v>37.401575999999999</v>
      </c>
      <c r="Q21">
        <f t="shared" si="2"/>
        <v>0</v>
      </c>
      <c r="R21">
        <f t="shared" si="3"/>
        <v>6.4960632</v>
      </c>
      <c r="S21" t="str">
        <f t="shared" si="4"/>
        <v>2400LV</v>
      </c>
    </row>
    <row r="22" spans="1:19" x14ac:dyDescent="0.3">
      <c r="A22" t="s">
        <v>339</v>
      </c>
      <c r="B22" t="s">
        <v>124</v>
      </c>
      <c r="C22" t="s">
        <v>95</v>
      </c>
      <c r="D22" t="s">
        <v>518</v>
      </c>
      <c r="E22">
        <v>1</v>
      </c>
      <c r="F22">
        <v>18</v>
      </c>
      <c r="G22">
        <v>18</v>
      </c>
      <c r="H22">
        <v>11.4</v>
      </c>
      <c r="I22">
        <v>0</v>
      </c>
      <c r="J22">
        <v>1.98</v>
      </c>
      <c r="K22">
        <v>205.2</v>
      </c>
      <c r="L22">
        <v>0</v>
      </c>
      <c r="M22">
        <v>35.64</v>
      </c>
      <c r="O22">
        <f t="shared" si="0"/>
        <v>39.683159999999994</v>
      </c>
      <c r="P22">
        <f t="shared" si="1"/>
        <v>37.401575999999999</v>
      </c>
      <c r="Q22">
        <f t="shared" si="2"/>
        <v>0</v>
      </c>
      <c r="R22">
        <f t="shared" si="3"/>
        <v>6.4960632</v>
      </c>
      <c r="S22" t="str">
        <f t="shared" si="4"/>
        <v>2400LV</v>
      </c>
    </row>
    <row r="23" spans="1:19" x14ac:dyDescent="0.3">
      <c r="A23" t="s">
        <v>339</v>
      </c>
      <c r="B23" t="s">
        <v>125</v>
      </c>
      <c r="C23" t="s">
        <v>96</v>
      </c>
      <c r="D23" t="s">
        <v>517</v>
      </c>
      <c r="E23">
        <v>1</v>
      </c>
      <c r="F23">
        <v>36</v>
      </c>
      <c r="G23">
        <v>36</v>
      </c>
      <c r="H23">
        <v>15</v>
      </c>
      <c r="I23">
        <v>0</v>
      </c>
      <c r="J23">
        <v>1.8</v>
      </c>
      <c r="K23">
        <v>540</v>
      </c>
      <c r="L23">
        <v>0</v>
      </c>
      <c r="M23">
        <v>64.8</v>
      </c>
      <c r="O23">
        <f t="shared" si="0"/>
        <v>79.366319999999988</v>
      </c>
      <c r="P23">
        <f t="shared" si="1"/>
        <v>49.212600000000002</v>
      </c>
      <c r="Q23">
        <f t="shared" si="2"/>
        <v>0</v>
      </c>
      <c r="R23">
        <f t="shared" si="3"/>
        <v>5.9055119999999999</v>
      </c>
      <c r="S23" t="str">
        <f t="shared" si="4"/>
        <v>2400HV</v>
      </c>
    </row>
    <row r="24" spans="1:19" x14ac:dyDescent="0.3">
      <c r="A24" t="s">
        <v>339</v>
      </c>
      <c r="B24">
        <v>3300</v>
      </c>
      <c r="C24" t="s">
        <v>16</v>
      </c>
      <c r="D24" t="s">
        <v>516</v>
      </c>
      <c r="E24">
        <v>1</v>
      </c>
      <c r="F24">
        <v>12.927382545</v>
      </c>
      <c r="G24">
        <v>12.927382545</v>
      </c>
      <c r="H24">
        <v>3.8019790000000002</v>
      </c>
      <c r="I24">
        <v>0.22458900000000001</v>
      </c>
      <c r="J24">
        <v>1.302084</v>
      </c>
      <c r="K24">
        <v>49.149636961056501</v>
      </c>
      <c r="L24">
        <v>2.9033479183990001</v>
      </c>
      <c r="M24">
        <v>16.832537973723699</v>
      </c>
      <c r="N24" t="s">
        <v>502</v>
      </c>
      <c r="O24">
        <f t="shared" si="0"/>
        <v>28.499966106357899</v>
      </c>
      <c r="P24">
        <f t="shared" si="1"/>
        <v>12.473684782360001</v>
      </c>
      <c r="Q24">
        <f t="shared" si="2"/>
        <v>0.73684057475999998</v>
      </c>
      <c r="R24">
        <f t="shared" si="3"/>
        <v>4.2719292705600003</v>
      </c>
      <c r="S24" t="str">
        <f t="shared" si="4"/>
        <v>3300</v>
      </c>
    </row>
    <row r="25" spans="1:19" x14ac:dyDescent="0.3">
      <c r="A25" t="s">
        <v>515</v>
      </c>
      <c r="G25">
        <v>222.165892509331</v>
      </c>
      <c r="O25">
        <f t="shared" si="0"/>
        <v>489.79136994392127</v>
      </c>
      <c r="P25">
        <f t="shared" si="1"/>
        <v>0</v>
      </c>
      <c r="Q25">
        <f t="shared" si="2"/>
        <v>0</v>
      </c>
      <c r="R25">
        <f t="shared" si="3"/>
        <v>0</v>
      </c>
      <c r="S25" t="str">
        <f t="shared" si="4"/>
        <v>0</v>
      </c>
    </row>
    <row r="26" spans="1:19" x14ac:dyDescent="0.3">
      <c r="A26" t="s">
        <v>341</v>
      </c>
      <c r="B26">
        <v>2200</v>
      </c>
      <c r="C26" t="s">
        <v>5</v>
      </c>
      <c r="D26" t="s">
        <v>514</v>
      </c>
      <c r="E26">
        <v>1</v>
      </c>
      <c r="F26">
        <v>7.2574779200000004</v>
      </c>
      <c r="G26">
        <v>7.2574779200000004</v>
      </c>
      <c r="H26">
        <v>3.5813999999999999</v>
      </c>
      <c r="I26">
        <v>0</v>
      </c>
      <c r="J26">
        <v>1.2192000000000001</v>
      </c>
      <c r="K26">
        <v>25.991931422688001</v>
      </c>
      <c r="L26">
        <v>0</v>
      </c>
      <c r="M26">
        <v>8.8483170800639996</v>
      </c>
      <c r="N26" t="s">
        <v>502</v>
      </c>
      <c r="O26">
        <f t="shared" si="0"/>
        <v>15.9999809719904</v>
      </c>
      <c r="P26">
        <f t="shared" si="1"/>
        <v>11.750000375999999</v>
      </c>
      <c r="Q26">
        <f t="shared" si="2"/>
        <v>0</v>
      </c>
      <c r="R26">
        <f t="shared" si="3"/>
        <v>4.0000001279999999</v>
      </c>
      <c r="S26" t="str">
        <f t="shared" si="4"/>
        <v>2200</v>
      </c>
    </row>
    <row r="27" spans="1:19" x14ac:dyDescent="0.3">
      <c r="A27" t="s">
        <v>341</v>
      </c>
      <c r="B27">
        <v>2300</v>
      </c>
      <c r="C27" t="s">
        <v>6</v>
      </c>
      <c r="D27" t="s">
        <v>513</v>
      </c>
      <c r="E27">
        <v>1</v>
      </c>
      <c r="F27">
        <v>490.87346526748001</v>
      </c>
      <c r="G27">
        <v>490.87346526748001</v>
      </c>
      <c r="H27">
        <v>5.4</v>
      </c>
      <c r="I27">
        <v>0</v>
      </c>
      <c r="J27">
        <v>2.34</v>
      </c>
      <c r="K27">
        <v>2650.7167124443899</v>
      </c>
      <c r="L27">
        <v>0</v>
      </c>
      <c r="M27">
        <v>1148.6439087259</v>
      </c>
      <c r="O27">
        <f t="shared" si="0"/>
        <v>1082.1894589979918</v>
      </c>
      <c r="P27">
        <f t="shared" si="1"/>
        <v>17.716536000000001</v>
      </c>
      <c r="Q27">
        <f t="shared" si="2"/>
        <v>0</v>
      </c>
      <c r="R27">
        <f t="shared" si="3"/>
        <v>7.6771655999999995</v>
      </c>
      <c r="S27" t="str">
        <f t="shared" si="4"/>
        <v>2300</v>
      </c>
    </row>
    <row r="28" spans="1:19" x14ac:dyDescent="0.3">
      <c r="A28" t="s">
        <v>341</v>
      </c>
      <c r="B28">
        <v>3100</v>
      </c>
      <c r="C28" t="s">
        <v>342</v>
      </c>
      <c r="D28" t="s">
        <v>512</v>
      </c>
      <c r="E28">
        <v>1</v>
      </c>
      <c r="F28">
        <v>60.638837018456599</v>
      </c>
      <c r="G28">
        <v>60.638837018456599</v>
      </c>
      <c r="H28">
        <v>4.5</v>
      </c>
      <c r="I28">
        <v>0</v>
      </c>
      <c r="J28">
        <v>2.52</v>
      </c>
      <c r="K28">
        <v>272.874766583054</v>
      </c>
      <c r="L28">
        <v>0</v>
      </c>
      <c r="M28">
        <v>152.80986928651001</v>
      </c>
      <c r="O28">
        <f t="shared" si="0"/>
        <v>133.68559286762977</v>
      </c>
      <c r="P28">
        <f t="shared" si="1"/>
        <v>14.763780000000001</v>
      </c>
      <c r="Q28">
        <f t="shared" si="2"/>
        <v>0</v>
      </c>
      <c r="R28">
        <f t="shared" si="3"/>
        <v>8.2677168000000005</v>
      </c>
      <c r="S28" t="str">
        <f t="shared" si="4"/>
        <v>3100</v>
      </c>
    </row>
    <row r="29" spans="1:19" x14ac:dyDescent="0.3">
      <c r="A29" t="s">
        <v>341</v>
      </c>
      <c r="B29">
        <v>3400</v>
      </c>
      <c r="C29" t="s">
        <v>17</v>
      </c>
      <c r="D29" t="s">
        <v>511</v>
      </c>
      <c r="E29">
        <v>1</v>
      </c>
      <c r="F29">
        <v>40.823313300000002</v>
      </c>
      <c r="G29">
        <v>40.823313300000002</v>
      </c>
      <c r="H29">
        <v>1.48336</v>
      </c>
      <c r="I29">
        <v>0</v>
      </c>
      <c r="J29">
        <v>1.1175999999999999</v>
      </c>
      <c r="K29">
        <v>60.555670016687998</v>
      </c>
      <c r="L29">
        <v>0</v>
      </c>
      <c r="M29">
        <v>45.624134944079998</v>
      </c>
      <c r="N29" t="s">
        <v>502</v>
      </c>
      <c r="O29">
        <f t="shared" si="0"/>
        <v>89.999892967446002</v>
      </c>
      <c r="P29">
        <f t="shared" si="1"/>
        <v>4.8666668224</v>
      </c>
      <c r="Q29">
        <f t="shared" si="2"/>
        <v>0</v>
      </c>
      <c r="R29">
        <f t="shared" si="3"/>
        <v>3.6666667839999998</v>
      </c>
      <c r="S29" t="str">
        <f t="shared" si="4"/>
        <v>3400</v>
      </c>
    </row>
    <row r="30" spans="1:19" x14ac:dyDescent="0.3">
      <c r="A30" t="s">
        <v>510</v>
      </c>
      <c r="G30">
        <v>599.59309350593605</v>
      </c>
      <c r="O30">
        <f t="shared" si="0"/>
        <v>1321.8749258050566</v>
      </c>
      <c r="P30">
        <f t="shared" si="1"/>
        <v>0</v>
      </c>
      <c r="Q30">
        <f t="shared" si="2"/>
        <v>0</v>
      </c>
      <c r="R30">
        <f t="shared" si="3"/>
        <v>0</v>
      </c>
      <c r="S30" t="str">
        <f t="shared" si="4"/>
        <v>0</v>
      </c>
    </row>
    <row r="31" spans="1:19" x14ac:dyDescent="0.3">
      <c r="A31" t="s">
        <v>344</v>
      </c>
      <c r="B31">
        <v>7100</v>
      </c>
      <c r="C31" t="s">
        <v>481</v>
      </c>
      <c r="D31" t="s">
        <v>509</v>
      </c>
      <c r="E31">
        <v>1</v>
      </c>
      <c r="F31">
        <v>67.5</v>
      </c>
      <c r="G31">
        <v>67.5</v>
      </c>
      <c r="H31">
        <v>22.8</v>
      </c>
      <c r="I31">
        <v>0</v>
      </c>
      <c r="J31">
        <v>2.2320000000000002</v>
      </c>
      <c r="K31">
        <v>1539</v>
      </c>
      <c r="L31">
        <v>0</v>
      </c>
      <c r="M31">
        <v>150.66</v>
      </c>
      <c r="O31">
        <f t="shared" si="0"/>
        <v>148.81184999999999</v>
      </c>
      <c r="P31">
        <f t="shared" si="1"/>
        <v>74.803151999999997</v>
      </c>
      <c r="Q31">
        <f t="shared" si="2"/>
        <v>0</v>
      </c>
      <c r="R31">
        <f t="shared" si="3"/>
        <v>7.3228348800000003</v>
      </c>
      <c r="S31" t="str">
        <f t="shared" si="4"/>
        <v>7100</v>
      </c>
    </row>
    <row r="32" spans="1:19" x14ac:dyDescent="0.3">
      <c r="A32" t="s">
        <v>344</v>
      </c>
      <c r="B32">
        <v>7100</v>
      </c>
      <c r="C32" t="s">
        <v>481</v>
      </c>
      <c r="D32" t="s">
        <v>508</v>
      </c>
      <c r="E32">
        <v>1</v>
      </c>
      <c r="F32">
        <v>81</v>
      </c>
      <c r="G32">
        <v>81</v>
      </c>
      <c r="H32">
        <v>22.8</v>
      </c>
      <c r="I32">
        <v>0</v>
      </c>
      <c r="J32">
        <v>2.2320000000000002</v>
      </c>
      <c r="K32">
        <v>1846.8</v>
      </c>
      <c r="L32">
        <v>0</v>
      </c>
      <c r="M32">
        <v>180.792</v>
      </c>
      <c r="O32">
        <f t="shared" si="0"/>
        <v>178.57422</v>
      </c>
      <c r="P32">
        <f t="shared" si="1"/>
        <v>74.803151999999997</v>
      </c>
      <c r="Q32">
        <f t="shared" si="2"/>
        <v>0</v>
      </c>
      <c r="R32">
        <f t="shared" si="3"/>
        <v>7.3228348800000003</v>
      </c>
      <c r="S32" t="str">
        <f t="shared" si="4"/>
        <v>7100</v>
      </c>
    </row>
    <row r="33" spans="1:19" x14ac:dyDescent="0.3">
      <c r="A33" t="s">
        <v>344</v>
      </c>
      <c r="B33">
        <v>7100</v>
      </c>
      <c r="C33" t="s">
        <v>481</v>
      </c>
      <c r="D33" t="s">
        <v>507</v>
      </c>
      <c r="E33">
        <v>1</v>
      </c>
      <c r="F33">
        <v>103.5</v>
      </c>
      <c r="G33">
        <v>103.5</v>
      </c>
      <c r="H33">
        <v>12.6</v>
      </c>
      <c r="I33">
        <v>0</v>
      </c>
      <c r="J33">
        <v>1.98</v>
      </c>
      <c r="K33">
        <v>1304.0999999999999</v>
      </c>
      <c r="L33">
        <v>0</v>
      </c>
      <c r="M33">
        <v>204.93</v>
      </c>
      <c r="O33">
        <f t="shared" si="0"/>
        <v>228.17816999999997</v>
      </c>
      <c r="P33">
        <f t="shared" si="1"/>
        <v>41.338583999999997</v>
      </c>
      <c r="Q33">
        <f t="shared" si="2"/>
        <v>0</v>
      </c>
      <c r="R33">
        <f t="shared" si="3"/>
        <v>6.4960632</v>
      </c>
      <c r="S33" t="str">
        <f t="shared" si="4"/>
        <v>7100</v>
      </c>
    </row>
    <row r="34" spans="1:19" x14ac:dyDescent="0.3">
      <c r="A34" t="s">
        <v>344</v>
      </c>
      <c r="B34">
        <v>7100</v>
      </c>
      <c r="C34" t="s">
        <v>481</v>
      </c>
      <c r="D34" t="s">
        <v>506</v>
      </c>
      <c r="E34">
        <v>1</v>
      </c>
      <c r="F34">
        <v>144</v>
      </c>
      <c r="G34">
        <v>144</v>
      </c>
      <c r="H34">
        <v>22.8</v>
      </c>
      <c r="I34">
        <v>0</v>
      </c>
      <c r="J34">
        <v>2.2320000000000002</v>
      </c>
      <c r="K34">
        <v>3283.2</v>
      </c>
      <c r="L34">
        <v>0</v>
      </c>
      <c r="M34">
        <v>321.40800000000002</v>
      </c>
      <c r="O34">
        <f t="shared" ref="O34:O53" si="5">IFERROR(G34*2.20462,"")</f>
        <v>317.46527999999995</v>
      </c>
      <c r="P34">
        <f t="shared" ref="P34:P53" si="6">IFERROR(H34*3.28084,"")</f>
        <v>74.803151999999997</v>
      </c>
      <c r="Q34">
        <f t="shared" ref="Q34:Q53" si="7">IFERROR(I34*3.28084,"")</f>
        <v>0</v>
      </c>
      <c r="R34">
        <f t="shared" ref="R34:R53" si="8">IFERROR(J34*3.28084,"")</f>
        <v>7.3228348800000003</v>
      </c>
      <c r="S34" t="str">
        <f t="shared" ref="S34:S53" si="9">IFERROR(TEXT(B34,"@"),"")</f>
        <v>7100</v>
      </c>
    </row>
    <row r="35" spans="1:19" x14ac:dyDescent="0.3">
      <c r="A35" t="s">
        <v>505</v>
      </c>
      <c r="G35">
        <v>396</v>
      </c>
      <c r="O35">
        <f t="shared" si="5"/>
        <v>873.02951999999993</v>
      </c>
      <c r="P35">
        <f t="shared" si="6"/>
        <v>0</v>
      </c>
      <c r="Q35">
        <f t="shared" si="7"/>
        <v>0</v>
      </c>
      <c r="R35">
        <f t="shared" si="8"/>
        <v>0</v>
      </c>
      <c r="S35" t="str">
        <f t="shared" si="9"/>
        <v>0</v>
      </c>
    </row>
    <row r="36" spans="1:19" x14ac:dyDescent="0.3">
      <c r="A36" t="s">
        <v>346</v>
      </c>
      <c r="B36">
        <v>2500</v>
      </c>
      <c r="C36" t="s">
        <v>98</v>
      </c>
      <c r="D36" t="s">
        <v>504</v>
      </c>
      <c r="E36">
        <v>1</v>
      </c>
      <c r="F36">
        <v>98.701699712000007</v>
      </c>
      <c r="G36">
        <v>98.701699712000007</v>
      </c>
      <c r="H36">
        <v>12</v>
      </c>
      <c r="I36">
        <v>0</v>
      </c>
      <c r="J36">
        <v>1.98</v>
      </c>
      <c r="K36">
        <v>1184.4203965439999</v>
      </c>
      <c r="L36">
        <v>0</v>
      </c>
      <c r="M36">
        <v>195.42936542976</v>
      </c>
      <c r="O36">
        <f t="shared" si="5"/>
        <v>217.59974121906944</v>
      </c>
      <c r="P36">
        <f t="shared" si="6"/>
        <v>39.370080000000002</v>
      </c>
      <c r="Q36">
        <f t="shared" si="7"/>
        <v>0</v>
      </c>
      <c r="R36">
        <f t="shared" si="8"/>
        <v>6.4960632</v>
      </c>
      <c r="S36" t="str">
        <f t="shared" si="9"/>
        <v>2500</v>
      </c>
    </row>
    <row r="37" spans="1:19" x14ac:dyDescent="0.3">
      <c r="A37" t="s">
        <v>346</v>
      </c>
      <c r="B37">
        <v>2600</v>
      </c>
      <c r="C37" t="s">
        <v>9</v>
      </c>
      <c r="D37" t="s">
        <v>503</v>
      </c>
      <c r="E37">
        <v>1</v>
      </c>
      <c r="F37">
        <v>27.215542200000002</v>
      </c>
      <c r="G37">
        <v>27.215542200000002</v>
      </c>
      <c r="H37">
        <v>6.1467999999999998</v>
      </c>
      <c r="I37">
        <v>0.60960000000000003</v>
      </c>
      <c r="J37">
        <v>0.78739999999999999</v>
      </c>
      <c r="K37">
        <v>167.28849479496</v>
      </c>
      <c r="L37">
        <v>16.59059452512</v>
      </c>
      <c r="M37">
        <v>21.429517928279999</v>
      </c>
      <c r="N37" t="s">
        <v>502</v>
      </c>
      <c r="O37">
        <f t="shared" si="5"/>
        <v>59.999928644964001</v>
      </c>
      <c r="P37">
        <f t="shared" si="6"/>
        <v>20.166667311999998</v>
      </c>
      <c r="Q37">
        <f t="shared" si="7"/>
        <v>2.000000064</v>
      </c>
      <c r="R37">
        <f t="shared" si="8"/>
        <v>2.5833334159999999</v>
      </c>
      <c r="S37" t="str">
        <f t="shared" si="9"/>
        <v>2600</v>
      </c>
    </row>
    <row r="38" spans="1:19" x14ac:dyDescent="0.3">
      <c r="A38" t="s">
        <v>501</v>
      </c>
      <c r="G38">
        <v>125.91724191199999</v>
      </c>
      <c r="O38">
        <f t="shared" si="5"/>
        <v>277.59966986403339</v>
      </c>
      <c r="P38">
        <f t="shared" si="6"/>
        <v>0</v>
      </c>
      <c r="Q38">
        <f t="shared" si="7"/>
        <v>0</v>
      </c>
      <c r="R38">
        <f t="shared" si="8"/>
        <v>0</v>
      </c>
      <c r="S38" t="str">
        <f t="shared" si="9"/>
        <v>0</v>
      </c>
    </row>
    <row r="39" spans="1:19" x14ac:dyDescent="0.3">
      <c r="A39" t="s">
        <v>490</v>
      </c>
      <c r="D39" t="s">
        <v>500</v>
      </c>
      <c r="G39">
        <v>90.718474000000001</v>
      </c>
      <c r="O39">
        <f t="shared" si="5"/>
        <v>199.99976214987998</v>
      </c>
      <c r="P39">
        <f t="shared" si="6"/>
        <v>0</v>
      </c>
      <c r="Q39">
        <f t="shared" si="7"/>
        <v>0</v>
      </c>
      <c r="R39">
        <f t="shared" si="8"/>
        <v>0</v>
      </c>
      <c r="S39" t="str">
        <f t="shared" si="9"/>
        <v>0</v>
      </c>
    </row>
    <row r="40" spans="1:19" x14ac:dyDescent="0.3">
      <c r="A40" t="s">
        <v>490</v>
      </c>
      <c r="D40" t="s">
        <v>499</v>
      </c>
      <c r="G40">
        <v>453.59237000000002</v>
      </c>
      <c r="O40">
        <f t="shared" si="5"/>
        <v>999.99881074939992</v>
      </c>
      <c r="P40">
        <f t="shared" si="6"/>
        <v>0</v>
      </c>
      <c r="Q40">
        <f t="shared" si="7"/>
        <v>0</v>
      </c>
      <c r="R40">
        <f t="shared" si="8"/>
        <v>0</v>
      </c>
      <c r="S40" t="str">
        <f t="shared" si="9"/>
        <v>0</v>
      </c>
    </row>
    <row r="41" spans="1:19" x14ac:dyDescent="0.3">
      <c r="A41" t="s">
        <v>490</v>
      </c>
      <c r="D41" t="s">
        <v>498</v>
      </c>
      <c r="G41">
        <v>544.31084399999997</v>
      </c>
      <c r="O41">
        <f t="shared" si="5"/>
        <v>1199.9985728992799</v>
      </c>
      <c r="P41">
        <f t="shared" si="6"/>
        <v>0</v>
      </c>
      <c r="Q41">
        <f t="shared" si="7"/>
        <v>0</v>
      </c>
      <c r="R41">
        <f t="shared" si="8"/>
        <v>0</v>
      </c>
      <c r="S41" t="str">
        <f t="shared" si="9"/>
        <v>0</v>
      </c>
    </row>
    <row r="42" spans="1:19" x14ac:dyDescent="0.3">
      <c r="A42" t="s">
        <v>490</v>
      </c>
      <c r="D42" t="s">
        <v>497</v>
      </c>
      <c r="G42">
        <v>1200</v>
      </c>
      <c r="O42">
        <f t="shared" si="5"/>
        <v>2645.5439999999999</v>
      </c>
      <c r="P42">
        <f t="shared" si="6"/>
        <v>0</v>
      </c>
      <c r="Q42">
        <f t="shared" si="7"/>
        <v>0</v>
      </c>
      <c r="R42">
        <f t="shared" si="8"/>
        <v>0</v>
      </c>
      <c r="S42" t="str">
        <f t="shared" si="9"/>
        <v>0</v>
      </c>
    </row>
    <row r="43" spans="1:19" x14ac:dyDescent="0.3">
      <c r="A43" t="s">
        <v>490</v>
      </c>
      <c r="D43" t="s">
        <v>496</v>
      </c>
      <c r="G43">
        <v>350</v>
      </c>
      <c r="O43">
        <f t="shared" si="5"/>
        <v>771.61699999999996</v>
      </c>
      <c r="P43">
        <f t="shared" si="6"/>
        <v>0</v>
      </c>
      <c r="Q43">
        <f t="shared" si="7"/>
        <v>0</v>
      </c>
      <c r="R43">
        <f t="shared" si="8"/>
        <v>0</v>
      </c>
      <c r="S43" t="str">
        <f t="shared" si="9"/>
        <v>0</v>
      </c>
    </row>
    <row r="44" spans="1:19" x14ac:dyDescent="0.3">
      <c r="A44" t="s">
        <v>490</v>
      </c>
      <c r="D44" t="s">
        <v>495</v>
      </c>
      <c r="G44">
        <v>396</v>
      </c>
      <c r="O44">
        <f t="shared" si="5"/>
        <v>873.02951999999993</v>
      </c>
      <c r="P44">
        <f t="shared" si="6"/>
        <v>0</v>
      </c>
      <c r="Q44">
        <f t="shared" si="7"/>
        <v>0</v>
      </c>
      <c r="R44">
        <f t="shared" si="8"/>
        <v>0</v>
      </c>
      <c r="S44" t="str">
        <f t="shared" si="9"/>
        <v>0</v>
      </c>
    </row>
    <row r="45" spans="1:19" x14ac:dyDescent="0.3">
      <c r="A45" t="s">
        <v>490</v>
      </c>
      <c r="D45" t="s">
        <v>494</v>
      </c>
      <c r="G45">
        <v>5417.2337788758596</v>
      </c>
      <c r="O45">
        <f t="shared" si="5"/>
        <v>11942.941933585296</v>
      </c>
      <c r="P45">
        <f t="shared" si="6"/>
        <v>0</v>
      </c>
      <c r="Q45">
        <f t="shared" si="7"/>
        <v>0</v>
      </c>
      <c r="R45">
        <f t="shared" si="8"/>
        <v>0</v>
      </c>
      <c r="S45" t="str">
        <f t="shared" si="9"/>
        <v>0</v>
      </c>
    </row>
    <row r="46" spans="1:19" x14ac:dyDescent="0.3">
      <c r="A46" t="s">
        <v>490</v>
      </c>
      <c r="D46" t="s">
        <v>493</v>
      </c>
      <c r="G46">
        <v>1219.9707842812199</v>
      </c>
      <c r="O46">
        <f t="shared" si="5"/>
        <v>2689.571990442063</v>
      </c>
      <c r="P46">
        <f t="shared" si="6"/>
        <v>0</v>
      </c>
      <c r="Q46">
        <f t="shared" si="7"/>
        <v>0</v>
      </c>
      <c r="R46">
        <f t="shared" si="8"/>
        <v>0</v>
      </c>
      <c r="S46" t="str">
        <f t="shared" si="9"/>
        <v>0</v>
      </c>
    </row>
    <row r="47" spans="1:19" x14ac:dyDescent="0.3">
      <c r="A47" t="s">
        <v>490</v>
      </c>
      <c r="D47" t="s">
        <v>492</v>
      </c>
      <c r="G47">
        <v>6987.20456315708</v>
      </c>
      <c r="O47">
        <f t="shared" si="5"/>
        <v>15404.13092402736</v>
      </c>
      <c r="P47">
        <f t="shared" si="6"/>
        <v>0</v>
      </c>
      <c r="Q47">
        <f t="shared" si="7"/>
        <v>0</v>
      </c>
      <c r="R47">
        <f t="shared" si="8"/>
        <v>0</v>
      </c>
      <c r="S47" t="str">
        <f t="shared" si="9"/>
        <v>0</v>
      </c>
    </row>
    <row r="48" spans="1:19" x14ac:dyDescent="0.3">
      <c r="A48" t="s">
        <v>490</v>
      </c>
      <c r="D48" t="s">
        <v>491</v>
      </c>
      <c r="G48">
        <v>7383.20456315708</v>
      </c>
      <c r="O48">
        <f t="shared" si="5"/>
        <v>16277.16044402736</v>
      </c>
      <c r="P48">
        <f t="shared" si="6"/>
        <v>0</v>
      </c>
      <c r="Q48">
        <f t="shared" si="7"/>
        <v>0</v>
      </c>
      <c r="R48">
        <f t="shared" si="8"/>
        <v>0</v>
      </c>
      <c r="S48" t="str">
        <f t="shared" si="9"/>
        <v>0</v>
      </c>
    </row>
    <row r="49" spans="1:19" x14ac:dyDescent="0.3">
      <c r="A49" t="s">
        <v>490</v>
      </c>
      <c r="D49" t="s">
        <v>489</v>
      </c>
      <c r="G49">
        <v>9127.5154071570796</v>
      </c>
      <c r="O49">
        <f t="shared" si="5"/>
        <v>20122.70301692664</v>
      </c>
      <c r="P49">
        <f t="shared" si="6"/>
        <v>0</v>
      </c>
      <c r="Q49">
        <f t="shared" si="7"/>
        <v>0</v>
      </c>
      <c r="R49">
        <f t="shared" si="8"/>
        <v>0</v>
      </c>
      <c r="S49" t="str">
        <f t="shared" si="9"/>
        <v>0</v>
      </c>
    </row>
    <row r="50" spans="1:19" x14ac:dyDescent="0.3">
      <c r="A50" t="s">
        <v>488</v>
      </c>
      <c r="D50" t="s">
        <v>52</v>
      </c>
      <c r="G50">
        <v>7383.20456315708</v>
      </c>
      <c r="H50">
        <v>12.934117806443099</v>
      </c>
      <c r="I50">
        <v>4.1364855779917496E-3</v>
      </c>
      <c r="J50">
        <v>1.80904134653101</v>
      </c>
      <c r="O50">
        <f t="shared" si="5"/>
        <v>16277.16044402736</v>
      </c>
      <c r="P50">
        <f t="shared" si="6"/>
        <v>42.434771064090775</v>
      </c>
      <c r="Q50">
        <f t="shared" si="7"/>
        <v>1.3571147343698452E-2</v>
      </c>
      <c r="R50">
        <f t="shared" si="8"/>
        <v>5.9351752113527985</v>
      </c>
      <c r="S50" t="str">
        <f t="shared" si="9"/>
        <v>0</v>
      </c>
    </row>
    <row r="51" spans="1:19" x14ac:dyDescent="0.3">
      <c r="A51" t="s">
        <v>488</v>
      </c>
      <c r="D51" t="s">
        <v>55</v>
      </c>
      <c r="G51">
        <v>7927.5154071570796</v>
      </c>
      <c r="H51">
        <v>12.828783800120499</v>
      </c>
      <c r="I51">
        <v>3.8524704937551702E-3</v>
      </c>
      <c r="J51">
        <v>1.82077953235337</v>
      </c>
      <c r="O51">
        <f t="shared" si="5"/>
        <v>17477.159016926638</v>
      </c>
      <c r="P51">
        <f t="shared" si="6"/>
        <v>42.089187042787337</v>
      </c>
      <c r="Q51">
        <f t="shared" si="7"/>
        <v>1.2639339294731712E-2</v>
      </c>
      <c r="R51">
        <f t="shared" si="8"/>
        <v>5.9736863209262303</v>
      </c>
      <c r="S51" t="str">
        <f t="shared" si="9"/>
        <v>0</v>
      </c>
    </row>
    <row r="52" spans="1:19" x14ac:dyDescent="0.3">
      <c r="A52" t="s">
        <v>488</v>
      </c>
      <c r="D52" t="s">
        <v>64</v>
      </c>
      <c r="G52">
        <v>9127.5154071570796</v>
      </c>
      <c r="H52">
        <v>12.8381466372172</v>
      </c>
      <c r="I52">
        <v>3.3459838556848301E-3</v>
      </c>
      <c r="J52">
        <v>1.7943829251632999</v>
      </c>
      <c r="O52">
        <f t="shared" si="5"/>
        <v>20122.70301692664</v>
      </c>
      <c r="P52">
        <f t="shared" si="6"/>
        <v>42.119905013247681</v>
      </c>
      <c r="Q52">
        <f t="shared" si="7"/>
        <v>1.0977637673085018E-2</v>
      </c>
      <c r="R52">
        <f t="shared" si="8"/>
        <v>5.8870832761927607</v>
      </c>
      <c r="S52" t="str">
        <f t="shared" si="9"/>
        <v>0</v>
      </c>
    </row>
    <row r="53" spans="1:19" x14ac:dyDescent="0.3">
      <c r="A53" t="s">
        <v>488</v>
      </c>
      <c r="D53" t="s">
        <v>61</v>
      </c>
      <c r="G53">
        <v>7927.5154071570796</v>
      </c>
      <c r="H53">
        <v>12.828783800120499</v>
      </c>
      <c r="I53">
        <v>3.8524704937551702E-3</v>
      </c>
      <c r="J53">
        <v>1.82077953235337</v>
      </c>
      <c r="O53">
        <f t="shared" si="5"/>
        <v>17477.159016926638</v>
      </c>
      <c r="P53">
        <f t="shared" si="6"/>
        <v>42.089187042787337</v>
      </c>
      <c r="Q53">
        <f t="shared" si="7"/>
        <v>1.2639339294731712E-2</v>
      </c>
      <c r="R53">
        <f t="shared" si="8"/>
        <v>5.9736863209262303</v>
      </c>
      <c r="S53" t="str">
        <f t="shared" si="9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Roll Up</vt:lpstr>
      <vt:lpstr>Target</vt:lpstr>
      <vt:lpstr>Export</vt:lpstr>
      <vt:lpstr>Risk</vt:lpstr>
      <vt:lpstr>Structure</vt:lpstr>
      <vt:lpstr>Mechanical</vt:lpstr>
      <vt:lpstr>Electrical</vt:lpstr>
      <vt:lpstr>Avionics</vt:lpstr>
      <vt:lpstr>Powerplant</vt:lpstr>
      <vt:lpstr>Interior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2026-05-17T21:42:08Z</dcterms:modified>
</cp:coreProperties>
</file>