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anderAmos\Documents\AstroM\mass\"/>
    </mc:Choice>
  </mc:AlternateContent>
  <xr:revisionPtr revIDLastSave="0" documentId="13_ncr:1_{EC608A4D-7F53-41C6-B8A2-144EB384B9D0}" xr6:coauthVersionLast="47" xr6:coauthVersionMax="47" xr10:uidLastSave="{00000000-0000-0000-0000-000000000000}"/>
  <bookViews>
    <workbookView xWindow="-108" yWindow="-108" windowWidth="23256" windowHeight="13896" activeTab="1" xr2:uid="{66D9863A-341A-4414-9E11-CCEB7DF8B0DA}"/>
  </bookViews>
  <sheets>
    <sheet name="Mass" sheetId="1" r:id="rId1"/>
    <sheet name="Target" sheetId="4" r:id="rId2"/>
    <sheet name="Ex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182" i="1" l="1"/>
  <c r="N182" i="1"/>
  <c r="P182" i="1" s="1"/>
  <c r="O177" i="1"/>
  <c r="N177" i="1"/>
  <c r="P177" i="1" s="1"/>
  <c r="O171" i="1"/>
  <c r="N171" i="1"/>
  <c r="P171" i="1" s="1"/>
  <c r="O167" i="1"/>
  <c r="N167" i="1"/>
  <c r="P167" i="1" s="1"/>
  <c r="O161" i="1"/>
  <c r="N161" i="1"/>
  <c r="P161" i="1" s="1"/>
  <c r="O155" i="1"/>
  <c r="N155" i="1"/>
  <c r="P155" i="1" s="1"/>
  <c r="O147" i="1"/>
  <c r="N147" i="1"/>
  <c r="P147" i="1" s="1"/>
  <c r="O143" i="1"/>
  <c r="N143" i="1"/>
  <c r="P143" i="1" s="1"/>
  <c r="O139" i="1"/>
  <c r="N139" i="1"/>
  <c r="P139" i="1" s="1"/>
  <c r="O133" i="1"/>
  <c r="N133" i="1"/>
  <c r="P133" i="1" s="1"/>
  <c r="O127" i="1"/>
  <c r="N127" i="1"/>
  <c r="P127" i="1" s="1"/>
  <c r="O119" i="1"/>
  <c r="N119" i="1"/>
  <c r="P119" i="1" s="1"/>
  <c r="O114" i="1"/>
  <c r="N114" i="1"/>
  <c r="P114" i="1" s="1"/>
  <c r="O110" i="1"/>
  <c r="N110" i="1"/>
  <c r="P110" i="1" s="1"/>
  <c r="O106" i="1"/>
  <c r="N106" i="1"/>
  <c r="P106" i="1" s="1"/>
  <c r="O102" i="1"/>
  <c r="N102" i="1"/>
  <c r="P102" i="1" s="1"/>
  <c r="O95" i="1"/>
  <c r="N95" i="1"/>
  <c r="P95" i="1" s="1"/>
  <c r="O90" i="1"/>
  <c r="N90" i="1"/>
  <c r="P90" i="1" s="1"/>
  <c r="P83" i="1"/>
  <c r="O83" i="1"/>
  <c r="N83" i="1"/>
  <c r="O79" i="1"/>
  <c r="N79" i="1"/>
  <c r="P79" i="1" s="1"/>
  <c r="O74" i="1"/>
  <c r="N74" i="1"/>
  <c r="P74" i="1" s="1"/>
  <c r="P68" i="1"/>
  <c r="O68" i="1"/>
  <c r="N68" i="1"/>
  <c r="O61" i="1"/>
  <c r="N61" i="1"/>
  <c r="P61" i="1" s="1"/>
  <c r="O50" i="1"/>
  <c r="N50" i="1"/>
  <c r="P50" i="1" s="1"/>
  <c r="O44" i="1"/>
  <c r="N44" i="1"/>
  <c r="P44" i="1" s="1"/>
  <c r="O35" i="1"/>
  <c r="N35" i="1"/>
  <c r="P35" i="1" s="1"/>
  <c r="O27" i="1"/>
  <c r="N27" i="1"/>
  <c r="P27" i="1" s="1"/>
  <c r="O21" i="1"/>
  <c r="N21" i="1"/>
  <c r="P21" i="1" s="1"/>
  <c r="O16" i="1"/>
  <c r="N16" i="1"/>
  <c r="P16" i="1" s="1"/>
  <c r="O11" i="1"/>
  <c r="N11" i="1"/>
  <c r="P11" i="1" s="1"/>
  <c r="E44" i="4"/>
  <c r="E43" i="4"/>
  <c r="E42" i="4"/>
  <c r="E41" i="4"/>
  <c r="E40" i="4"/>
  <c r="E39" i="4"/>
  <c r="E38" i="4"/>
  <c r="D43" i="4"/>
  <c r="D40" i="4"/>
  <c r="D39" i="4"/>
  <c r="D38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C92" i="3" l="1"/>
  <c r="A85" i="3"/>
  <c r="B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A86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A87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89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A90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A91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A92" i="3"/>
  <c r="B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A93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A9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A95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A96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A9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A98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A99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A100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A101" i="3"/>
  <c r="B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A102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A10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A104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A105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A106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A107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A108" i="3"/>
  <c r="B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A109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A110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A111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A112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A113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A114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A115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A116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A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A9" i="3"/>
  <c r="B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A18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A33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A3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A35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A36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A37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A38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A39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A40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A41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A42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A43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A44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A45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A46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A47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A48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A49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A50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A51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A52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A53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A54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A55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A56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A57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A58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A59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A6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A61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63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A64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A65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A66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A67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A68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A69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A70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A71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A72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A73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A74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A75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A76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A77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A78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A79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A80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A81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A82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A83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A84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F183" i="1"/>
  <c r="J183" i="1" s="1"/>
  <c r="F184" i="1"/>
  <c r="K184" i="1" s="1"/>
  <c r="F178" i="1"/>
  <c r="L178" i="1" s="1"/>
  <c r="F179" i="1"/>
  <c r="L179" i="1" s="1"/>
  <c r="F180" i="1"/>
  <c r="L180" i="1" s="1"/>
  <c r="F172" i="1"/>
  <c r="J172" i="1" s="1"/>
  <c r="F173" i="1"/>
  <c r="K173" i="1" s="1"/>
  <c r="F174" i="1"/>
  <c r="K174" i="1" s="1"/>
  <c r="F175" i="1"/>
  <c r="K175" i="1" s="1"/>
  <c r="F168" i="1"/>
  <c r="L168" i="1" s="1"/>
  <c r="F169" i="1"/>
  <c r="K169" i="1" s="1"/>
  <c r="F162" i="1"/>
  <c r="K162" i="1" s="1"/>
  <c r="F163" i="1"/>
  <c r="K163" i="1" s="1"/>
  <c r="F164" i="1"/>
  <c r="L164" i="1" s="1"/>
  <c r="F165" i="1"/>
  <c r="L165" i="1" s="1"/>
  <c r="F156" i="1"/>
  <c r="L156" i="1" s="1"/>
  <c r="F157" i="1"/>
  <c r="L157" i="1" s="1"/>
  <c r="F158" i="1"/>
  <c r="L158" i="1" s="1"/>
  <c r="F159" i="1"/>
  <c r="K159" i="1" s="1"/>
  <c r="L148" i="1"/>
  <c r="L149" i="1"/>
  <c r="L150" i="1"/>
  <c r="L151" i="1"/>
  <c r="L152" i="1"/>
  <c r="L153" i="1"/>
  <c r="K148" i="1"/>
  <c r="K149" i="1"/>
  <c r="K150" i="1"/>
  <c r="K151" i="1"/>
  <c r="K152" i="1"/>
  <c r="K153" i="1"/>
  <c r="J148" i="1"/>
  <c r="F148" i="1"/>
  <c r="F149" i="1"/>
  <c r="J149" i="1" s="1"/>
  <c r="F150" i="1"/>
  <c r="J150" i="1" s="1"/>
  <c r="F151" i="1"/>
  <c r="J151" i="1" s="1"/>
  <c r="F152" i="1"/>
  <c r="J152" i="1" s="1"/>
  <c r="F153" i="1"/>
  <c r="J153" i="1" s="1"/>
  <c r="F144" i="1"/>
  <c r="L144" i="1" s="1"/>
  <c r="F145" i="1"/>
  <c r="L145" i="1" s="1"/>
  <c r="F140" i="1"/>
  <c r="J140" i="1" s="1"/>
  <c r="F141" i="1"/>
  <c r="K141" i="1" s="1"/>
  <c r="F134" i="1"/>
  <c r="J134" i="1" s="1"/>
  <c r="F135" i="1"/>
  <c r="K135" i="1" s="1"/>
  <c r="F136" i="1"/>
  <c r="K136" i="1" s="1"/>
  <c r="F137" i="1"/>
  <c r="K137" i="1" s="1"/>
  <c r="F128" i="1"/>
  <c r="F129" i="1"/>
  <c r="L129" i="1" s="1"/>
  <c r="F130" i="1"/>
  <c r="J130" i="1" s="1"/>
  <c r="F131" i="1"/>
  <c r="L131" i="1" s="1"/>
  <c r="F120" i="1"/>
  <c r="K120" i="1" s="1"/>
  <c r="F121" i="1"/>
  <c r="K121" i="1" s="1"/>
  <c r="F122" i="1"/>
  <c r="K122" i="1" s="1"/>
  <c r="F123" i="1"/>
  <c r="K123" i="1" s="1"/>
  <c r="F124" i="1"/>
  <c r="K124" i="1" s="1"/>
  <c r="F125" i="1"/>
  <c r="L125" i="1" s="1"/>
  <c r="F115" i="1"/>
  <c r="L115" i="1" s="1"/>
  <c r="F116" i="1"/>
  <c r="L116" i="1" s="1"/>
  <c r="F117" i="1"/>
  <c r="K117" i="1" s="1"/>
  <c r="F111" i="1"/>
  <c r="K111" i="1" s="1"/>
  <c r="F112" i="1"/>
  <c r="L112" i="1" s="1"/>
  <c r="F107" i="1"/>
  <c r="J107" i="1" s="1"/>
  <c r="F108" i="1"/>
  <c r="J108" i="1" s="1"/>
  <c r="F103" i="1"/>
  <c r="L103" i="1" s="1"/>
  <c r="F104" i="1"/>
  <c r="L104" i="1" s="1"/>
  <c r="F96" i="1"/>
  <c r="J96" i="1" s="1"/>
  <c r="F97" i="1"/>
  <c r="J97" i="1" s="1"/>
  <c r="F98" i="1"/>
  <c r="L98" i="1" s="1"/>
  <c r="F99" i="1"/>
  <c r="J99" i="1" s="1"/>
  <c r="F100" i="1"/>
  <c r="K100" i="1" s="1"/>
  <c r="F91" i="1"/>
  <c r="F92" i="1"/>
  <c r="K92" i="1" s="1"/>
  <c r="F93" i="1"/>
  <c r="L93" i="1" s="1"/>
  <c r="F84" i="1"/>
  <c r="J84" i="1" s="1"/>
  <c r="F85" i="1"/>
  <c r="J85" i="1" s="1"/>
  <c r="F86" i="1"/>
  <c r="L86" i="1" s="1"/>
  <c r="F87" i="1"/>
  <c r="J87" i="1" s="1"/>
  <c r="F88" i="1"/>
  <c r="K88" i="1" s="1"/>
  <c r="F80" i="1"/>
  <c r="K80" i="1" s="1"/>
  <c r="F81" i="1"/>
  <c r="K81" i="1" s="1"/>
  <c r="F75" i="1"/>
  <c r="L75" i="1" s="1"/>
  <c r="F76" i="1"/>
  <c r="K76" i="1" s="1"/>
  <c r="F77" i="1"/>
  <c r="J77" i="1" s="1"/>
  <c r="F69" i="1"/>
  <c r="K69" i="1" s="1"/>
  <c r="F70" i="1"/>
  <c r="L70" i="1" s="1"/>
  <c r="F71" i="1"/>
  <c r="L71" i="1" s="1"/>
  <c r="F72" i="1"/>
  <c r="L72" i="1" s="1"/>
  <c r="F62" i="1"/>
  <c r="K62" i="1" s="1"/>
  <c r="F63" i="1"/>
  <c r="J63" i="1" s="1"/>
  <c r="F64" i="1"/>
  <c r="J64" i="1" s="1"/>
  <c r="F65" i="1"/>
  <c r="J65" i="1" s="1"/>
  <c r="F66" i="1"/>
  <c r="J66" i="1" s="1"/>
  <c r="L57" i="1"/>
  <c r="L58" i="1"/>
  <c r="L59" i="1"/>
  <c r="K57" i="1"/>
  <c r="K58" i="1"/>
  <c r="K59" i="1"/>
  <c r="J57" i="1"/>
  <c r="J58" i="1"/>
  <c r="J59" i="1"/>
  <c r="F51" i="1"/>
  <c r="F52" i="1"/>
  <c r="K52" i="1" s="1"/>
  <c r="F53" i="1"/>
  <c r="J53" i="1" s="1"/>
  <c r="F54" i="1"/>
  <c r="K54" i="1" s="1"/>
  <c r="F55" i="1"/>
  <c r="K55" i="1" s="1"/>
  <c r="F56" i="1"/>
  <c r="L56" i="1" s="1"/>
  <c r="F57" i="1"/>
  <c r="F58" i="1"/>
  <c r="F59" i="1"/>
  <c r="F45" i="1"/>
  <c r="F46" i="1"/>
  <c r="K46" i="1" s="1"/>
  <c r="F47" i="1"/>
  <c r="J47" i="1" s="1"/>
  <c r="F48" i="1"/>
  <c r="J48" i="1" s="1"/>
  <c r="F36" i="1"/>
  <c r="J36" i="1" s="1"/>
  <c r="F37" i="1"/>
  <c r="J37" i="1" s="1"/>
  <c r="F38" i="1"/>
  <c r="K38" i="1" s="1"/>
  <c r="F39" i="1"/>
  <c r="K39" i="1" s="1"/>
  <c r="F40" i="1"/>
  <c r="K40" i="1" s="1"/>
  <c r="F41" i="1"/>
  <c r="K41" i="1" s="1"/>
  <c r="F42" i="1"/>
  <c r="K42" i="1" s="1"/>
  <c r="L33" i="1"/>
  <c r="F28" i="1"/>
  <c r="J28" i="1" s="1"/>
  <c r="F29" i="1"/>
  <c r="J29" i="1" s="1"/>
  <c r="F30" i="1"/>
  <c r="J30" i="1" s="1"/>
  <c r="F31" i="1"/>
  <c r="J31" i="1" s="1"/>
  <c r="F32" i="1"/>
  <c r="J32" i="1" s="1"/>
  <c r="F33" i="1"/>
  <c r="J33" i="1" s="1"/>
  <c r="F22" i="1"/>
  <c r="F23" i="1"/>
  <c r="L23" i="1" s="1"/>
  <c r="F24" i="1"/>
  <c r="K24" i="1" s="1"/>
  <c r="F25" i="1"/>
  <c r="L25" i="1" s="1"/>
  <c r="F17" i="1"/>
  <c r="J17" i="1" s="1"/>
  <c r="F18" i="1"/>
  <c r="J18" i="1" s="1"/>
  <c r="F19" i="1"/>
  <c r="K19" i="1" s="1"/>
  <c r="F12" i="1"/>
  <c r="L12" i="1" s="1"/>
  <c r="F13" i="1"/>
  <c r="J13" i="1" s="1"/>
  <c r="F14" i="1"/>
  <c r="K14" i="1" s="1"/>
  <c r="F185" i="1"/>
  <c r="F20" i="1"/>
  <c r="F15" i="1"/>
  <c r="C101" i="3" l="1"/>
  <c r="C85" i="3"/>
  <c r="C9" i="3"/>
  <c r="C108" i="3"/>
  <c r="L124" i="1"/>
  <c r="L122" i="1"/>
  <c r="L31" i="1"/>
  <c r="L29" i="1"/>
  <c r="L41" i="1"/>
  <c r="L135" i="1"/>
  <c r="L40" i="1"/>
  <c r="L36" i="1"/>
  <c r="K65" i="1"/>
  <c r="L32" i="1"/>
  <c r="J55" i="1"/>
  <c r="L88" i="1"/>
  <c r="F160" i="1"/>
  <c r="L55" i="1"/>
  <c r="L39" i="1"/>
  <c r="L37" i="1"/>
  <c r="K64" i="1"/>
  <c r="L123" i="1"/>
  <c r="L30" i="1"/>
  <c r="L28" i="1"/>
  <c r="L34" i="1" s="1"/>
  <c r="K134" i="1"/>
  <c r="K138" i="1" s="1"/>
  <c r="L136" i="1"/>
  <c r="L134" i="1"/>
  <c r="L65" i="1"/>
  <c r="J56" i="1"/>
  <c r="K56" i="1"/>
  <c r="F73" i="1"/>
  <c r="L38" i="1"/>
  <c r="K66" i="1"/>
  <c r="L64" i="1"/>
  <c r="K28" i="1"/>
  <c r="L137" i="1"/>
  <c r="F181" i="1"/>
  <c r="L66" i="1"/>
  <c r="K53" i="1"/>
  <c r="F26" i="1"/>
  <c r="J86" i="1"/>
  <c r="K87" i="1"/>
  <c r="F89" i="1"/>
  <c r="K86" i="1"/>
  <c r="J112" i="1"/>
  <c r="L111" i="1"/>
  <c r="J163" i="1"/>
  <c r="F109" i="1"/>
  <c r="L163" i="1"/>
  <c r="F34" i="1"/>
  <c r="G34" i="1" s="1"/>
  <c r="L54" i="1"/>
  <c r="J165" i="1"/>
  <c r="L53" i="1"/>
  <c r="J164" i="1"/>
  <c r="K85" i="1"/>
  <c r="F105" i="1"/>
  <c r="I105" i="1" s="1"/>
  <c r="K84" i="1"/>
  <c r="K89" i="1" s="1"/>
  <c r="K165" i="1"/>
  <c r="F49" i="1"/>
  <c r="K164" i="1"/>
  <c r="H166" i="1" s="1"/>
  <c r="F113" i="1"/>
  <c r="K33" i="1"/>
  <c r="L87" i="1"/>
  <c r="K32" i="1"/>
  <c r="F142" i="1"/>
  <c r="K31" i="1"/>
  <c r="L85" i="1"/>
  <c r="I89" i="1" s="1"/>
  <c r="F146" i="1"/>
  <c r="I146" i="1" s="1"/>
  <c r="K30" i="1"/>
  <c r="L84" i="1"/>
  <c r="F154" i="1"/>
  <c r="K29" i="1"/>
  <c r="F94" i="1"/>
  <c r="L121" i="1"/>
  <c r="K172" i="1"/>
  <c r="H176" i="1" s="1"/>
  <c r="L174" i="1"/>
  <c r="J19" i="1"/>
  <c r="G20" i="1" s="1"/>
  <c r="L69" i="1"/>
  <c r="L73" i="1" s="1"/>
  <c r="K97" i="1"/>
  <c r="K18" i="1"/>
  <c r="H20" i="1" s="1"/>
  <c r="L172" i="1"/>
  <c r="L154" i="1"/>
  <c r="L19" i="1"/>
  <c r="K37" i="1"/>
  <c r="L17" i="1"/>
  <c r="I20" i="1" s="1"/>
  <c r="K36" i="1"/>
  <c r="K43" i="1" s="1"/>
  <c r="L97" i="1"/>
  <c r="J136" i="1"/>
  <c r="F60" i="1"/>
  <c r="J174" i="1"/>
  <c r="L120" i="1"/>
  <c r="J173" i="1"/>
  <c r="J176" i="1" s="1"/>
  <c r="J98" i="1"/>
  <c r="J101" i="1" s="1"/>
  <c r="K154" i="1"/>
  <c r="K99" i="1"/>
  <c r="L175" i="1"/>
  <c r="J54" i="1"/>
  <c r="K98" i="1"/>
  <c r="K101" i="1" s="1"/>
  <c r="F132" i="1"/>
  <c r="L173" i="1"/>
  <c r="K96" i="1"/>
  <c r="K17" i="1"/>
  <c r="L100" i="1"/>
  <c r="L99" i="1"/>
  <c r="L18" i="1"/>
  <c r="L42" i="1"/>
  <c r="L96" i="1"/>
  <c r="J135" i="1"/>
  <c r="L113" i="1"/>
  <c r="J154" i="1"/>
  <c r="K176" i="1"/>
  <c r="L105" i="1"/>
  <c r="L146" i="1"/>
  <c r="J34" i="1"/>
  <c r="K20" i="1"/>
  <c r="J109" i="1"/>
  <c r="G109" i="1"/>
  <c r="L170" i="1"/>
  <c r="L126" i="1"/>
  <c r="J20" i="1"/>
  <c r="L181" i="1"/>
  <c r="K82" i="1"/>
  <c r="J162" i="1"/>
  <c r="J76" i="1"/>
  <c r="K77" i="1"/>
  <c r="K116" i="1"/>
  <c r="I154" i="1"/>
  <c r="K75" i="1"/>
  <c r="J179" i="1"/>
  <c r="L77" i="1"/>
  <c r="K140" i="1"/>
  <c r="K142" i="1" s="1"/>
  <c r="L141" i="1"/>
  <c r="J103" i="1"/>
  <c r="F78" i="1"/>
  <c r="K178" i="1"/>
  <c r="K103" i="1"/>
  <c r="L62" i="1"/>
  <c r="J129" i="1"/>
  <c r="L162" i="1"/>
  <c r="K104" i="1"/>
  <c r="J46" i="1"/>
  <c r="J169" i="1"/>
  <c r="K22" i="1"/>
  <c r="K47" i="1"/>
  <c r="L130" i="1"/>
  <c r="L22" i="1"/>
  <c r="I181" i="1"/>
  <c r="J141" i="1"/>
  <c r="J25" i="1"/>
  <c r="J24" i="1"/>
  <c r="L117" i="1"/>
  <c r="L118" i="1" s="1"/>
  <c r="K180" i="1"/>
  <c r="J93" i="1"/>
  <c r="J91" i="1"/>
  <c r="K129" i="1"/>
  <c r="J117" i="1"/>
  <c r="J75" i="1"/>
  <c r="J78" i="1" s="1"/>
  <c r="J115" i="1"/>
  <c r="K179" i="1"/>
  <c r="J92" i="1"/>
  <c r="L63" i="1"/>
  <c r="K93" i="1"/>
  <c r="J144" i="1"/>
  <c r="F118" i="1"/>
  <c r="K48" i="1"/>
  <c r="J12" i="1"/>
  <c r="K168" i="1"/>
  <c r="K170" i="1" s="1"/>
  <c r="F166" i="1"/>
  <c r="K51" i="1"/>
  <c r="J125" i="1"/>
  <c r="L169" i="1"/>
  <c r="J42" i="1"/>
  <c r="L80" i="1"/>
  <c r="L128" i="1"/>
  <c r="K12" i="1"/>
  <c r="J41" i="1"/>
  <c r="J72" i="1"/>
  <c r="K108" i="1"/>
  <c r="L14" i="1"/>
  <c r="J40" i="1"/>
  <c r="L47" i="1"/>
  <c r="J71" i="1"/>
  <c r="K107" i="1"/>
  <c r="J122" i="1"/>
  <c r="K158" i="1"/>
  <c r="K183" i="1"/>
  <c r="F43" i="1"/>
  <c r="I43" i="1" s="1"/>
  <c r="L13" i="1"/>
  <c r="J39" i="1"/>
  <c r="L46" i="1"/>
  <c r="J70" i="1"/>
  <c r="L108" i="1"/>
  <c r="J121" i="1"/>
  <c r="K157" i="1"/>
  <c r="L184" i="1"/>
  <c r="J116" i="1"/>
  <c r="J180" i="1"/>
  <c r="J52" i="1"/>
  <c r="K115" i="1"/>
  <c r="L76" i="1"/>
  <c r="L78" i="1" s="1"/>
  <c r="J128" i="1"/>
  <c r="K25" i="1"/>
  <c r="J145" i="1"/>
  <c r="J45" i="1"/>
  <c r="J49" i="1" s="1"/>
  <c r="K145" i="1"/>
  <c r="K144" i="1"/>
  <c r="L81" i="1"/>
  <c r="K13" i="1"/>
  <c r="J156" i="1"/>
  <c r="L183" i="1"/>
  <c r="J131" i="1"/>
  <c r="K63" i="1"/>
  <c r="H67" i="1" s="1"/>
  <c r="J178" i="1"/>
  <c r="J23" i="1"/>
  <c r="J104" i="1"/>
  <c r="L140" i="1"/>
  <c r="K130" i="1"/>
  <c r="J14" i="1"/>
  <c r="J80" i="1"/>
  <c r="J82" i="1" s="1"/>
  <c r="K128" i="1"/>
  <c r="K132" i="1" s="1"/>
  <c r="F82" i="1"/>
  <c r="K91" i="1"/>
  <c r="K94" i="1" s="1"/>
  <c r="L24" i="1"/>
  <c r="J158" i="1"/>
  <c r="L92" i="1"/>
  <c r="J184" i="1"/>
  <c r="G185" i="1" s="1"/>
  <c r="K45" i="1"/>
  <c r="L91" i="1"/>
  <c r="L94" i="1" s="1"/>
  <c r="L48" i="1"/>
  <c r="J123" i="1"/>
  <c r="J38" i="1"/>
  <c r="L45" i="1"/>
  <c r="J69" i="1"/>
  <c r="L107" i="1"/>
  <c r="J120" i="1"/>
  <c r="K156" i="1"/>
  <c r="K72" i="1"/>
  <c r="K125" i="1"/>
  <c r="J137" i="1"/>
  <c r="L159" i="1"/>
  <c r="I160" i="1" s="1"/>
  <c r="J175" i="1"/>
  <c r="F67" i="1"/>
  <c r="J62" i="1"/>
  <c r="J67" i="1" s="1"/>
  <c r="K131" i="1"/>
  <c r="K23" i="1"/>
  <c r="J81" i="1"/>
  <c r="J157" i="1"/>
  <c r="F126" i="1"/>
  <c r="F170" i="1"/>
  <c r="K71" i="1"/>
  <c r="L52" i="1"/>
  <c r="L51" i="1"/>
  <c r="J111" i="1"/>
  <c r="F138" i="1"/>
  <c r="F101" i="1"/>
  <c r="F176" i="1"/>
  <c r="J51" i="1"/>
  <c r="J22" i="1"/>
  <c r="J168" i="1"/>
  <c r="J159" i="1"/>
  <c r="J124" i="1"/>
  <c r="J88" i="1"/>
  <c r="J89" i="1" s="1"/>
  <c r="J100" i="1"/>
  <c r="K70" i="1"/>
  <c r="K112" i="1"/>
  <c r="G154" i="1"/>
  <c r="H154" i="1"/>
  <c r="G142" i="1" l="1"/>
  <c r="H34" i="1"/>
  <c r="K73" i="1"/>
  <c r="L20" i="1"/>
  <c r="L67" i="1"/>
  <c r="K181" i="1"/>
  <c r="J105" i="1"/>
  <c r="L15" i="1"/>
  <c r="H89" i="1"/>
  <c r="K166" i="1"/>
  <c r="H126" i="1"/>
  <c r="H113" i="1"/>
  <c r="L49" i="1"/>
  <c r="I113" i="1"/>
  <c r="L43" i="1"/>
  <c r="I118" i="1"/>
  <c r="K34" i="1"/>
  <c r="H43" i="1"/>
  <c r="J132" i="1"/>
  <c r="L138" i="1"/>
  <c r="J138" i="1"/>
  <c r="I34" i="1"/>
  <c r="K118" i="1"/>
  <c r="J15" i="1"/>
  <c r="I138" i="1"/>
  <c r="K67" i="1"/>
  <c r="J113" i="1"/>
  <c r="K78" i="1"/>
  <c r="H146" i="1"/>
  <c r="K15" i="1"/>
  <c r="J73" i="1"/>
  <c r="J26" i="1"/>
  <c r="K126" i="1"/>
  <c r="L82" i="1"/>
  <c r="J170" i="1"/>
  <c r="I101" i="1"/>
  <c r="J142" i="1"/>
  <c r="G43" i="1"/>
  <c r="G126" i="1"/>
  <c r="J60" i="1"/>
  <c r="I176" i="1"/>
  <c r="K113" i="1"/>
  <c r="L176" i="1"/>
  <c r="G89" i="1"/>
  <c r="H73" i="1"/>
  <c r="I126" i="1"/>
  <c r="G160" i="1"/>
  <c r="I15" i="1"/>
  <c r="L101" i="1"/>
  <c r="G105" i="1"/>
  <c r="H78" i="1"/>
  <c r="G15" i="1"/>
  <c r="I73" i="1"/>
  <c r="G78" i="1"/>
  <c r="L89" i="1"/>
  <c r="H15" i="1"/>
  <c r="G176" i="1"/>
  <c r="K105" i="1"/>
  <c r="L60" i="1"/>
  <c r="I60" i="1"/>
  <c r="J43" i="1"/>
  <c r="G101" i="1"/>
  <c r="H118" i="1"/>
  <c r="J181" i="1"/>
  <c r="G170" i="1"/>
  <c r="H132" i="1"/>
  <c r="G166" i="1"/>
  <c r="J166" i="1"/>
  <c r="F189" i="1"/>
  <c r="J185" i="1"/>
  <c r="H26" i="1"/>
  <c r="K26" i="1"/>
  <c r="L166" i="1"/>
  <c r="I166" i="1"/>
  <c r="H60" i="1"/>
  <c r="K60" i="1"/>
  <c r="I78" i="1"/>
  <c r="I82" i="1"/>
  <c r="J146" i="1"/>
  <c r="L142" i="1"/>
  <c r="I109" i="1"/>
  <c r="L109" i="1"/>
  <c r="L132" i="1"/>
  <c r="K49" i="1"/>
  <c r="J118" i="1"/>
  <c r="H82" i="1"/>
  <c r="G26" i="1"/>
  <c r="H138" i="1"/>
  <c r="I170" i="1"/>
  <c r="H94" i="1"/>
  <c r="H170" i="1"/>
  <c r="G118" i="1"/>
  <c r="I67" i="1"/>
  <c r="G82" i="1"/>
  <c r="G132" i="1"/>
  <c r="L26" i="1"/>
  <c r="I26" i="1"/>
  <c r="I132" i="1"/>
  <c r="G138" i="1"/>
  <c r="G60" i="1"/>
  <c r="H181" i="1"/>
  <c r="G67" i="1"/>
  <c r="G113" i="1"/>
  <c r="I49" i="1"/>
  <c r="L160" i="1"/>
  <c r="H101" i="1"/>
  <c r="G146" i="1"/>
  <c r="G73" i="1"/>
  <c r="H142" i="1"/>
  <c r="H185" i="1"/>
  <c r="K185" i="1"/>
  <c r="I94" i="1"/>
  <c r="J94" i="1"/>
  <c r="I142" i="1"/>
  <c r="K109" i="1"/>
  <c r="H109" i="1"/>
  <c r="G94" i="1"/>
  <c r="G181" i="1"/>
  <c r="I185" i="1"/>
  <c r="L185" i="1"/>
  <c r="H49" i="1"/>
  <c r="J160" i="1"/>
  <c r="H105" i="1"/>
  <c r="G49" i="1"/>
  <c r="K160" i="1"/>
  <c r="H160" i="1"/>
  <c r="J126" i="1"/>
  <c r="K146" i="1"/>
  <c r="K191" i="1" l="1"/>
  <c r="H194" i="1" s="1"/>
  <c r="L192" i="1"/>
  <c r="I195" i="1" s="1"/>
  <c r="J190" i="1"/>
  <c r="G193" i="1" s="1"/>
</calcChain>
</file>

<file path=xl/sharedStrings.xml><?xml version="1.0" encoding="utf-8"?>
<sst xmlns="http://schemas.openxmlformats.org/spreadsheetml/2006/main" count="390" uniqueCount="342">
  <si>
    <t>Aircraft Mass Properties Tracker</t>
  </si>
  <si>
    <t>Coordinate system: X = longitudinal (aft +), Y = lateral (right +), Z = vertical (up +). Units: mass in kg, positions in m. Moments = mass × position.</t>
  </si>
  <si>
    <t>ATA</t>
  </si>
  <si>
    <t>Component</t>
  </si>
  <si>
    <t>Description / P/N</t>
  </si>
  <si>
    <t>Qty</t>
  </si>
  <si>
    <t>Unit Mass (kg)</t>
  </si>
  <si>
    <t>Total Mass (kg)</t>
  </si>
  <si>
    <t>X (m)</t>
  </si>
  <si>
    <t>Y (m)</t>
  </si>
  <si>
    <t>Z (m)</t>
  </si>
  <si>
    <t>Mx (kg·m)</t>
  </si>
  <si>
    <t>My (kg·m)</t>
  </si>
  <si>
    <t>Mz (kg·m)</t>
  </si>
  <si>
    <t>Notes</t>
  </si>
  <si>
    <t>ATA 21</t>
  </si>
  <si>
    <t>Air Conditioning</t>
  </si>
  <si>
    <t>Pack 1</t>
  </si>
  <si>
    <t>Pack 2</t>
  </si>
  <si>
    <t>Mix Manifold</t>
  </si>
  <si>
    <t>ATA 21 Subtotal</t>
  </si>
  <si>
    <t>ATA 22</t>
  </si>
  <si>
    <t>Auto Flight</t>
  </si>
  <si>
    <t>FCC 1</t>
  </si>
  <si>
    <t>FCC 2</t>
  </si>
  <si>
    <t>Autothrottle Servo</t>
  </si>
  <si>
    <t>ATA 22 Subtotal</t>
  </si>
  <si>
    <t>ATA 23</t>
  </si>
  <si>
    <t>Communications</t>
  </si>
  <si>
    <t>VHF Comm 1</t>
  </si>
  <si>
    <t>VHF Comm 2</t>
  </si>
  <si>
    <t>SATCOM</t>
  </si>
  <si>
    <t>CVR</t>
  </si>
  <si>
    <t>ATA 23 Subtotal</t>
  </si>
  <si>
    <t>ATA 24</t>
  </si>
  <si>
    <t>Electrical Power</t>
  </si>
  <si>
    <t>IDG 1</t>
  </si>
  <si>
    <t>IDG 2</t>
  </si>
  <si>
    <t>APU Generator</t>
  </si>
  <si>
    <t>Main Battery</t>
  </si>
  <si>
    <t>TRU 1</t>
  </si>
  <si>
    <t>TRU 2</t>
  </si>
  <si>
    <t>ATA 24 Subtotal</t>
  </si>
  <si>
    <t>ATA 25</t>
  </si>
  <si>
    <t>Equipment / Furnishings</t>
  </si>
  <si>
    <t>Flight Deck Seats</t>
  </si>
  <si>
    <t>Cabin Seats</t>
  </si>
  <si>
    <t>Galley Fwd</t>
  </si>
  <si>
    <t>Galley Aft</t>
  </si>
  <si>
    <t>Lavatory Fwd</t>
  </si>
  <si>
    <t>Lavatory Aft</t>
  </si>
  <si>
    <t>Overhead Bins</t>
  </si>
  <si>
    <t>ATA 25 Subtotal</t>
  </si>
  <si>
    <t>ATA 26</t>
  </si>
  <si>
    <t>Fire Protection</t>
  </si>
  <si>
    <t>Engine 1 Fire Bottle</t>
  </si>
  <si>
    <t>Engine 2 Fire Bottle</t>
  </si>
  <si>
    <t>APU Fire Bottle</t>
  </si>
  <si>
    <t>Cargo Fire Bottles</t>
  </si>
  <si>
    <t>ATA 26 Subtotal</t>
  </si>
  <si>
    <t>ATA 27</t>
  </si>
  <si>
    <t>Flight Controls</t>
  </si>
  <si>
    <t>Aileron LH</t>
  </si>
  <si>
    <t>Aileron RH</t>
  </si>
  <si>
    <t>Elevator LH</t>
  </si>
  <si>
    <t>Elevator RH</t>
  </si>
  <si>
    <t>Rudder</t>
  </si>
  <si>
    <t>Flap LH</t>
  </si>
  <si>
    <t>Flap RH</t>
  </si>
  <si>
    <t>Spoilers</t>
  </si>
  <si>
    <t>PCU Assemblies</t>
  </si>
  <si>
    <t>ATA 27 Subtotal</t>
  </si>
  <si>
    <t>ATA 28</t>
  </si>
  <si>
    <t>Fuel</t>
  </si>
  <si>
    <t>Fuel Tank LH (full)</t>
  </si>
  <si>
    <t>Fuel Tank RH (full)</t>
  </si>
  <si>
    <t>Center Tank (full)</t>
  </si>
  <si>
    <t>Boost Pumps</t>
  </si>
  <si>
    <t>Fuel Lines</t>
  </si>
  <si>
    <t>ATA 28 Subtotal</t>
  </si>
  <si>
    <t>ATA 29</t>
  </si>
  <si>
    <t>Hydraulic Power</t>
  </si>
  <si>
    <t>Hyd System A Pump</t>
  </si>
  <si>
    <t>Hyd System B Pump</t>
  </si>
  <si>
    <t>Hyd Reservoir A</t>
  </si>
  <si>
    <t>Hyd Reservoir B</t>
  </si>
  <si>
    <t>ATA 29 Subtotal</t>
  </si>
  <si>
    <t>ATA 30</t>
  </si>
  <si>
    <t>Ice &amp; Rain Protection</t>
  </si>
  <si>
    <t>Wing Anti-Ice Ducting</t>
  </si>
  <si>
    <t>Engine Anti-Ice Valves</t>
  </si>
  <si>
    <t>Window Heat</t>
  </si>
  <si>
    <t>ATA 30 Subtotal</t>
  </si>
  <si>
    <t>ATA 31</t>
  </si>
  <si>
    <t>Indicating / Recording</t>
  </si>
  <si>
    <t>DFDR</t>
  </si>
  <si>
    <t>Display Units</t>
  </si>
  <si>
    <t>ATA 31 Subtotal</t>
  </si>
  <si>
    <t>ATA 32</t>
  </si>
  <si>
    <t>Landing Gear</t>
  </si>
  <si>
    <t>Nose Gear Assy</t>
  </si>
  <si>
    <t>MLG LH</t>
  </si>
  <si>
    <t>MLG RH</t>
  </si>
  <si>
    <t>Brakes</t>
  </si>
  <si>
    <t>Wheels &amp; Tires</t>
  </si>
  <si>
    <t>ATA 32 Subtotal</t>
  </si>
  <si>
    <t>ATA 33</t>
  </si>
  <si>
    <t>Lights</t>
  </si>
  <si>
    <t>Landing Lights</t>
  </si>
  <si>
    <t>Nav Lights</t>
  </si>
  <si>
    <t>Cabin Lighting</t>
  </si>
  <si>
    <t>ATA 33 Subtotal</t>
  </si>
  <si>
    <t>ATA 34</t>
  </si>
  <si>
    <t>Navigation</t>
  </si>
  <si>
    <t>IRS 1</t>
  </si>
  <si>
    <t>IRS 2</t>
  </si>
  <si>
    <t>GPS</t>
  </si>
  <si>
    <t>Weather Radar</t>
  </si>
  <si>
    <t>Radio Altimeter</t>
  </si>
  <si>
    <t>ATA 34 Subtotal</t>
  </si>
  <si>
    <t>ATA 35</t>
  </si>
  <si>
    <t>Oxygen</t>
  </si>
  <si>
    <t>Crew O2 Bottle</t>
  </si>
  <si>
    <t>Pax O2 Generators</t>
  </si>
  <si>
    <t>ATA 35 Subtotal</t>
  </si>
  <si>
    <t>ATA 36</t>
  </si>
  <si>
    <t>Pneumatic</t>
  </si>
  <si>
    <t>Bleed Air Ducting</t>
  </si>
  <si>
    <t>Precoolers</t>
  </si>
  <si>
    <t>ATA 36 Subtotal</t>
  </si>
  <si>
    <t>ATA 38</t>
  </si>
  <si>
    <t>Water / Waste</t>
  </si>
  <si>
    <t>Potable Water Tank</t>
  </si>
  <si>
    <t>Waste Tank</t>
  </si>
  <si>
    <t>ATA 38 Subtotal</t>
  </si>
  <si>
    <t>ATA 49</t>
  </si>
  <si>
    <t>APU</t>
  </si>
  <si>
    <t>APU Assembly</t>
  </si>
  <si>
    <t>APU Mounts</t>
  </si>
  <si>
    <t>APU Inlet/Exhaust</t>
  </si>
  <si>
    <t>ATA 49 Subtotal</t>
  </si>
  <si>
    <t>ATA 52</t>
  </si>
  <si>
    <t>Doors</t>
  </si>
  <si>
    <t>Fwd Pax Door LH</t>
  </si>
  <si>
    <t>Fwd Pax Door RH</t>
  </si>
  <si>
    <t>Aft Pax Door LH</t>
  </si>
  <si>
    <t>Aft Pax Door RH</t>
  </si>
  <si>
    <t>Cargo Door Fwd</t>
  </si>
  <si>
    <t>Cargo Door Aft</t>
  </si>
  <si>
    <t>ATA 52 Subtotal</t>
  </si>
  <si>
    <t>ATA 53</t>
  </si>
  <si>
    <t>Fuselage</t>
  </si>
  <si>
    <t>Fwd Fuselage Section</t>
  </si>
  <si>
    <t>Center Fuselage Section</t>
  </si>
  <si>
    <t>Aft Fuselage Section</t>
  </si>
  <si>
    <t>Pressure Bulkhead</t>
  </si>
  <si>
    <t>ATA 53 Subtotal</t>
  </si>
  <si>
    <t>ATA 54</t>
  </si>
  <si>
    <t>Nacelles / Pylons</t>
  </si>
  <si>
    <t>Pylon LH</t>
  </si>
  <si>
    <t>Pylon RH</t>
  </si>
  <si>
    <t>Nacelle LH</t>
  </si>
  <si>
    <t>Nacelle RH</t>
  </si>
  <si>
    <t>ATA 54 Subtotal</t>
  </si>
  <si>
    <t>ATA 55</t>
  </si>
  <si>
    <t>Stabilizers</t>
  </si>
  <si>
    <t>Horizontal Stab</t>
  </si>
  <si>
    <t>Vertical Stab</t>
  </si>
  <si>
    <t>ATA 55 Subtotal</t>
  </si>
  <si>
    <t>ATA 56</t>
  </si>
  <si>
    <t>Windows</t>
  </si>
  <si>
    <t>Flight Deck Windows</t>
  </si>
  <si>
    <t>Cabin Windows</t>
  </si>
  <si>
    <t>ATA 56 Subtotal</t>
  </si>
  <si>
    <t>ATA 57</t>
  </si>
  <si>
    <t>Wings</t>
  </si>
  <si>
    <t>Wing Box LH</t>
  </si>
  <si>
    <t>Wing Box RH</t>
  </si>
  <si>
    <t>Wing Skins LH</t>
  </si>
  <si>
    <t>Wing Skins RH</t>
  </si>
  <si>
    <t>Leading Edge</t>
  </si>
  <si>
    <t>Trailing Edge</t>
  </si>
  <si>
    <t>ATA 57 Subtotal</t>
  </si>
  <si>
    <t>ATA 71</t>
  </si>
  <si>
    <t>Power Plant</t>
  </si>
  <si>
    <t>Engine 1 Core</t>
  </si>
  <si>
    <t>Engine 2 Core</t>
  </si>
  <si>
    <t>Engine Mounts LH</t>
  </si>
  <si>
    <t>Engine Mounts RH</t>
  </si>
  <si>
    <t>ATA 71 Subtotal</t>
  </si>
  <si>
    <t>ATA 73</t>
  </si>
  <si>
    <t>Engine Fuel &amp; Control</t>
  </si>
  <si>
    <t>FADEC 1</t>
  </si>
  <si>
    <t>FADEC 2</t>
  </si>
  <si>
    <t>Fuel Metering Unit 1</t>
  </si>
  <si>
    <t>Fuel Metering Unit 2</t>
  </si>
  <si>
    <t>ATA 73 Subtotal</t>
  </si>
  <si>
    <t>ATA 75</t>
  </si>
  <si>
    <t>Engine Air</t>
  </si>
  <si>
    <t>Bleed Valves</t>
  </si>
  <si>
    <t>Variable Stator Vanes</t>
  </si>
  <si>
    <t>ATA 75 Subtotal</t>
  </si>
  <si>
    <t>ATA 78</t>
  </si>
  <si>
    <t>Exhaust</t>
  </si>
  <si>
    <t>Exhaust Nozzle LH</t>
  </si>
  <si>
    <t>Exhaust Nozzle RH</t>
  </si>
  <si>
    <t>Thrust Reverser LH</t>
  </si>
  <si>
    <t>Thrust Reverser RH</t>
  </si>
  <si>
    <t>ATA 78 Subtotal</t>
  </si>
  <si>
    <t>ATA 79</t>
  </si>
  <si>
    <t>Engine Oil</t>
  </si>
  <si>
    <t>Oil Tank 1</t>
  </si>
  <si>
    <t>Oil Tank 2</t>
  </si>
  <si>
    <t>Oil Coolers</t>
  </si>
  <si>
    <t>ATA 79 Subtotal</t>
  </si>
  <si>
    <t>ATA 80</t>
  </si>
  <si>
    <t>Starting</t>
  </si>
  <si>
    <t>Starter 1</t>
  </si>
  <si>
    <t>Starter 2</t>
  </si>
  <si>
    <t>ATA 80 Subtotal</t>
  </si>
  <si>
    <t>AIRCRAFT TOTAL / CG</t>
  </si>
  <si>
    <t>Total Moment X (kg·m)</t>
  </si>
  <si>
    <t>Total Moment Y (kg·m)</t>
  </si>
  <si>
    <t>Total Moment Z (kg·m)</t>
  </si>
  <si>
    <t>Aircraft CG X (m)</t>
  </si>
  <si>
    <t>Aircraft CG Y (m)</t>
  </si>
  <si>
    <t>Aircraft CG Z (m)</t>
  </si>
  <si>
    <t>Aft of wing, LH</t>
  </si>
  <si>
    <t>Aft of wing, RH</t>
  </si>
  <si>
    <t>Avionics bay fwd</t>
  </si>
  <si>
    <t>Throttle quadrant</t>
  </si>
  <si>
    <t>Upper aft fuselage</t>
  </si>
  <si>
    <t>Aft fuselage (crashworthy)</t>
  </si>
  <si>
    <t>Engine accessory gearbox LH</t>
  </si>
  <si>
    <t>Engine accessory gearbox RH</t>
  </si>
  <si>
    <t>On APU</t>
  </si>
  <si>
    <t>Fwd equipment bay, 2x NiCd</t>
  </si>
  <si>
    <t>2 crew</t>
  </si>
  <si>
    <t>9 pax club + divan avg position</t>
  </si>
  <si>
    <t>Distributed, lumped at cabin centroid</t>
  </si>
  <si>
    <t>T-tail</t>
  </si>
  <si>
    <t>2 per wing</t>
  </si>
  <si>
    <t>Distributed</t>
  </si>
  <si>
    <t>Integral wing tank, ~3100 L Jet A</t>
  </si>
  <si>
    <t>Wing center section</t>
  </si>
  <si>
    <t>Lumped</t>
  </si>
  <si>
    <t>Engine-driven LH</t>
  </si>
  <si>
    <t>Engine-driven RH</t>
  </si>
  <si>
    <t>Bleed-air leading edge</t>
  </si>
  <si>
    <t>Cockpit</t>
  </si>
  <si>
    <t>Retracted position centroid</t>
  </si>
  <si>
    <t>4 wheels</t>
  </si>
  <si>
    <t>4 MLG + 2 NLG</t>
  </si>
  <si>
    <t>Wing root / MLG</t>
  </si>
  <si>
    <t>Wingtips + tail</t>
  </si>
  <si>
    <t>Antennas on top fuselage</t>
  </si>
  <si>
    <t>Nose radome</t>
  </si>
  <si>
    <t>Fwd equipment bay</t>
  </si>
  <si>
    <t>Chemical generators in PSU</t>
  </si>
  <si>
    <t>Engine to wing/pack</t>
  </si>
  <si>
    <t>~60 L at 100% fill</t>
  </si>
  <si>
    <t>Aft of aft lav</t>
  </si>
  <si>
    <t>Aft fuselage, typ. P&amp;W 901 class</t>
  </si>
  <si>
    <t>Main entry / airstair</t>
  </si>
  <si>
    <t>Service door</t>
  </si>
  <si>
    <t>Emergency exit</t>
  </si>
  <si>
    <t>Belly nose baggage</t>
  </si>
  <si>
    <t>External aft baggage</t>
  </si>
  <si>
    <t>Nose to fwd pressure bulkhead</t>
  </si>
  <si>
    <t>Wing carry-through</t>
  </si>
  <si>
    <t>Pressurized aft + tailcone</t>
  </si>
  <si>
    <t>Aft pressure bulkhead</t>
  </si>
  <si>
    <t>T-tail top of vertical</t>
  </si>
  <si>
    <t>5-panel, lumped</t>
  </si>
  <si>
    <t>7 per side</t>
  </si>
  <si>
    <t>Both wings, lumped</t>
  </si>
  <si>
    <t>Dry weight, aft fuselage mount</t>
  </si>
  <si>
    <t>Per engine actuator</t>
  </si>
  <si>
    <t>Air turbine starter</t>
  </si>
  <si>
    <t>Version</t>
  </si>
  <si>
    <t>Status</t>
  </si>
  <si>
    <t>Draft</t>
  </si>
  <si>
    <t>Last Updated</t>
  </si>
  <si>
    <t>Author</t>
  </si>
  <si>
    <t>Change Note</t>
  </si>
  <si>
    <t>Initial business jet baseline (Challenger 350 / Praetor 500 class)</t>
  </si>
  <si>
    <t>version</t>
  </si>
  <si>
    <t>status</t>
  </si>
  <si>
    <t>last_updated</t>
  </si>
  <si>
    <t>author</t>
  </si>
  <si>
    <t>change_note</t>
  </si>
  <si>
    <t>ata</t>
  </si>
  <si>
    <t>component</t>
  </si>
  <si>
    <t>description</t>
  </si>
  <si>
    <t>qty</t>
  </si>
  <si>
    <t>unit_mass_kg</t>
  </si>
  <si>
    <t>total_mass_kg</t>
  </si>
  <si>
    <t>x_m</t>
  </si>
  <si>
    <t>y_m</t>
  </si>
  <si>
    <t>z_m</t>
  </si>
  <si>
    <t>mx_kgm</t>
  </si>
  <si>
    <t>my_kgm</t>
  </si>
  <si>
    <t>mz_kgm</t>
  </si>
  <si>
    <t>notes</t>
  </si>
  <si>
    <t>EXPORT INSTRUCTIONS</t>
  </si>
  <si>
    <t>1. Bump version + change note on the Mass sheet (B1, B5).</t>
  </si>
  <si>
    <t>2. Update status (B2) and date (B3) on the Mass sheet.</t>
  </si>
  <si>
    <t>3. File → Save As → CSV (Comma delimited) → save THIS sheet only.</t>
  </si>
  <si>
    <t xml:space="preserve">   OR run the Export macro / use the Claude export button below.</t>
  </si>
  <si>
    <t>DON'T FORGET TO EXPORT IF CHANGES WERE MADE</t>
  </si>
  <si>
    <t>0.1.2</t>
  </si>
  <si>
    <t>Target Mass Allocations</t>
  </si>
  <si>
    <t>Set target total mass (kg) per ATA chapter and per aircraft mass condition. Deltas on Mass sheet are computed as Current − Target.</t>
  </si>
  <si>
    <t>Description</t>
  </si>
  <si>
    <t>Target Mass (kg)</t>
  </si>
  <si>
    <t>Current (kg)</t>
  </si>
  <si>
    <t>Δ (Current − Target)</t>
  </si>
  <si>
    <t>Aircraft Mass Conditions</t>
  </si>
  <si>
    <t>Code</t>
  </si>
  <si>
    <t>MEW</t>
  </si>
  <si>
    <t>Manufacturer's Empty Weight</t>
  </si>
  <si>
    <t>Airframe + propulsion + standard systems (excl. fluids, crew, payload)</t>
  </si>
  <si>
    <t>OEW</t>
  </si>
  <si>
    <t>Operating Empty Weight</t>
  </si>
  <si>
    <t>MEW + crew + unusable fuel + operator equipment</t>
  </si>
  <si>
    <t>ZFW</t>
  </si>
  <si>
    <t>Zero Fuel Weight</t>
  </si>
  <si>
    <t>OEW + payload (pax, cargo)</t>
  </si>
  <si>
    <t>MZFW</t>
  </si>
  <si>
    <t>Max Zero Fuel Weight</t>
  </si>
  <si>
    <t>Structural limit on ZFW</t>
  </si>
  <si>
    <t>MLW</t>
  </si>
  <si>
    <t>Max Landing Weight</t>
  </si>
  <si>
    <t>Structural limit at touchdown</t>
  </si>
  <si>
    <t>MTOW</t>
  </si>
  <si>
    <t>Max Take-Off Weight</t>
  </si>
  <si>
    <t>Certified gross weight</t>
  </si>
  <si>
    <t>MRW</t>
  </si>
  <si>
    <t>Max Ramp Weight</t>
  </si>
  <si>
    <t>MTOW + taxi/start fuel</t>
  </si>
  <si>
    <t>Target (kg)</t>
  </si>
  <si>
    <t>Δ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</si>
</sst>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;\(#,##0.00\);\-"/>
    <numFmt numFmtId="165" formatCode="0.000;\(0.000\);\-"/>
    <numFmt numFmtId="166" formatCode="#,##0;\(#,##0\);\-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rgb="FF555555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8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auto="1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0" borderId="0" xfId="0" applyFont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1" fillId="5" borderId="0" xfId="0" applyFont="1" applyFill="1"/>
    <xf numFmtId="164" fontId="0" fillId="0" borderId="0" xfId="0" applyNumberFormat="1"/>
    <xf numFmtId="164" fontId="1" fillId="4" borderId="0" xfId="0" applyNumberFormat="1" applyFont="1" applyFill="1"/>
    <xf numFmtId="164" fontId="1" fillId="3" borderId="0" xfId="0" applyNumberFormat="1" applyFont="1" applyFill="1"/>
    <xf numFmtId="164" fontId="4" fillId="2" borderId="0" xfId="0" applyNumberFormat="1" applyFont="1" applyFill="1"/>
    <xf numFmtId="164" fontId="1" fillId="5" borderId="0" xfId="0" applyNumberFormat="1" applyFont="1" applyFill="1"/>
    <xf numFmtId="165" fontId="0" fillId="0" borderId="0" xfId="0" applyNumberFormat="1"/>
    <xf numFmtId="165" fontId="1" fillId="4" borderId="0" xfId="0" applyNumberFormat="1" applyFont="1" applyFill="1"/>
    <xf numFmtId="165" fontId="1" fillId="3" borderId="0" xfId="0" applyNumberFormat="1" applyFont="1" applyFill="1"/>
    <xf numFmtId="165" fontId="4" fillId="2" borderId="0" xfId="0" applyNumberFormat="1" applyFont="1" applyFill="1"/>
    <xf numFmtId="165" fontId="1" fillId="5" borderId="0" xfId="0" applyNumberFormat="1" applyFont="1" applyFill="1"/>
    <xf numFmtId="164" fontId="5" fillId="0" borderId="0" xfId="0" applyNumberFormat="1" applyFont="1"/>
    <xf numFmtId="165" fontId="5" fillId="0" borderId="0" xfId="0" applyNumberFormat="1" applyFont="1"/>
    <xf numFmtId="0" fontId="2" fillId="0" borderId="0" xfId="0" applyFont="1"/>
    <xf numFmtId="0" fontId="6" fillId="0" borderId="0" xfId="0" applyFont="1"/>
    <xf numFmtId="14" fontId="6" fillId="0" borderId="0" xfId="0" applyNumberFormat="1" applyFont="1"/>
    <xf numFmtId="0" fontId="5" fillId="0" borderId="0" xfId="0" applyFont="1"/>
    <xf numFmtId="0" fontId="0" fillId="6" borderId="0" xfId="0" applyFill="1"/>
    <xf numFmtId="0" fontId="4" fillId="5" borderId="0" xfId="0" applyFont="1" applyFill="1"/>
    <xf numFmtId="0" fontId="2" fillId="0" borderId="0" xfId="0" applyFont="1"/>
    <xf numFmtId="0" fontId="3" fillId="0" borderId="0" xfId="0" applyFont="1"/>
    <xf numFmtId="0" fontId="7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66" fontId="8" fillId="0" borderId="0" xfId="0" applyNumberFormat="1" applyFont="1"/>
    <xf numFmtId="166" fontId="9" fillId="0" borderId="0" xfId="0" applyNumberFormat="1" applyFont="1"/>
    <xf numFmtId="0" fontId="10" fillId="3" borderId="0" xfId="0" applyFont="1" applyFill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166" fontId="5" fillId="8" borderId="5" xfId="0" applyNumberFormat="1" applyFont="1" applyFill="1" applyBorder="1"/>
    <xf numFmtId="166" fontId="8" fillId="0" borderId="5" xfId="0" applyNumberFormat="1" applyFont="1" applyBorder="1"/>
    <xf numFmtId="166" fontId="9" fillId="0" borderId="5" xfId="0" applyNumberFormat="1" applyFont="1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166" fontId="5" fillId="8" borderId="8" xfId="0" applyNumberFormat="1" applyFont="1" applyFill="1" applyBorder="1"/>
    <xf numFmtId="166" fontId="8" fillId="0" borderId="8" xfId="0" applyNumberFormat="1" applyFont="1" applyBorder="1"/>
    <xf numFmtId="166" fontId="9" fillId="0" borderId="8" xfId="0" applyNumberFormat="1" applyFont="1" applyBorder="1"/>
    <xf numFmtId="0" fontId="0" fillId="0" borderId="9" xfId="0" applyBorder="1"/>
    <xf numFmtId="0" fontId="1" fillId="0" borderId="4" xfId="0" applyFont="1" applyBorder="1" applyAlignment="1">
      <alignment horizontal="center"/>
    </xf>
    <xf numFmtId="166" fontId="0" fillId="0" borderId="5" xfId="0" applyNumberFormat="1" applyBorder="1"/>
    <xf numFmtId="0" fontId="1" fillId="0" borderId="7" xfId="0" applyFont="1" applyBorder="1" applyAlignment="1">
      <alignment horizontal="center"/>
    </xf>
    <xf numFmtId="166" fontId="0" fillId="0" borderId="8" xfId="0" applyNumberFormat="1" applyBorder="1"/>
    <xf numFmtId="166" fontId="11" fillId="0" borderId="0" xfId="0" applyNumberFormat="1" applyFont="1"/>
    <xf numFmtId="166" fontId="12" fillId="0" borderId="0" xfId="0" applyNumberFormat="1" applyFont="1"/>
  </cellXfs>
  <cellStyles count="1">
    <cellStyle name="Normal" xfId="0" builtinId="0"/>
  </cellStyles>
  <dxfs count="6">
    <dxf>
      <font>
        <color rgb="FF00802A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</xdr:colOff>
      <xdr:row>2</xdr:row>
      <xdr:rowOff>74083</xdr:rowOff>
    </xdr:from>
    <xdr:to>
      <xdr:col>7</xdr:col>
      <xdr:colOff>783167</xdr:colOff>
      <xdr:row>4</xdr:row>
      <xdr:rowOff>222250</xdr:rowOff>
    </xdr:to>
    <xdr:sp macro="[0]!ExportMassProperties" textlink="">
      <xdr:nvSpPr>
        <xdr:cNvPr id="2" name="Rectangle 1">
          <a:extLst>
            <a:ext uri="{FF2B5EF4-FFF2-40B4-BE49-F238E27FC236}">
              <a16:creationId xmlns:a16="http://schemas.microsoft.com/office/drawing/2014/main" id="{E48B307B-38AA-339D-CF3B-6D063D900EF3}"/>
            </a:ext>
          </a:extLst>
        </xdr:cNvPr>
        <xdr:cNvSpPr/>
      </xdr:nvSpPr>
      <xdr:spPr>
        <a:xfrm>
          <a:off x="8223250" y="666750"/>
          <a:ext cx="1576917" cy="7408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33F2DD-4EA6-44AC-90A0-7B285374DC5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c4ec3bb8-ec29-4d3f-99e7-c383f0526f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4511-CB86-43A4-B135-4FE870A89D91}">
  <sheetPr codeName="Sheet1"/>
  <dimension ref="A1:P195"/>
  <sheetViews>
    <sheetView topLeftCell="G1" zoomScale="72" workbookViewId="0">
      <pane ySplit="10" topLeftCell="A116" activePane="bottomLeft" state="frozen"/>
      <selection pane="bottomLeft" activeCell="G70" sqref="G70"/>
    </sheetView>
  </sheetViews>
  <sheetFormatPr defaultRowHeight="14.4" x14ac:dyDescent="0.3"/>
  <cols>
    <col min="1" max="1" width="12" bestFit="1" customWidth="1"/>
    <col min="2" max="2" width="33.33203125" customWidth="1"/>
    <col min="3" max="3" width="29.6640625" customWidth="1"/>
    <col min="4" max="5" width="13.88671875" customWidth="1"/>
    <col min="6" max="6" width="16.6640625" customWidth="1"/>
    <col min="7" max="9" width="12" customWidth="1"/>
    <col min="10" max="12" width="16.6640625" customWidth="1"/>
    <col min="13" max="13" width="37" customWidth="1"/>
    <col min="14" max="15" width="15.77734375" customWidth="1"/>
    <col min="16" max="16" width="13.88671875" customWidth="1"/>
  </cols>
  <sheetData>
    <row r="1" spans="1:16" ht="23.4" customHeight="1" x14ac:dyDescent="0.3">
      <c r="A1" s="2" t="s">
        <v>279</v>
      </c>
      <c r="B1" s="21" t="s">
        <v>310</v>
      </c>
      <c r="D1" s="1"/>
      <c r="F1" s="28" t="s">
        <v>309</v>
      </c>
      <c r="G1" s="28"/>
      <c r="H1" s="28"/>
      <c r="I1" s="28"/>
      <c r="J1" s="28"/>
      <c r="K1" s="28"/>
      <c r="L1" s="28"/>
      <c r="M1" s="28"/>
    </row>
    <row r="2" spans="1:16" ht="23.4" customHeight="1" x14ac:dyDescent="0.3">
      <c r="A2" s="2" t="s">
        <v>280</v>
      </c>
      <c r="B2" s="21" t="s">
        <v>281</v>
      </c>
      <c r="F2" s="29"/>
      <c r="G2" s="29"/>
      <c r="H2" s="29"/>
      <c r="I2" s="29"/>
      <c r="J2" s="29"/>
      <c r="K2" s="29"/>
      <c r="L2" s="29"/>
      <c r="M2" s="29"/>
    </row>
    <row r="3" spans="1:16" ht="23.4" customHeight="1" x14ac:dyDescent="0.3">
      <c r="A3" s="2" t="s">
        <v>282</v>
      </c>
      <c r="B3" s="22">
        <v>46158</v>
      </c>
      <c r="F3" s="29"/>
      <c r="G3" s="29"/>
      <c r="H3" s="29"/>
      <c r="I3" s="29"/>
      <c r="J3" s="29"/>
      <c r="K3" s="29"/>
      <c r="L3" s="29"/>
      <c r="M3" s="29"/>
    </row>
    <row r="4" spans="1:16" ht="23.4" customHeight="1" x14ac:dyDescent="0.3">
      <c r="A4" s="2" t="s">
        <v>283</v>
      </c>
      <c r="B4" s="23"/>
      <c r="F4" s="29"/>
      <c r="G4" s="29"/>
      <c r="H4" s="29"/>
      <c r="I4" s="29"/>
      <c r="J4" s="29"/>
      <c r="K4" s="29"/>
      <c r="L4" s="29"/>
      <c r="M4" s="29"/>
    </row>
    <row r="5" spans="1:16" ht="23.4" customHeight="1" x14ac:dyDescent="0.3">
      <c r="A5" s="2" t="s">
        <v>284</v>
      </c>
      <c r="B5" s="23" t="s">
        <v>285</v>
      </c>
      <c r="F5" s="29"/>
      <c r="G5" s="29"/>
      <c r="H5" s="29"/>
      <c r="I5" s="29"/>
      <c r="J5" s="29"/>
      <c r="K5" s="29"/>
      <c r="L5" s="29"/>
      <c r="M5" s="29"/>
    </row>
    <row r="6" spans="1:16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</row>
    <row r="7" spans="1:16" ht="18" x14ac:dyDescent="0.35">
      <c r="A7" s="26" t="s">
        <v>0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</row>
    <row r="8" spans="1:16" x14ac:dyDescent="0.3">
      <c r="A8" s="27" t="s">
        <v>1</v>
      </c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</row>
    <row r="10" spans="1:16" x14ac:dyDescent="0.3">
      <c r="A10" s="3" t="s">
        <v>2</v>
      </c>
      <c r="B10" s="2" t="s">
        <v>3</v>
      </c>
      <c r="C10" s="2" t="s">
        <v>4</v>
      </c>
      <c r="D10" s="3" t="s">
        <v>5</v>
      </c>
      <c r="E10" s="3" t="s">
        <v>6</v>
      </c>
      <c r="F10" s="3" t="s">
        <v>7</v>
      </c>
      <c r="G10" s="3" t="s">
        <v>8</v>
      </c>
      <c r="H10" s="3" t="s">
        <v>9</v>
      </c>
      <c r="I10" s="3" t="s">
        <v>10</v>
      </c>
      <c r="J10" s="3" t="s">
        <v>11</v>
      </c>
      <c r="K10" s="3" t="s">
        <v>12</v>
      </c>
      <c r="L10" s="3" t="s">
        <v>13</v>
      </c>
      <c r="M10" s="3" t="s">
        <v>14</v>
      </c>
      <c r="N10" s="3" t="s">
        <v>340</v>
      </c>
      <c r="O10" s="3" t="s">
        <v>315</v>
      </c>
      <c r="P10" s="3" t="s">
        <v>341</v>
      </c>
    </row>
    <row r="11" spans="1:16" x14ac:dyDescent="0.3">
      <c r="A11" s="4" t="s">
        <v>15</v>
      </c>
      <c r="B11" s="4" t="s">
        <v>16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3">
        <f>Target!C5</f>
        <v>85</v>
      </c>
      <c r="O11" s="54">
        <f>F15</f>
        <v>88</v>
      </c>
      <c r="P11" s="54">
        <f>IF(N11="","",O11-N11)</f>
        <v>3</v>
      </c>
    </row>
    <row r="12" spans="1:16" x14ac:dyDescent="0.3">
      <c r="A12">
        <v>21</v>
      </c>
      <c r="B12" t="s">
        <v>17</v>
      </c>
      <c r="D12" s="18">
        <v>1</v>
      </c>
      <c r="E12" s="18">
        <v>35</v>
      </c>
      <c r="F12" s="8">
        <f>IFERROR(D12*E12,0)</f>
        <v>35</v>
      </c>
      <c r="G12" s="19">
        <v>11.5</v>
      </c>
      <c r="H12" s="19">
        <v>-0.4</v>
      </c>
      <c r="I12" s="19">
        <v>1.8</v>
      </c>
      <c r="J12" s="8">
        <f>IFERROR(F12*G12,0)</f>
        <v>402.5</v>
      </c>
      <c r="K12" s="8">
        <f>IFERROR(F12*H12,0)</f>
        <v>-14</v>
      </c>
      <c r="L12" s="8">
        <f>IFERROR(F12*I12,0)</f>
        <v>63</v>
      </c>
      <c r="M12" t="s">
        <v>227</v>
      </c>
      <c r="N12" s="30"/>
      <c r="O12" s="31"/>
      <c r="P12" s="31"/>
    </row>
    <row r="13" spans="1:16" x14ac:dyDescent="0.3">
      <c r="A13">
        <v>21</v>
      </c>
      <c r="B13" t="s">
        <v>18</v>
      </c>
      <c r="D13" s="18">
        <v>1</v>
      </c>
      <c r="E13" s="18">
        <v>35</v>
      </c>
      <c r="F13" s="8">
        <f>IFERROR(D13*E13,0)</f>
        <v>35</v>
      </c>
      <c r="G13" s="19">
        <v>11.5</v>
      </c>
      <c r="H13" s="19">
        <v>0.4</v>
      </c>
      <c r="I13" s="19">
        <v>1.8</v>
      </c>
      <c r="J13" s="8">
        <f>IFERROR(F13*G13,0)</f>
        <v>402.5</v>
      </c>
      <c r="K13" s="8">
        <f>IFERROR(F13*H13,0)</f>
        <v>14</v>
      </c>
      <c r="L13" s="8">
        <f>IFERROR(F13*I13,0)</f>
        <v>63</v>
      </c>
      <c r="M13" t="s">
        <v>228</v>
      </c>
      <c r="N13" s="30"/>
      <c r="O13" s="31"/>
      <c r="P13" s="31"/>
    </row>
    <row r="14" spans="1:16" x14ac:dyDescent="0.3">
      <c r="A14">
        <v>21</v>
      </c>
      <c r="B14" t="s">
        <v>19</v>
      </c>
      <c r="D14" s="18">
        <v>1</v>
      </c>
      <c r="E14" s="18">
        <v>18</v>
      </c>
      <c r="F14" s="8">
        <f>IFERROR(D14*E14,0)</f>
        <v>18</v>
      </c>
      <c r="G14" s="19">
        <v>10.5</v>
      </c>
      <c r="H14" s="19">
        <v>0</v>
      </c>
      <c r="I14" s="19">
        <v>1.5</v>
      </c>
      <c r="J14" s="8">
        <f>IFERROR(F14*G14,0)</f>
        <v>189</v>
      </c>
      <c r="K14" s="8">
        <f>IFERROR(F14*H14,0)</f>
        <v>0</v>
      </c>
      <c r="L14" s="8">
        <f>IFERROR(F14*I14,0)</f>
        <v>27</v>
      </c>
      <c r="N14" s="30"/>
      <c r="O14" s="31"/>
      <c r="P14" s="31"/>
    </row>
    <row r="15" spans="1:16" x14ac:dyDescent="0.3">
      <c r="A15" s="6"/>
      <c r="B15" s="6" t="s">
        <v>20</v>
      </c>
      <c r="C15" s="6"/>
      <c r="D15" s="9"/>
      <c r="E15" s="9"/>
      <c r="F15" s="9">
        <f>SUM(F12:F14)</f>
        <v>88</v>
      </c>
      <c r="G15" s="14">
        <f>IFERROR(SUM(J12:J14)/F15,0)</f>
        <v>11.295454545454545</v>
      </c>
      <c r="H15" s="14">
        <f>IFERROR(SUM(K12:K14)/F15,0)</f>
        <v>0</v>
      </c>
      <c r="I15" s="14">
        <f>IFERROR(SUM(L12:L14)/F15,0)</f>
        <v>1.7386363636363635</v>
      </c>
      <c r="J15" s="9">
        <f>SUM(J12:J14)</f>
        <v>994</v>
      </c>
      <c r="K15" s="9">
        <f>SUM(K12:K14)</f>
        <v>0</v>
      </c>
      <c r="L15" s="9">
        <f>SUM(L12:L14)</f>
        <v>153</v>
      </c>
      <c r="M15" s="6"/>
      <c r="N15" s="30"/>
      <c r="O15" s="31"/>
      <c r="P15" s="31"/>
    </row>
    <row r="16" spans="1:16" x14ac:dyDescent="0.3">
      <c r="A16" s="4" t="s">
        <v>21</v>
      </c>
      <c r="B16" s="4" t="s">
        <v>22</v>
      </c>
      <c r="C16" s="4"/>
      <c r="D16" s="10"/>
      <c r="E16" s="10"/>
      <c r="F16" s="10"/>
      <c r="G16" s="15"/>
      <c r="H16" s="15"/>
      <c r="I16" s="15"/>
      <c r="J16" s="10"/>
      <c r="K16" s="10"/>
      <c r="L16" s="10"/>
      <c r="M16" s="4"/>
      <c r="N16" s="53">
        <f>Target!C6</f>
        <v>19</v>
      </c>
      <c r="O16" s="54">
        <f>F20</f>
        <v>19</v>
      </c>
      <c r="P16" s="54">
        <f>IF(N16="","",O16-N16)</f>
        <v>0</v>
      </c>
    </row>
    <row r="17" spans="1:16" x14ac:dyDescent="0.3">
      <c r="A17">
        <v>22</v>
      </c>
      <c r="B17" t="s">
        <v>23</v>
      </c>
      <c r="D17" s="18">
        <v>1</v>
      </c>
      <c r="E17" s="18">
        <v>8</v>
      </c>
      <c r="F17" s="8">
        <f>IFERROR(D17*E17,0)</f>
        <v>8</v>
      </c>
      <c r="G17" s="19">
        <v>3.5</v>
      </c>
      <c r="H17" s="19">
        <v>-0.2</v>
      </c>
      <c r="I17" s="19">
        <v>1.8</v>
      </c>
      <c r="J17" s="8">
        <f>IFERROR(F17*G17,0)</f>
        <v>28</v>
      </c>
      <c r="K17" s="8">
        <f>IFERROR(F17*H17,0)</f>
        <v>-1.6</v>
      </c>
      <c r="L17" s="8">
        <f>IFERROR(F17*I17,0)</f>
        <v>14.4</v>
      </c>
      <c r="M17" t="s">
        <v>229</v>
      </c>
      <c r="N17" s="30"/>
      <c r="O17" s="31"/>
      <c r="P17" s="31"/>
    </row>
    <row r="18" spans="1:16" x14ac:dyDescent="0.3">
      <c r="A18">
        <v>22</v>
      </c>
      <c r="B18" t="s">
        <v>24</v>
      </c>
      <c r="D18" s="18">
        <v>1</v>
      </c>
      <c r="E18" s="18">
        <v>8</v>
      </c>
      <c r="F18" s="8">
        <f>IFERROR(D18*E18,0)</f>
        <v>8</v>
      </c>
      <c r="G18" s="19">
        <v>3.5</v>
      </c>
      <c r="H18" s="19">
        <v>0.2</v>
      </c>
      <c r="I18" s="19">
        <v>1.8</v>
      </c>
      <c r="J18" s="8">
        <f>IFERROR(F18*G18,0)</f>
        <v>28</v>
      </c>
      <c r="K18" s="8">
        <f>IFERROR(F18*H18,0)</f>
        <v>1.6</v>
      </c>
      <c r="L18" s="8">
        <f>IFERROR(F18*I18,0)</f>
        <v>14.4</v>
      </c>
      <c r="M18" t="s">
        <v>229</v>
      </c>
      <c r="N18" s="30"/>
      <c r="O18" s="31"/>
      <c r="P18" s="31"/>
    </row>
    <row r="19" spans="1:16" x14ac:dyDescent="0.3">
      <c r="A19">
        <v>22</v>
      </c>
      <c r="B19" t="s">
        <v>25</v>
      </c>
      <c r="D19" s="18">
        <v>1</v>
      </c>
      <c r="E19" s="18">
        <v>3</v>
      </c>
      <c r="F19" s="8">
        <f>IFERROR(D19*E19,0)</f>
        <v>3</v>
      </c>
      <c r="G19" s="19">
        <v>4</v>
      </c>
      <c r="H19" s="19">
        <v>0</v>
      </c>
      <c r="I19" s="19">
        <v>1.5</v>
      </c>
      <c r="J19" s="8">
        <f>IFERROR(F19*G19,0)</f>
        <v>12</v>
      </c>
      <c r="K19" s="8">
        <f>IFERROR(F19*H19,0)</f>
        <v>0</v>
      </c>
      <c r="L19" s="8">
        <f>IFERROR(F19*I19,0)</f>
        <v>4.5</v>
      </c>
      <c r="M19" t="s">
        <v>230</v>
      </c>
      <c r="N19" s="30"/>
      <c r="O19" s="31"/>
      <c r="P19" s="31"/>
    </row>
    <row r="20" spans="1:16" x14ac:dyDescent="0.3">
      <c r="A20" s="6"/>
      <c r="B20" s="6" t="s">
        <v>26</v>
      </c>
      <c r="C20" s="6"/>
      <c r="D20" s="9"/>
      <c r="E20" s="9"/>
      <c r="F20" s="9">
        <f>SUM(F17:F19)</f>
        <v>19</v>
      </c>
      <c r="G20" s="14">
        <f>IFERROR(SUM(J17:J19)/F20,0)</f>
        <v>3.5789473684210527</v>
      </c>
      <c r="H20" s="14">
        <f>IFERROR(SUM(K17:K19)/F20,0)</f>
        <v>0</v>
      </c>
      <c r="I20" s="14">
        <f>IFERROR(SUM(L17:L19)/F20,0)</f>
        <v>1.7526315789473683</v>
      </c>
      <c r="J20" s="9">
        <f>SUM(J17:J19)</f>
        <v>68</v>
      </c>
      <c r="K20" s="9">
        <f>SUM(K17:K19)</f>
        <v>0</v>
      </c>
      <c r="L20" s="9">
        <f>SUM(L17:L19)</f>
        <v>33.299999999999997</v>
      </c>
      <c r="M20" s="6"/>
      <c r="N20" s="30"/>
      <c r="O20" s="31"/>
      <c r="P20" s="31"/>
    </row>
    <row r="21" spans="1:16" x14ac:dyDescent="0.3">
      <c r="A21" s="4" t="s">
        <v>27</v>
      </c>
      <c r="B21" s="4" t="s">
        <v>28</v>
      </c>
      <c r="C21" s="4"/>
      <c r="D21" s="10"/>
      <c r="E21" s="10"/>
      <c r="F21" s="10"/>
      <c r="G21" s="15"/>
      <c r="H21" s="15"/>
      <c r="I21" s="15"/>
      <c r="J21" s="10"/>
      <c r="K21" s="10"/>
      <c r="L21" s="10"/>
      <c r="M21" s="4"/>
      <c r="N21" s="53">
        <f>Target!C7</f>
        <v>25</v>
      </c>
      <c r="O21" s="54">
        <f>F26</f>
        <v>25</v>
      </c>
      <c r="P21" s="54">
        <f>IF(N21="","",O21-N21)</f>
        <v>0</v>
      </c>
    </row>
    <row r="22" spans="1:16" x14ac:dyDescent="0.3">
      <c r="A22">
        <v>23</v>
      </c>
      <c r="B22" t="s">
        <v>29</v>
      </c>
      <c r="D22" s="18">
        <v>1</v>
      </c>
      <c r="E22" s="18">
        <v>4</v>
      </c>
      <c r="F22" s="8">
        <f>IFERROR(D22*E22,0)</f>
        <v>4</v>
      </c>
      <c r="G22" s="19">
        <v>3.2</v>
      </c>
      <c r="H22" s="19">
        <v>-0.2</v>
      </c>
      <c r="I22" s="19">
        <v>1.9</v>
      </c>
      <c r="J22" s="8">
        <f>IFERROR(F22*G22,0)</f>
        <v>12.8</v>
      </c>
      <c r="K22" s="8">
        <f>IFERROR(F22*H22,0)</f>
        <v>-0.8</v>
      </c>
      <c r="L22" s="8">
        <f>IFERROR(F22*I22,0)</f>
        <v>7.6</v>
      </c>
      <c r="N22" s="30"/>
      <c r="O22" s="31"/>
      <c r="P22" s="31"/>
    </row>
    <row r="23" spans="1:16" x14ac:dyDescent="0.3">
      <c r="A23">
        <v>23</v>
      </c>
      <c r="B23" t="s">
        <v>30</v>
      </c>
      <c r="D23" s="18">
        <v>1</v>
      </c>
      <c r="E23" s="18">
        <v>4</v>
      </c>
      <c r="F23" s="8">
        <f>IFERROR(D23*E23,0)</f>
        <v>4</v>
      </c>
      <c r="G23" s="19">
        <v>3.2</v>
      </c>
      <c r="H23" s="19">
        <v>0.2</v>
      </c>
      <c r="I23" s="19">
        <v>1.9</v>
      </c>
      <c r="J23" s="8">
        <f>IFERROR(F23*G23,0)</f>
        <v>12.8</v>
      </c>
      <c r="K23" s="8">
        <f>IFERROR(F23*H23,0)</f>
        <v>0.8</v>
      </c>
      <c r="L23" s="8">
        <f>IFERROR(F23*I23,0)</f>
        <v>7.6</v>
      </c>
      <c r="N23" s="30"/>
      <c r="O23" s="31"/>
      <c r="P23" s="31"/>
    </row>
    <row r="24" spans="1:16" x14ac:dyDescent="0.3">
      <c r="A24">
        <v>23</v>
      </c>
      <c r="B24" t="s">
        <v>31</v>
      </c>
      <c r="D24" s="18">
        <v>1</v>
      </c>
      <c r="E24" s="18">
        <v>12</v>
      </c>
      <c r="F24" s="8">
        <f>IFERROR(D24*E24,0)</f>
        <v>12</v>
      </c>
      <c r="G24" s="19">
        <v>14</v>
      </c>
      <c r="H24" s="19">
        <v>0</v>
      </c>
      <c r="I24" s="19">
        <v>2.6</v>
      </c>
      <c r="J24" s="8">
        <f>IFERROR(F24*G24,0)</f>
        <v>168</v>
      </c>
      <c r="K24" s="8">
        <f>IFERROR(F24*H24,0)</f>
        <v>0</v>
      </c>
      <c r="L24" s="8">
        <f>IFERROR(F24*I24,0)</f>
        <v>31.200000000000003</v>
      </c>
      <c r="M24" t="s">
        <v>231</v>
      </c>
      <c r="N24" s="30"/>
      <c r="O24" s="31"/>
      <c r="P24" s="31"/>
    </row>
    <row r="25" spans="1:16" x14ac:dyDescent="0.3">
      <c r="A25">
        <v>23</v>
      </c>
      <c r="B25" t="s">
        <v>32</v>
      </c>
      <c r="D25" s="18">
        <v>1</v>
      </c>
      <c r="E25" s="18">
        <v>5</v>
      </c>
      <c r="F25" s="8">
        <f>IFERROR(D25*E25,0)</f>
        <v>5</v>
      </c>
      <c r="G25" s="19">
        <v>17</v>
      </c>
      <c r="H25" s="19">
        <v>0</v>
      </c>
      <c r="I25" s="19">
        <v>2</v>
      </c>
      <c r="J25" s="8">
        <f>IFERROR(F25*G25,0)</f>
        <v>85</v>
      </c>
      <c r="K25" s="8">
        <f>IFERROR(F25*H25,0)</f>
        <v>0</v>
      </c>
      <c r="L25" s="8">
        <f>IFERROR(F25*I25,0)</f>
        <v>10</v>
      </c>
      <c r="M25" t="s">
        <v>232</v>
      </c>
      <c r="N25" s="30"/>
      <c r="O25" s="31"/>
      <c r="P25" s="31"/>
    </row>
    <row r="26" spans="1:16" x14ac:dyDescent="0.3">
      <c r="A26" s="6"/>
      <c r="B26" s="6" t="s">
        <v>33</v>
      </c>
      <c r="C26" s="6"/>
      <c r="D26" s="9"/>
      <c r="E26" s="9"/>
      <c r="F26" s="9">
        <f>SUM(F22:F25)</f>
        <v>25</v>
      </c>
      <c r="G26" s="14">
        <f>IFERROR(SUM(J22:J25)/F26,0)</f>
        <v>11.144</v>
      </c>
      <c r="H26" s="14">
        <f>IFERROR(SUM(K22:K25)/F26,0)</f>
        <v>0</v>
      </c>
      <c r="I26" s="14">
        <f>IFERROR(SUM(L22:L25)/F26,0)</f>
        <v>2.2560000000000002</v>
      </c>
      <c r="J26" s="9">
        <f>SUM(J22:J25)</f>
        <v>278.60000000000002</v>
      </c>
      <c r="K26" s="9">
        <f>SUM(K22:K25)</f>
        <v>0</v>
      </c>
      <c r="L26" s="9">
        <f>SUM(L22:L25)</f>
        <v>56.400000000000006</v>
      </c>
      <c r="M26" s="6"/>
      <c r="N26" s="30"/>
      <c r="O26" s="31"/>
      <c r="P26" s="31"/>
    </row>
    <row r="27" spans="1:16" x14ac:dyDescent="0.3">
      <c r="A27" s="4" t="s">
        <v>34</v>
      </c>
      <c r="B27" s="4" t="s">
        <v>35</v>
      </c>
      <c r="C27" s="4"/>
      <c r="D27" s="10"/>
      <c r="E27" s="10"/>
      <c r="F27" s="10"/>
      <c r="G27" s="15"/>
      <c r="H27" s="15"/>
      <c r="I27" s="15"/>
      <c r="J27" s="10"/>
      <c r="K27" s="10"/>
      <c r="L27" s="10"/>
      <c r="M27" s="4"/>
      <c r="N27" s="53">
        <f>Target!C8</f>
        <v>170</v>
      </c>
      <c r="O27" s="54">
        <f>F34</f>
        <v>175</v>
      </c>
      <c r="P27" s="54">
        <f>IF(N27="","",O27-N27)</f>
        <v>5</v>
      </c>
    </row>
    <row r="28" spans="1:16" x14ac:dyDescent="0.3">
      <c r="A28">
        <v>24</v>
      </c>
      <c r="B28" t="s">
        <v>36</v>
      </c>
      <c r="D28" s="18">
        <v>1</v>
      </c>
      <c r="E28" s="18">
        <v>35</v>
      </c>
      <c r="F28" s="8">
        <f t="shared" ref="F28:F33" si="0">IFERROR(D28*E28,0)</f>
        <v>35</v>
      </c>
      <c r="G28" s="19">
        <v>12.5</v>
      </c>
      <c r="H28" s="19">
        <v>-0.5</v>
      </c>
      <c r="I28" s="19">
        <v>2.2000000000000002</v>
      </c>
      <c r="J28" s="8">
        <f t="shared" ref="J28:J33" si="1">IFERROR(F28*G28,0)</f>
        <v>437.5</v>
      </c>
      <c r="K28" s="8">
        <f t="shared" ref="K28:K33" si="2">IFERROR(F28*H28,0)</f>
        <v>-17.5</v>
      </c>
      <c r="L28" s="8">
        <f t="shared" ref="L28:L33" si="3">IFERROR(F28*I28,0)</f>
        <v>77</v>
      </c>
      <c r="M28" t="s">
        <v>233</v>
      </c>
      <c r="N28" s="30"/>
      <c r="O28" s="31"/>
      <c r="P28" s="31"/>
    </row>
    <row r="29" spans="1:16" x14ac:dyDescent="0.3">
      <c r="A29">
        <v>24</v>
      </c>
      <c r="B29" t="s">
        <v>37</v>
      </c>
      <c r="D29" s="18">
        <v>1</v>
      </c>
      <c r="E29" s="18">
        <v>35</v>
      </c>
      <c r="F29" s="8">
        <f t="shared" si="0"/>
        <v>35</v>
      </c>
      <c r="G29" s="19">
        <v>12.5</v>
      </c>
      <c r="H29" s="19">
        <v>0.5</v>
      </c>
      <c r="I29" s="19">
        <v>2.2000000000000002</v>
      </c>
      <c r="J29" s="8">
        <f t="shared" si="1"/>
        <v>437.5</v>
      </c>
      <c r="K29" s="8">
        <f t="shared" si="2"/>
        <v>17.5</v>
      </c>
      <c r="L29" s="8">
        <f t="shared" si="3"/>
        <v>77</v>
      </c>
      <c r="M29" t="s">
        <v>234</v>
      </c>
      <c r="N29" s="30"/>
      <c r="O29" s="31"/>
      <c r="P29" s="31"/>
    </row>
    <row r="30" spans="1:16" x14ac:dyDescent="0.3">
      <c r="A30">
        <v>24</v>
      </c>
      <c r="B30" t="s">
        <v>38</v>
      </c>
      <c r="D30" s="18">
        <v>1</v>
      </c>
      <c r="E30" s="18">
        <v>25</v>
      </c>
      <c r="F30" s="8">
        <f t="shared" si="0"/>
        <v>25</v>
      </c>
      <c r="G30" s="19">
        <v>19.5</v>
      </c>
      <c r="H30" s="19">
        <v>0</v>
      </c>
      <c r="I30" s="19">
        <v>2.4</v>
      </c>
      <c r="J30" s="8">
        <f t="shared" si="1"/>
        <v>487.5</v>
      </c>
      <c r="K30" s="8">
        <f t="shared" si="2"/>
        <v>0</v>
      </c>
      <c r="L30" s="8">
        <f t="shared" si="3"/>
        <v>60</v>
      </c>
      <c r="M30" t="s">
        <v>235</v>
      </c>
      <c r="N30" s="30"/>
      <c r="O30" s="31"/>
      <c r="P30" s="31"/>
    </row>
    <row r="31" spans="1:16" x14ac:dyDescent="0.3">
      <c r="A31">
        <v>24</v>
      </c>
      <c r="B31" t="s">
        <v>39</v>
      </c>
      <c r="D31" s="18">
        <v>2</v>
      </c>
      <c r="E31" s="18">
        <v>22</v>
      </c>
      <c r="F31" s="8">
        <f t="shared" si="0"/>
        <v>44</v>
      </c>
      <c r="G31" s="19">
        <v>2.8</v>
      </c>
      <c r="H31" s="19">
        <v>0</v>
      </c>
      <c r="I31" s="19">
        <v>0.9</v>
      </c>
      <c r="J31" s="8">
        <f t="shared" si="1"/>
        <v>123.19999999999999</v>
      </c>
      <c r="K31" s="8">
        <f t="shared" si="2"/>
        <v>0</v>
      </c>
      <c r="L31" s="8">
        <f t="shared" si="3"/>
        <v>39.6</v>
      </c>
      <c r="M31" t="s">
        <v>236</v>
      </c>
      <c r="N31" s="30"/>
      <c r="O31" s="31"/>
      <c r="P31" s="31"/>
    </row>
    <row r="32" spans="1:16" x14ac:dyDescent="0.3">
      <c r="A32">
        <v>24</v>
      </c>
      <c r="B32" t="s">
        <v>40</v>
      </c>
      <c r="D32" s="18">
        <v>1</v>
      </c>
      <c r="E32" s="18">
        <v>18</v>
      </c>
      <c r="F32" s="8">
        <f t="shared" si="0"/>
        <v>18</v>
      </c>
      <c r="G32" s="19">
        <v>3</v>
      </c>
      <c r="H32" s="19">
        <v>-0.3</v>
      </c>
      <c r="I32" s="19">
        <v>1.4</v>
      </c>
      <c r="J32" s="8">
        <f t="shared" si="1"/>
        <v>54</v>
      </c>
      <c r="K32" s="8">
        <f t="shared" si="2"/>
        <v>-5.3999999999999995</v>
      </c>
      <c r="L32" s="8">
        <f t="shared" si="3"/>
        <v>25.2</v>
      </c>
      <c r="N32" s="30"/>
      <c r="O32" s="31"/>
      <c r="P32" s="31"/>
    </row>
    <row r="33" spans="1:16" x14ac:dyDescent="0.3">
      <c r="A33">
        <v>24</v>
      </c>
      <c r="B33" t="s">
        <v>41</v>
      </c>
      <c r="D33" s="18">
        <v>1</v>
      </c>
      <c r="E33" s="18">
        <v>18</v>
      </c>
      <c r="F33" s="8">
        <f t="shared" si="0"/>
        <v>18</v>
      </c>
      <c r="G33" s="19">
        <v>3</v>
      </c>
      <c r="H33" s="19">
        <v>0.3</v>
      </c>
      <c r="I33" s="19">
        <v>1.4</v>
      </c>
      <c r="J33" s="8">
        <f t="shared" si="1"/>
        <v>54</v>
      </c>
      <c r="K33" s="8">
        <f t="shared" si="2"/>
        <v>5.3999999999999995</v>
      </c>
      <c r="L33" s="8">
        <f t="shared" si="3"/>
        <v>25.2</v>
      </c>
      <c r="N33" s="30"/>
      <c r="O33" s="31"/>
      <c r="P33" s="31"/>
    </row>
    <row r="34" spans="1:16" x14ac:dyDescent="0.3">
      <c r="A34" s="6"/>
      <c r="B34" s="6" t="s">
        <v>42</v>
      </c>
      <c r="C34" s="6"/>
      <c r="D34" s="9"/>
      <c r="E34" s="9"/>
      <c r="F34" s="9">
        <f>SUM(F28:F33)</f>
        <v>175</v>
      </c>
      <c r="G34" s="14">
        <f>IFERROR(SUM(J28:J33)/F34,0)</f>
        <v>9.1068571428571428</v>
      </c>
      <c r="H34" s="14">
        <f>IFERROR(SUM(K28:K33)/F34,0)</f>
        <v>0</v>
      </c>
      <c r="I34" s="14">
        <f>IFERROR(SUM(L28:L33)/F34,0)</f>
        <v>1.7371428571428571</v>
      </c>
      <c r="J34" s="9">
        <f>SUM(J28:J33)</f>
        <v>1593.7</v>
      </c>
      <c r="K34" s="9">
        <f>SUM(K28:K33)</f>
        <v>0</v>
      </c>
      <c r="L34" s="9">
        <f>SUM(L28:L33)</f>
        <v>304</v>
      </c>
      <c r="M34" s="6"/>
      <c r="N34" s="30"/>
      <c r="O34" s="31"/>
      <c r="P34" s="31"/>
    </row>
    <row r="35" spans="1:16" x14ac:dyDescent="0.3">
      <c r="A35" s="4" t="s">
        <v>43</v>
      </c>
      <c r="B35" s="4" t="s">
        <v>44</v>
      </c>
      <c r="C35" s="4"/>
      <c r="D35" s="10"/>
      <c r="E35" s="10"/>
      <c r="F35" s="10"/>
      <c r="G35" s="15"/>
      <c r="H35" s="15"/>
      <c r="I35" s="15"/>
      <c r="J35" s="10"/>
      <c r="K35" s="10"/>
      <c r="L35" s="10"/>
      <c r="M35" s="4"/>
      <c r="N35" s="53">
        <f>Target!C9</f>
        <v>820</v>
      </c>
      <c r="O35" s="54">
        <f>F43</f>
        <v>840</v>
      </c>
      <c r="P35" s="54">
        <f>IF(N35="","",O35-N35)</f>
        <v>20</v>
      </c>
    </row>
    <row r="36" spans="1:16" x14ac:dyDescent="0.3">
      <c r="A36">
        <v>25</v>
      </c>
      <c r="B36" t="s">
        <v>45</v>
      </c>
      <c r="D36" s="18">
        <v>2</v>
      </c>
      <c r="E36" s="18">
        <v>35</v>
      </c>
      <c r="F36" s="8">
        <f t="shared" ref="F36:F42" si="4">IFERROR(D36*E36,0)</f>
        <v>70</v>
      </c>
      <c r="G36" s="19">
        <v>3.2</v>
      </c>
      <c r="H36" s="19">
        <v>0</v>
      </c>
      <c r="I36" s="19">
        <v>1.6</v>
      </c>
      <c r="J36" s="8">
        <f t="shared" ref="J36:J42" si="5">IFERROR(F36*G36,0)</f>
        <v>224</v>
      </c>
      <c r="K36" s="8">
        <f t="shared" ref="K36:K42" si="6">IFERROR(F36*H36,0)</f>
        <v>0</v>
      </c>
      <c r="L36" s="8">
        <f t="shared" ref="L36:L42" si="7">IFERROR(F36*I36,0)</f>
        <v>112</v>
      </c>
      <c r="M36" t="s">
        <v>237</v>
      </c>
      <c r="N36" s="30"/>
      <c r="O36" s="31"/>
      <c r="P36" s="31"/>
    </row>
    <row r="37" spans="1:16" x14ac:dyDescent="0.3">
      <c r="A37">
        <v>25</v>
      </c>
      <c r="B37" t="s">
        <v>46</v>
      </c>
      <c r="D37" s="18">
        <v>9</v>
      </c>
      <c r="E37" s="18">
        <v>45</v>
      </c>
      <c r="F37" s="8">
        <f t="shared" si="4"/>
        <v>405</v>
      </c>
      <c r="G37" s="19">
        <v>8.5</v>
      </c>
      <c r="H37" s="19">
        <v>0</v>
      </c>
      <c r="I37" s="19">
        <v>1.6</v>
      </c>
      <c r="J37" s="8">
        <f t="shared" si="5"/>
        <v>3442.5</v>
      </c>
      <c r="K37" s="8">
        <f t="shared" si="6"/>
        <v>0</v>
      </c>
      <c r="L37" s="8">
        <f t="shared" si="7"/>
        <v>648</v>
      </c>
      <c r="M37" t="s">
        <v>238</v>
      </c>
      <c r="N37" s="30"/>
      <c r="O37" s="31"/>
      <c r="P37" s="31"/>
    </row>
    <row r="38" spans="1:16" x14ac:dyDescent="0.3">
      <c r="A38">
        <v>25</v>
      </c>
      <c r="B38" t="s">
        <v>47</v>
      </c>
      <c r="D38" s="18">
        <v>1</v>
      </c>
      <c r="E38" s="18">
        <v>90</v>
      </c>
      <c r="F38" s="8">
        <f t="shared" si="4"/>
        <v>90</v>
      </c>
      <c r="G38" s="19">
        <v>5</v>
      </c>
      <c r="H38" s="19">
        <v>-0.4</v>
      </c>
      <c r="I38" s="19">
        <v>1.7</v>
      </c>
      <c r="J38" s="8">
        <f t="shared" si="5"/>
        <v>450</v>
      </c>
      <c r="K38" s="8">
        <f t="shared" si="6"/>
        <v>-36</v>
      </c>
      <c r="L38" s="8">
        <f t="shared" si="7"/>
        <v>153</v>
      </c>
      <c r="N38" s="30"/>
      <c r="O38" s="31"/>
      <c r="P38" s="31"/>
    </row>
    <row r="39" spans="1:16" x14ac:dyDescent="0.3">
      <c r="A39">
        <v>25</v>
      </c>
      <c r="B39" t="s">
        <v>48</v>
      </c>
      <c r="D39" s="18">
        <v>1</v>
      </c>
      <c r="E39" s="18">
        <v>60</v>
      </c>
      <c r="F39" s="8">
        <f t="shared" si="4"/>
        <v>60</v>
      </c>
      <c r="G39" s="19">
        <v>14</v>
      </c>
      <c r="H39" s="19">
        <v>0.4</v>
      </c>
      <c r="I39" s="19">
        <v>1.7</v>
      </c>
      <c r="J39" s="8">
        <f t="shared" si="5"/>
        <v>840</v>
      </c>
      <c r="K39" s="8">
        <f t="shared" si="6"/>
        <v>24</v>
      </c>
      <c r="L39" s="8">
        <f t="shared" si="7"/>
        <v>102</v>
      </c>
      <c r="N39" s="30"/>
      <c r="O39" s="31"/>
      <c r="P39" s="31"/>
    </row>
    <row r="40" spans="1:16" x14ac:dyDescent="0.3">
      <c r="A40">
        <v>25</v>
      </c>
      <c r="B40" t="s">
        <v>49</v>
      </c>
      <c r="D40" s="18">
        <v>1</v>
      </c>
      <c r="E40" s="18">
        <v>40</v>
      </c>
      <c r="F40" s="8">
        <f t="shared" si="4"/>
        <v>40</v>
      </c>
      <c r="G40" s="19">
        <v>5.5</v>
      </c>
      <c r="H40" s="19">
        <v>0.4</v>
      </c>
      <c r="I40" s="19">
        <v>1.7</v>
      </c>
      <c r="J40" s="8">
        <f t="shared" si="5"/>
        <v>220</v>
      </c>
      <c r="K40" s="8">
        <f t="shared" si="6"/>
        <v>16</v>
      </c>
      <c r="L40" s="8">
        <f t="shared" si="7"/>
        <v>68</v>
      </c>
      <c r="N40" s="30"/>
      <c r="O40" s="31"/>
      <c r="P40" s="31"/>
    </row>
    <row r="41" spans="1:16" x14ac:dyDescent="0.3">
      <c r="A41">
        <v>25</v>
      </c>
      <c r="B41" t="s">
        <v>50</v>
      </c>
      <c r="D41" s="18">
        <v>1</v>
      </c>
      <c r="E41" s="18">
        <v>55</v>
      </c>
      <c r="F41" s="8">
        <f t="shared" si="4"/>
        <v>55</v>
      </c>
      <c r="G41" s="19">
        <v>15.5</v>
      </c>
      <c r="H41" s="19">
        <v>0</v>
      </c>
      <c r="I41" s="19">
        <v>1.7</v>
      </c>
      <c r="J41" s="8">
        <f t="shared" si="5"/>
        <v>852.5</v>
      </c>
      <c r="K41" s="8">
        <f t="shared" si="6"/>
        <v>0</v>
      </c>
      <c r="L41" s="8">
        <f t="shared" si="7"/>
        <v>93.5</v>
      </c>
      <c r="N41" s="30"/>
      <c r="O41" s="31"/>
      <c r="P41" s="31"/>
    </row>
    <row r="42" spans="1:16" x14ac:dyDescent="0.3">
      <c r="A42">
        <v>25</v>
      </c>
      <c r="B42" t="s">
        <v>51</v>
      </c>
      <c r="D42" s="18">
        <v>1</v>
      </c>
      <c r="E42" s="18">
        <v>120</v>
      </c>
      <c r="F42" s="8">
        <f t="shared" si="4"/>
        <v>120</v>
      </c>
      <c r="G42" s="19">
        <v>8.5</v>
      </c>
      <c r="H42" s="19">
        <v>0</v>
      </c>
      <c r="I42" s="19">
        <v>2.4</v>
      </c>
      <c r="J42" s="8">
        <f t="shared" si="5"/>
        <v>1020</v>
      </c>
      <c r="K42" s="8">
        <f t="shared" si="6"/>
        <v>0</v>
      </c>
      <c r="L42" s="8">
        <f t="shared" si="7"/>
        <v>288</v>
      </c>
      <c r="M42" t="s">
        <v>239</v>
      </c>
      <c r="N42" s="30"/>
      <c r="O42" s="31"/>
      <c r="P42" s="31"/>
    </row>
    <row r="43" spans="1:16" x14ac:dyDescent="0.3">
      <c r="A43" s="6"/>
      <c r="B43" s="6" t="s">
        <v>52</v>
      </c>
      <c r="C43" s="6"/>
      <c r="D43" s="9"/>
      <c r="E43" s="9"/>
      <c r="F43" s="9">
        <f>SUM(F36:F42)</f>
        <v>840</v>
      </c>
      <c r="G43" s="14">
        <f>IFERROR(SUM(J36:J42)/F43,0)</f>
        <v>8.3916666666666675</v>
      </c>
      <c r="H43" s="14">
        <f>IFERROR(SUM(K36:K42)/F43,0)</f>
        <v>4.7619047619047623E-3</v>
      </c>
      <c r="I43" s="14">
        <f>IFERROR(SUM(L36:L42)/F43,0)</f>
        <v>1.743452380952381</v>
      </c>
      <c r="J43" s="9">
        <f>SUM(J36:J42)</f>
        <v>7049</v>
      </c>
      <c r="K43" s="9">
        <f>SUM(K36:K42)</f>
        <v>4</v>
      </c>
      <c r="L43" s="9">
        <f>SUM(L36:L42)</f>
        <v>1464.5</v>
      </c>
      <c r="M43" s="6"/>
      <c r="N43" s="30"/>
      <c r="O43" s="31"/>
      <c r="P43" s="31"/>
    </row>
    <row r="44" spans="1:16" x14ac:dyDescent="0.3">
      <c r="A44" s="4" t="s">
        <v>53</v>
      </c>
      <c r="B44" s="4" t="s">
        <v>54</v>
      </c>
      <c r="C44" s="4"/>
      <c r="D44" s="10"/>
      <c r="E44" s="10"/>
      <c r="F44" s="10"/>
      <c r="G44" s="15"/>
      <c r="H44" s="15"/>
      <c r="I44" s="15"/>
      <c r="J44" s="10"/>
      <c r="K44" s="10"/>
      <c r="L44" s="10"/>
      <c r="M44" s="4"/>
      <c r="N44" s="53">
        <f>Target!C10</f>
        <v>35</v>
      </c>
      <c r="O44" s="54">
        <f>F49</f>
        <v>36</v>
      </c>
      <c r="P44" s="54">
        <f>IF(N44="","",O44-N44)</f>
        <v>1</v>
      </c>
    </row>
    <row r="45" spans="1:16" x14ac:dyDescent="0.3">
      <c r="A45">
        <v>26</v>
      </c>
      <c r="B45" t="s">
        <v>55</v>
      </c>
      <c r="D45" s="18">
        <v>1</v>
      </c>
      <c r="E45" s="18">
        <v>8</v>
      </c>
      <c r="F45" s="8">
        <f>IFERROR(D45*E45,0)</f>
        <v>8</v>
      </c>
      <c r="G45" s="19">
        <v>12</v>
      </c>
      <c r="H45" s="19">
        <v>-0.6</v>
      </c>
      <c r="I45" s="19">
        <v>2.2999999999999998</v>
      </c>
      <c r="J45" s="8">
        <f>IFERROR(F45*G45,0)</f>
        <v>96</v>
      </c>
      <c r="K45" s="8">
        <f>IFERROR(F45*H45,0)</f>
        <v>-4.8</v>
      </c>
      <c r="L45" s="8">
        <f>IFERROR(F45*I45,0)</f>
        <v>18.399999999999999</v>
      </c>
      <c r="N45" s="30"/>
      <c r="O45" s="31"/>
      <c r="P45" s="31"/>
    </row>
    <row r="46" spans="1:16" x14ac:dyDescent="0.3">
      <c r="A46">
        <v>26</v>
      </c>
      <c r="B46" t="s">
        <v>56</v>
      </c>
      <c r="D46" s="18">
        <v>1</v>
      </c>
      <c r="E46" s="18">
        <v>8</v>
      </c>
      <c r="F46" s="8">
        <f>IFERROR(D46*E46,0)</f>
        <v>8</v>
      </c>
      <c r="G46" s="19">
        <v>12</v>
      </c>
      <c r="H46" s="19">
        <v>0.6</v>
      </c>
      <c r="I46" s="19">
        <v>2.2999999999999998</v>
      </c>
      <c r="J46" s="8">
        <f>IFERROR(F46*G46,0)</f>
        <v>96</v>
      </c>
      <c r="K46" s="8">
        <f>IFERROR(F46*H46,0)</f>
        <v>4.8</v>
      </c>
      <c r="L46" s="8">
        <f>IFERROR(F46*I46,0)</f>
        <v>18.399999999999999</v>
      </c>
      <c r="N46" s="30"/>
      <c r="O46" s="31"/>
      <c r="P46" s="31"/>
    </row>
    <row r="47" spans="1:16" x14ac:dyDescent="0.3">
      <c r="A47">
        <v>26</v>
      </c>
      <c r="B47" t="s">
        <v>57</v>
      </c>
      <c r="D47" s="18">
        <v>1</v>
      </c>
      <c r="E47" s="18">
        <v>6</v>
      </c>
      <c r="F47" s="8">
        <f>IFERROR(D47*E47,0)</f>
        <v>6</v>
      </c>
      <c r="G47" s="19">
        <v>19</v>
      </c>
      <c r="H47" s="19">
        <v>0</v>
      </c>
      <c r="I47" s="19">
        <v>2.2999999999999998</v>
      </c>
      <c r="J47" s="8">
        <f>IFERROR(F47*G47,0)</f>
        <v>114</v>
      </c>
      <c r="K47" s="8">
        <f>IFERROR(F47*H47,0)</f>
        <v>0</v>
      </c>
      <c r="L47" s="8">
        <f>IFERROR(F47*I47,0)</f>
        <v>13.799999999999999</v>
      </c>
      <c r="N47" s="30"/>
      <c r="O47" s="31"/>
      <c r="P47" s="31"/>
    </row>
    <row r="48" spans="1:16" x14ac:dyDescent="0.3">
      <c r="A48">
        <v>26</v>
      </c>
      <c r="B48" t="s">
        <v>58</v>
      </c>
      <c r="D48" s="18">
        <v>2</v>
      </c>
      <c r="E48" s="18">
        <v>7</v>
      </c>
      <c r="F48" s="8">
        <f>IFERROR(D48*E48,0)</f>
        <v>14</v>
      </c>
      <c r="G48" s="19">
        <v>16.5</v>
      </c>
      <c r="H48" s="19">
        <v>0</v>
      </c>
      <c r="I48" s="19">
        <v>1</v>
      </c>
      <c r="J48" s="8">
        <f>IFERROR(F48*G48,0)</f>
        <v>231</v>
      </c>
      <c r="K48" s="8">
        <f>IFERROR(F48*H48,0)</f>
        <v>0</v>
      </c>
      <c r="L48" s="8">
        <f>IFERROR(F48*I48,0)</f>
        <v>14</v>
      </c>
      <c r="N48" s="30"/>
      <c r="O48" s="31"/>
      <c r="P48" s="31"/>
    </row>
    <row r="49" spans="1:16" x14ac:dyDescent="0.3">
      <c r="A49" s="6"/>
      <c r="B49" s="6" t="s">
        <v>59</v>
      </c>
      <c r="C49" s="6"/>
      <c r="D49" s="9"/>
      <c r="E49" s="9"/>
      <c r="F49" s="9">
        <f>SUM(F45:F48)</f>
        <v>36</v>
      </c>
      <c r="G49" s="14">
        <f>IFERROR(SUM(J45:J48)/F49,0)</f>
        <v>14.916666666666666</v>
      </c>
      <c r="H49" s="14">
        <f>IFERROR(SUM(K45:K48)/F49,0)</f>
        <v>0</v>
      </c>
      <c r="I49" s="14">
        <f>IFERROR(SUM(L45:L48)/F49,0)</f>
        <v>1.7944444444444443</v>
      </c>
      <c r="J49" s="9">
        <f>SUM(J45:J48)</f>
        <v>537</v>
      </c>
      <c r="K49" s="9">
        <f>SUM(K45:K48)</f>
        <v>0</v>
      </c>
      <c r="L49" s="9">
        <f>SUM(L45:L48)</f>
        <v>64.599999999999994</v>
      </c>
      <c r="M49" s="6"/>
      <c r="N49" s="30"/>
      <c r="O49" s="31"/>
      <c r="P49" s="31"/>
    </row>
    <row r="50" spans="1:16" x14ac:dyDescent="0.3">
      <c r="A50" s="4" t="s">
        <v>60</v>
      </c>
      <c r="B50" s="4" t="s">
        <v>61</v>
      </c>
      <c r="C50" s="4"/>
      <c r="D50" s="10"/>
      <c r="E50" s="10"/>
      <c r="F50" s="10"/>
      <c r="G50" s="15"/>
      <c r="H50" s="15"/>
      <c r="I50" s="15"/>
      <c r="J50" s="10"/>
      <c r="K50" s="10"/>
      <c r="L50" s="10"/>
      <c r="M50" s="4"/>
      <c r="N50" s="53">
        <f>Target!C11</f>
        <v>340</v>
      </c>
      <c r="O50" s="54">
        <f>F60</f>
        <v>348</v>
      </c>
      <c r="P50" s="54">
        <f>IF(N50="","",O50-N50)</f>
        <v>8</v>
      </c>
    </row>
    <row r="51" spans="1:16" x14ac:dyDescent="0.3">
      <c r="A51">
        <v>27</v>
      </c>
      <c r="B51" t="s">
        <v>62</v>
      </c>
      <c r="D51" s="18">
        <v>1</v>
      </c>
      <c r="E51" s="18">
        <v>18</v>
      </c>
      <c r="F51" s="8">
        <f t="shared" ref="F51:F59" si="8">IFERROR(D51*E51,0)</f>
        <v>18</v>
      </c>
      <c r="G51" s="19">
        <v>11</v>
      </c>
      <c r="H51" s="19">
        <v>-7.5</v>
      </c>
      <c r="I51" s="19">
        <v>2.2000000000000002</v>
      </c>
      <c r="J51" s="8">
        <f t="shared" ref="J51:J59" si="9">IFERROR(F51*G51,0)</f>
        <v>198</v>
      </c>
      <c r="K51" s="8">
        <f t="shared" ref="K51:K59" si="10">IFERROR(F51*H51,0)</f>
        <v>-135</v>
      </c>
      <c r="L51" s="8">
        <f t="shared" ref="L51:L59" si="11">IFERROR(F51*I51,0)</f>
        <v>39.6</v>
      </c>
      <c r="N51" s="30"/>
      <c r="O51" s="31"/>
      <c r="P51" s="31"/>
    </row>
    <row r="52" spans="1:16" x14ac:dyDescent="0.3">
      <c r="A52">
        <v>27</v>
      </c>
      <c r="B52" t="s">
        <v>63</v>
      </c>
      <c r="D52" s="18">
        <v>1</v>
      </c>
      <c r="E52" s="18">
        <v>18</v>
      </c>
      <c r="F52" s="8">
        <f t="shared" si="8"/>
        <v>18</v>
      </c>
      <c r="G52" s="19">
        <v>11</v>
      </c>
      <c r="H52" s="19">
        <v>7.5</v>
      </c>
      <c r="I52" s="19">
        <v>2.2000000000000002</v>
      </c>
      <c r="J52" s="8">
        <f t="shared" si="9"/>
        <v>198</v>
      </c>
      <c r="K52" s="8">
        <f t="shared" si="10"/>
        <v>135</v>
      </c>
      <c r="L52" s="8">
        <f t="shared" si="11"/>
        <v>39.6</v>
      </c>
      <c r="N52" s="30"/>
      <c r="O52" s="31"/>
      <c r="P52" s="31"/>
    </row>
    <row r="53" spans="1:16" x14ac:dyDescent="0.3">
      <c r="A53">
        <v>27</v>
      </c>
      <c r="B53" t="s">
        <v>64</v>
      </c>
      <c r="D53" s="18">
        <v>1</v>
      </c>
      <c r="E53" s="18">
        <v>22</v>
      </c>
      <c r="F53" s="8">
        <f t="shared" si="8"/>
        <v>22</v>
      </c>
      <c r="G53" s="19">
        <v>19.5</v>
      </c>
      <c r="H53" s="19">
        <v>-2</v>
      </c>
      <c r="I53" s="19">
        <v>5</v>
      </c>
      <c r="J53" s="8">
        <f t="shared" si="9"/>
        <v>429</v>
      </c>
      <c r="K53" s="8">
        <f t="shared" si="10"/>
        <v>-44</v>
      </c>
      <c r="L53" s="8">
        <f t="shared" si="11"/>
        <v>110</v>
      </c>
      <c r="M53" t="s">
        <v>240</v>
      </c>
      <c r="N53" s="30"/>
      <c r="O53" s="31"/>
      <c r="P53" s="31"/>
    </row>
    <row r="54" spans="1:16" x14ac:dyDescent="0.3">
      <c r="A54">
        <v>27</v>
      </c>
      <c r="B54" t="s">
        <v>65</v>
      </c>
      <c r="D54" s="18">
        <v>1</v>
      </c>
      <c r="E54" s="18">
        <v>22</v>
      </c>
      <c r="F54" s="8">
        <f t="shared" si="8"/>
        <v>22</v>
      </c>
      <c r="G54" s="19">
        <v>19.5</v>
      </c>
      <c r="H54" s="19">
        <v>2</v>
      </c>
      <c r="I54" s="19">
        <v>5</v>
      </c>
      <c r="J54" s="8">
        <f t="shared" si="9"/>
        <v>429</v>
      </c>
      <c r="K54" s="8">
        <f t="shared" si="10"/>
        <v>44</v>
      </c>
      <c r="L54" s="8">
        <f t="shared" si="11"/>
        <v>110</v>
      </c>
      <c r="M54" t="s">
        <v>240</v>
      </c>
      <c r="N54" s="30"/>
      <c r="O54" s="31"/>
      <c r="P54" s="31"/>
    </row>
    <row r="55" spans="1:16" x14ac:dyDescent="0.3">
      <c r="A55">
        <v>27</v>
      </c>
      <c r="B55" t="s">
        <v>66</v>
      </c>
      <c r="D55" s="18">
        <v>1</v>
      </c>
      <c r="E55" s="18">
        <v>30</v>
      </c>
      <c r="F55" s="8">
        <f t="shared" si="8"/>
        <v>30</v>
      </c>
      <c r="G55" s="19">
        <v>19.5</v>
      </c>
      <c r="H55" s="19">
        <v>0</v>
      </c>
      <c r="I55" s="19">
        <v>4.2</v>
      </c>
      <c r="J55" s="8">
        <f t="shared" si="9"/>
        <v>585</v>
      </c>
      <c r="K55" s="8">
        <f t="shared" si="10"/>
        <v>0</v>
      </c>
      <c r="L55" s="8">
        <f t="shared" si="11"/>
        <v>126</v>
      </c>
      <c r="N55" s="30"/>
      <c r="O55" s="31"/>
      <c r="P55" s="31"/>
    </row>
    <row r="56" spans="1:16" x14ac:dyDescent="0.3">
      <c r="A56">
        <v>27</v>
      </c>
      <c r="B56" t="s">
        <v>67</v>
      </c>
      <c r="D56" s="18">
        <v>1</v>
      </c>
      <c r="E56" s="18">
        <v>55</v>
      </c>
      <c r="F56" s="8">
        <f t="shared" si="8"/>
        <v>55</v>
      </c>
      <c r="G56" s="19">
        <v>10.5</v>
      </c>
      <c r="H56" s="19">
        <v>-4</v>
      </c>
      <c r="I56" s="19">
        <v>2</v>
      </c>
      <c r="J56" s="8">
        <f t="shared" si="9"/>
        <v>577.5</v>
      </c>
      <c r="K56" s="8">
        <f t="shared" si="10"/>
        <v>-220</v>
      </c>
      <c r="L56" s="8">
        <f t="shared" si="11"/>
        <v>110</v>
      </c>
      <c r="N56" s="30"/>
      <c r="O56" s="31"/>
      <c r="P56" s="31"/>
    </row>
    <row r="57" spans="1:16" x14ac:dyDescent="0.3">
      <c r="A57">
        <v>27</v>
      </c>
      <c r="B57" t="s">
        <v>68</v>
      </c>
      <c r="D57" s="18">
        <v>1</v>
      </c>
      <c r="E57" s="18">
        <v>55</v>
      </c>
      <c r="F57" s="8">
        <f t="shared" si="8"/>
        <v>55</v>
      </c>
      <c r="G57" s="19">
        <v>10.5</v>
      </c>
      <c r="H57" s="19">
        <v>4</v>
      </c>
      <c r="I57" s="19">
        <v>2</v>
      </c>
      <c r="J57" s="8">
        <f t="shared" si="9"/>
        <v>577.5</v>
      </c>
      <c r="K57" s="8">
        <f t="shared" si="10"/>
        <v>220</v>
      </c>
      <c r="L57" s="8">
        <f t="shared" si="11"/>
        <v>110</v>
      </c>
      <c r="N57" s="30"/>
      <c r="O57" s="31"/>
      <c r="P57" s="31"/>
    </row>
    <row r="58" spans="1:16" x14ac:dyDescent="0.3">
      <c r="A58">
        <v>27</v>
      </c>
      <c r="B58" t="s">
        <v>69</v>
      </c>
      <c r="D58" s="18">
        <v>4</v>
      </c>
      <c r="E58" s="18">
        <v>12</v>
      </c>
      <c r="F58" s="8">
        <f t="shared" si="8"/>
        <v>48</v>
      </c>
      <c r="G58" s="19">
        <v>10.8</v>
      </c>
      <c r="H58" s="19">
        <v>0</v>
      </c>
      <c r="I58" s="19">
        <v>2.1</v>
      </c>
      <c r="J58" s="8">
        <f t="shared" si="9"/>
        <v>518.40000000000009</v>
      </c>
      <c r="K58" s="8">
        <f t="shared" si="10"/>
        <v>0</v>
      </c>
      <c r="L58" s="8">
        <f t="shared" si="11"/>
        <v>100.80000000000001</v>
      </c>
      <c r="M58" t="s">
        <v>241</v>
      </c>
      <c r="N58" s="30"/>
      <c r="O58" s="31"/>
      <c r="P58" s="31"/>
    </row>
    <row r="59" spans="1:16" x14ac:dyDescent="0.3">
      <c r="A59">
        <v>27</v>
      </c>
      <c r="B59" t="s">
        <v>70</v>
      </c>
      <c r="D59" s="18">
        <v>8</v>
      </c>
      <c r="E59" s="18">
        <v>10</v>
      </c>
      <c r="F59" s="8">
        <f t="shared" si="8"/>
        <v>80</v>
      </c>
      <c r="G59" s="19">
        <v>12</v>
      </c>
      <c r="H59" s="19">
        <v>0</v>
      </c>
      <c r="I59" s="19">
        <v>2.5</v>
      </c>
      <c r="J59" s="8">
        <f t="shared" si="9"/>
        <v>960</v>
      </c>
      <c r="K59" s="8">
        <f t="shared" si="10"/>
        <v>0</v>
      </c>
      <c r="L59" s="8">
        <f t="shared" si="11"/>
        <v>200</v>
      </c>
      <c r="M59" t="s">
        <v>242</v>
      </c>
      <c r="N59" s="30"/>
      <c r="O59" s="31"/>
      <c r="P59" s="31"/>
    </row>
    <row r="60" spans="1:16" x14ac:dyDescent="0.3">
      <c r="A60" s="6"/>
      <c r="B60" s="6" t="s">
        <v>71</v>
      </c>
      <c r="C60" s="6"/>
      <c r="D60" s="9"/>
      <c r="E60" s="9"/>
      <c r="F60" s="9">
        <f>SUM(F51:F59)</f>
        <v>348</v>
      </c>
      <c r="G60" s="14">
        <f>IFERROR(SUM(J51:J59)/F60,0)</f>
        <v>12.851724137931033</v>
      </c>
      <c r="H60" s="14">
        <f>IFERROR(SUM(K51:K59)/F60,0)</f>
        <v>0</v>
      </c>
      <c r="I60" s="14">
        <f>IFERROR(SUM(L51:L59)/F60,0)</f>
        <v>2.7183908045977012</v>
      </c>
      <c r="J60" s="9">
        <f>SUM(J51:J59)</f>
        <v>4472.3999999999996</v>
      </c>
      <c r="K60" s="9">
        <f>SUM(K51:K59)</f>
        <v>0</v>
      </c>
      <c r="L60" s="9">
        <f>SUM(L51:L59)</f>
        <v>946</v>
      </c>
      <c r="M60" s="6"/>
      <c r="N60" s="30"/>
      <c r="O60" s="31"/>
      <c r="P60" s="31"/>
    </row>
    <row r="61" spans="1:16" x14ac:dyDescent="0.3">
      <c r="A61" s="4" t="s">
        <v>72</v>
      </c>
      <c r="B61" s="4" t="s">
        <v>73</v>
      </c>
      <c r="C61" s="4"/>
      <c r="D61" s="10"/>
      <c r="E61" s="10"/>
      <c r="F61" s="10"/>
      <c r="G61" s="15"/>
      <c r="H61" s="15"/>
      <c r="I61" s="15"/>
      <c r="J61" s="10"/>
      <c r="K61" s="10"/>
      <c r="L61" s="10"/>
      <c r="M61" s="4"/>
      <c r="N61" s="53">
        <f>Target!C12</f>
        <v>6300</v>
      </c>
      <c r="O61" s="54">
        <f>F67</f>
        <v>6364</v>
      </c>
      <c r="P61" s="54">
        <f>IF(N61="","",O61-N61)</f>
        <v>64</v>
      </c>
    </row>
    <row r="62" spans="1:16" x14ac:dyDescent="0.3">
      <c r="A62">
        <v>28</v>
      </c>
      <c r="B62" t="s">
        <v>74</v>
      </c>
      <c r="D62" s="18">
        <v>1</v>
      </c>
      <c r="E62" s="18">
        <v>2500</v>
      </c>
      <c r="F62" s="8">
        <f>IFERROR(D62*E62,0)</f>
        <v>2500</v>
      </c>
      <c r="G62" s="19">
        <v>10.5</v>
      </c>
      <c r="H62" s="19">
        <v>-3</v>
      </c>
      <c r="I62" s="19">
        <v>2</v>
      </c>
      <c r="J62" s="8">
        <f>IFERROR(F62*G62,0)</f>
        <v>26250</v>
      </c>
      <c r="K62" s="8">
        <f>IFERROR(F62*H62,0)</f>
        <v>-7500</v>
      </c>
      <c r="L62" s="8">
        <f>IFERROR(F62*I62,0)</f>
        <v>5000</v>
      </c>
      <c r="M62" t="s">
        <v>243</v>
      </c>
      <c r="N62" s="30"/>
      <c r="O62" s="31"/>
      <c r="P62" s="31"/>
    </row>
    <row r="63" spans="1:16" x14ac:dyDescent="0.3">
      <c r="A63">
        <v>28</v>
      </c>
      <c r="B63" t="s">
        <v>75</v>
      </c>
      <c r="D63" s="18">
        <v>1</v>
      </c>
      <c r="E63" s="18">
        <v>2500</v>
      </c>
      <c r="F63" s="8">
        <f>IFERROR(D63*E63,0)</f>
        <v>2500</v>
      </c>
      <c r="G63" s="19">
        <v>10.5</v>
      </c>
      <c r="H63" s="19">
        <v>3</v>
      </c>
      <c r="I63" s="19">
        <v>2</v>
      </c>
      <c r="J63" s="8">
        <f>IFERROR(F63*G63,0)</f>
        <v>26250</v>
      </c>
      <c r="K63" s="8">
        <f>IFERROR(F63*H63,0)</f>
        <v>7500</v>
      </c>
      <c r="L63" s="8">
        <f>IFERROR(F63*I63,0)</f>
        <v>5000</v>
      </c>
      <c r="M63" t="s">
        <v>243</v>
      </c>
      <c r="N63" s="30"/>
      <c r="O63" s="31"/>
      <c r="P63" s="31"/>
    </row>
    <row r="64" spans="1:16" x14ac:dyDescent="0.3">
      <c r="A64">
        <v>28</v>
      </c>
      <c r="B64" t="s">
        <v>76</v>
      </c>
      <c r="D64" s="18">
        <v>1</v>
      </c>
      <c r="E64" s="18">
        <v>1300</v>
      </c>
      <c r="F64" s="8">
        <f>IFERROR(D64*E64,0)</f>
        <v>1300</v>
      </c>
      <c r="G64" s="19">
        <v>10</v>
      </c>
      <c r="H64" s="19">
        <v>0</v>
      </c>
      <c r="I64" s="19">
        <v>1.6</v>
      </c>
      <c r="J64" s="8">
        <f>IFERROR(F64*G64,0)</f>
        <v>13000</v>
      </c>
      <c r="K64" s="8">
        <f>IFERROR(F64*H64,0)</f>
        <v>0</v>
      </c>
      <c r="L64" s="8">
        <f>IFERROR(F64*I64,0)</f>
        <v>2080</v>
      </c>
      <c r="M64" t="s">
        <v>244</v>
      </c>
      <c r="N64" s="30"/>
      <c r="O64" s="31"/>
      <c r="P64" s="31"/>
    </row>
    <row r="65" spans="1:16" x14ac:dyDescent="0.3">
      <c r="A65">
        <v>28</v>
      </c>
      <c r="B65" t="s">
        <v>77</v>
      </c>
      <c r="D65" s="18">
        <v>4</v>
      </c>
      <c r="E65" s="18">
        <v>6</v>
      </c>
      <c r="F65" s="8">
        <f>IFERROR(D65*E65,0)</f>
        <v>24</v>
      </c>
      <c r="G65" s="19">
        <v>10.5</v>
      </c>
      <c r="H65" s="19">
        <v>0</v>
      </c>
      <c r="I65" s="19">
        <v>1.8</v>
      </c>
      <c r="J65" s="8">
        <f>IFERROR(F65*G65,0)</f>
        <v>252</v>
      </c>
      <c r="K65" s="8">
        <f>IFERROR(F65*H65,0)</f>
        <v>0</v>
      </c>
      <c r="L65" s="8">
        <f>IFERROR(F65*I65,0)</f>
        <v>43.2</v>
      </c>
      <c r="N65" s="30"/>
      <c r="O65" s="31"/>
      <c r="P65" s="31"/>
    </row>
    <row r="66" spans="1:16" x14ac:dyDescent="0.3">
      <c r="A66">
        <v>28</v>
      </c>
      <c r="B66" t="s">
        <v>78</v>
      </c>
      <c r="D66" s="18">
        <v>1</v>
      </c>
      <c r="E66" s="18">
        <v>40</v>
      </c>
      <c r="F66" s="8">
        <f>IFERROR(D66*E66,0)</f>
        <v>40</v>
      </c>
      <c r="G66" s="19">
        <v>11</v>
      </c>
      <c r="H66" s="19">
        <v>0</v>
      </c>
      <c r="I66" s="19">
        <v>1.8</v>
      </c>
      <c r="J66" s="8">
        <f>IFERROR(F66*G66,0)</f>
        <v>440</v>
      </c>
      <c r="K66" s="8">
        <f>IFERROR(F66*H66,0)</f>
        <v>0</v>
      </c>
      <c r="L66" s="8">
        <f>IFERROR(F66*I66,0)</f>
        <v>72</v>
      </c>
      <c r="M66" t="s">
        <v>245</v>
      </c>
      <c r="N66" s="30"/>
      <c r="O66" s="31"/>
      <c r="P66" s="31"/>
    </row>
    <row r="67" spans="1:16" x14ac:dyDescent="0.3">
      <c r="A67" s="6"/>
      <c r="B67" s="6" t="s">
        <v>79</v>
      </c>
      <c r="C67" s="6"/>
      <c r="D67" s="9"/>
      <c r="E67" s="9"/>
      <c r="F67" s="9">
        <f>SUM(F62:F66)</f>
        <v>6364</v>
      </c>
      <c r="G67" s="14">
        <f>IFERROR(SUM(J62:J66)/F67,0)</f>
        <v>10.40100565681961</v>
      </c>
      <c r="H67" s="14">
        <f>IFERROR(SUM(K62:K66)/F67,0)</f>
        <v>0</v>
      </c>
      <c r="I67" s="14">
        <f>IFERROR(SUM(L62:L66)/F67,0)</f>
        <v>1.9162790697674419</v>
      </c>
      <c r="J67" s="9">
        <f>SUM(J62:J66)</f>
        <v>66192</v>
      </c>
      <c r="K67" s="9">
        <f>SUM(K62:K66)</f>
        <v>0</v>
      </c>
      <c r="L67" s="9">
        <f>SUM(L62:L66)</f>
        <v>12195.2</v>
      </c>
      <c r="M67" s="6"/>
      <c r="N67" s="30"/>
      <c r="O67" s="31"/>
      <c r="P67" s="31"/>
    </row>
    <row r="68" spans="1:16" x14ac:dyDescent="0.3">
      <c r="A68" s="4" t="s">
        <v>80</v>
      </c>
      <c r="B68" s="4" t="s">
        <v>81</v>
      </c>
      <c r="C68" s="4"/>
      <c r="D68" s="10"/>
      <c r="E68" s="10"/>
      <c r="F68" s="10"/>
      <c r="G68" s="15"/>
      <c r="H68" s="15"/>
      <c r="I68" s="15"/>
      <c r="J68" s="10"/>
      <c r="K68" s="10"/>
      <c r="L68" s="10"/>
      <c r="M68" s="4"/>
      <c r="N68" s="53">
        <f>Target!C13</f>
        <v>52</v>
      </c>
      <c r="O68" s="54">
        <f>F73</f>
        <v>54</v>
      </c>
      <c r="P68" s="54">
        <f>IF(N68="","",O68-N68)</f>
        <v>2</v>
      </c>
    </row>
    <row r="69" spans="1:16" x14ac:dyDescent="0.3">
      <c r="A69">
        <v>29</v>
      </c>
      <c r="B69" t="s">
        <v>82</v>
      </c>
      <c r="D69" s="18">
        <v>1</v>
      </c>
      <c r="E69" s="18">
        <v>12</v>
      </c>
      <c r="F69" s="8">
        <f>IFERROR(D69*E69,0)</f>
        <v>12</v>
      </c>
      <c r="G69" s="19">
        <v>12.5</v>
      </c>
      <c r="H69" s="19">
        <v>-0.5</v>
      </c>
      <c r="I69" s="19">
        <v>2</v>
      </c>
      <c r="J69" s="8">
        <f>IFERROR(F69*G69,0)</f>
        <v>150</v>
      </c>
      <c r="K69" s="8">
        <f>IFERROR(F69*H69,0)</f>
        <v>-6</v>
      </c>
      <c r="L69" s="8">
        <f>IFERROR(F69*I69,0)</f>
        <v>24</v>
      </c>
      <c r="M69" t="s">
        <v>246</v>
      </c>
      <c r="N69" s="30"/>
      <c r="O69" s="31"/>
      <c r="P69" s="31"/>
    </row>
    <row r="70" spans="1:16" x14ac:dyDescent="0.3">
      <c r="A70">
        <v>29</v>
      </c>
      <c r="B70" t="s">
        <v>83</v>
      </c>
      <c r="D70" s="18">
        <v>1</v>
      </c>
      <c r="E70" s="18">
        <v>12</v>
      </c>
      <c r="F70" s="8">
        <f>IFERROR(D70*E70,0)</f>
        <v>12</v>
      </c>
      <c r="G70" s="19">
        <v>12.5</v>
      </c>
      <c r="H70" s="19">
        <v>0.5</v>
      </c>
      <c r="I70" s="19">
        <v>2</v>
      </c>
      <c r="J70" s="8">
        <f>IFERROR(F70*G70,0)</f>
        <v>150</v>
      </c>
      <c r="K70" s="8">
        <f>IFERROR(F70*H70,0)</f>
        <v>6</v>
      </c>
      <c r="L70" s="8">
        <f>IFERROR(F70*I70,0)</f>
        <v>24</v>
      </c>
      <c r="M70" t="s">
        <v>247</v>
      </c>
      <c r="N70" s="30"/>
      <c r="O70" s="31"/>
      <c r="P70" s="31"/>
    </row>
    <row r="71" spans="1:16" x14ac:dyDescent="0.3">
      <c r="A71">
        <v>29</v>
      </c>
      <c r="B71" t="s">
        <v>84</v>
      </c>
      <c r="D71" s="18">
        <v>1</v>
      </c>
      <c r="E71" s="18">
        <v>15</v>
      </c>
      <c r="F71" s="8">
        <f>IFERROR(D71*E71,0)</f>
        <v>15</v>
      </c>
      <c r="G71" s="19">
        <v>13.5</v>
      </c>
      <c r="H71" s="19">
        <v>-0.4</v>
      </c>
      <c r="I71" s="19">
        <v>1.9</v>
      </c>
      <c r="J71" s="8">
        <f>IFERROR(F71*G71,0)</f>
        <v>202.5</v>
      </c>
      <c r="K71" s="8">
        <f>IFERROR(F71*H71,0)</f>
        <v>-6</v>
      </c>
      <c r="L71" s="8">
        <f>IFERROR(F71*I71,0)</f>
        <v>28.5</v>
      </c>
      <c r="N71" s="30"/>
      <c r="O71" s="31"/>
      <c r="P71" s="31"/>
    </row>
    <row r="72" spans="1:16" x14ac:dyDescent="0.3">
      <c r="A72">
        <v>29</v>
      </c>
      <c r="B72" t="s">
        <v>85</v>
      </c>
      <c r="D72" s="18">
        <v>1</v>
      </c>
      <c r="E72" s="18">
        <v>15</v>
      </c>
      <c r="F72" s="8">
        <f>IFERROR(D72*E72,0)</f>
        <v>15</v>
      </c>
      <c r="G72" s="19">
        <v>13.5</v>
      </c>
      <c r="H72" s="19">
        <v>0.4</v>
      </c>
      <c r="I72" s="19">
        <v>1.9</v>
      </c>
      <c r="J72" s="8">
        <f>IFERROR(F72*G72,0)</f>
        <v>202.5</v>
      </c>
      <c r="K72" s="8">
        <f>IFERROR(F72*H72,0)</f>
        <v>6</v>
      </c>
      <c r="L72" s="8">
        <f>IFERROR(F72*I72,0)</f>
        <v>28.5</v>
      </c>
      <c r="N72" s="30"/>
      <c r="O72" s="31"/>
      <c r="P72" s="31"/>
    </row>
    <row r="73" spans="1:16" x14ac:dyDescent="0.3">
      <c r="A73" s="6"/>
      <c r="B73" s="6" t="s">
        <v>86</v>
      </c>
      <c r="C73" s="6"/>
      <c r="D73" s="9"/>
      <c r="E73" s="9"/>
      <c r="F73" s="9">
        <f>SUM(F69:F72)</f>
        <v>54</v>
      </c>
      <c r="G73" s="14">
        <f>IFERROR(SUM(J69:J72)/F73,0)</f>
        <v>13.055555555555555</v>
      </c>
      <c r="H73" s="14">
        <f>IFERROR(SUM(K69:K72)/F73,0)</f>
        <v>0</v>
      </c>
      <c r="I73" s="14">
        <f>IFERROR(SUM(L69:L72)/F73,0)</f>
        <v>1.9444444444444444</v>
      </c>
      <c r="J73" s="9">
        <f>SUM(J69:J72)</f>
        <v>705</v>
      </c>
      <c r="K73" s="9">
        <f>SUM(K69:K72)</f>
        <v>0</v>
      </c>
      <c r="L73" s="9">
        <f>SUM(L69:L72)</f>
        <v>105</v>
      </c>
      <c r="M73" s="6"/>
      <c r="N73" s="30"/>
      <c r="O73" s="31"/>
      <c r="P73" s="31"/>
    </row>
    <row r="74" spans="1:16" x14ac:dyDescent="0.3">
      <c r="A74" s="4" t="s">
        <v>87</v>
      </c>
      <c r="B74" s="4" t="s">
        <v>88</v>
      </c>
      <c r="C74" s="4"/>
      <c r="D74" s="10"/>
      <c r="E74" s="10"/>
      <c r="F74" s="10"/>
      <c r="G74" s="15"/>
      <c r="H74" s="15"/>
      <c r="I74" s="15"/>
      <c r="J74" s="10"/>
      <c r="K74" s="10"/>
      <c r="L74" s="10"/>
      <c r="M74" s="4"/>
      <c r="N74" s="53">
        <f>Target!C14</f>
        <v>48</v>
      </c>
      <c r="O74" s="54">
        <f>F78</f>
        <v>49</v>
      </c>
      <c r="P74" s="54">
        <f>IF(N74="","",O74-N74)</f>
        <v>1</v>
      </c>
    </row>
    <row r="75" spans="1:16" x14ac:dyDescent="0.3">
      <c r="A75">
        <v>30</v>
      </c>
      <c r="B75" t="s">
        <v>89</v>
      </c>
      <c r="D75" s="18">
        <v>1</v>
      </c>
      <c r="E75" s="18">
        <v>35</v>
      </c>
      <c r="F75" s="8">
        <f>IFERROR(D75*E75,0)</f>
        <v>35</v>
      </c>
      <c r="G75" s="19">
        <v>10.5</v>
      </c>
      <c r="H75" s="19">
        <v>0</v>
      </c>
      <c r="I75" s="19">
        <v>1.9</v>
      </c>
      <c r="J75" s="8">
        <f>IFERROR(F75*G75,0)</f>
        <v>367.5</v>
      </c>
      <c r="K75" s="8">
        <f>IFERROR(F75*H75,0)</f>
        <v>0</v>
      </c>
      <c r="L75" s="8">
        <f>IFERROR(F75*I75,0)</f>
        <v>66.5</v>
      </c>
      <c r="M75" t="s">
        <v>248</v>
      </c>
      <c r="N75" s="30"/>
      <c r="O75" s="31"/>
      <c r="P75" s="31"/>
    </row>
    <row r="76" spans="1:16" x14ac:dyDescent="0.3">
      <c r="A76">
        <v>30</v>
      </c>
      <c r="B76" t="s">
        <v>90</v>
      </c>
      <c r="D76" s="18">
        <v>2</v>
      </c>
      <c r="E76" s="18">
        <v>3</v>
      </c>
      <c r="F76" s="8">
        <f>IFERROR(D76*E76,0)</f>
        <v>6</v>
      </c>
      <c r="G76" s="19">
        <v>12</v>
      </c>
      <c r="H76" s="19">
        <v>0</v>
      </c>
      <c r="I76" s="19">
        <v>2.2000000000000002</v>
      </c>
      <c r="J76" s="8">
        <f>IFERROR(F76*G76,0)</f>
        <v>72</v>
      </c>
      <c r="K76" s="8">
        <f>IFERROR(F76*H76,0)</f>
        <v>0</v>
      </c>
      <c r="L76" s="8">
        <f>IFERROR(F76*I76,0)</f>
        <v>13.200000000000001</v>
      </c>
      <c r="N76" s="30"/>
      <c r="O76" s="31"/>
      <c r="P76" s="31"/>
    </row>
    <row r="77" spans="1:16" x14ac:dyDescent="0.3">
      <c r="A77">
        <v>30</v>
      </c>
      <c r="B77" t="s">
        <v>91</v>
      </c>
      <c r="D77" s="18">
        <v>1</v>
      </c>
      <c r="E77" s="18">
        <v>8</v>
      </c>
      <c r="F77" s="8">
        <f>IFERROR(D77*E77,0)</f>
        <v>8</v>
      </c>
      <c r="G77" s="19">
        <v>3</v>
      </c>
      <c r="H77" s="19">
        <v>0</v>
      </c>
      <c r="I77" s="19">
        <v>2</v>
      </c>
      <c r="J77" s="8">
        <f>IFERROR(F77*G77,0)</f>
        <v>24</v>
      </c>
      <c r="K77" s="8">
        <f>IFERROR(F77*H77,0)</f>
        <v>0</v>
      </c>
      <c r="L77" s="8">
        <f>IFERROR(F77*I77,0)</f>
        <v>16</v>
      </c>
      <c r="N77" s="30"/>
      <c r="O77" s="31"/>
      <c r="P77" s="31"/>
    </row>
    <row r="78" spans="1:16" x14ac:dyDescent="0.3">
      <c r="A78" s="6"/>
      <c r="B78" s="6" t="s">
        <v>92</v>
      </c>
      <c r="C78" s="6"/>
      <c r="D78" s="9"/>
      <c r="E78" s="9"/>
      <c r="F78" s="9">
        <f>SUM(F75:F77)</f>
        <v>49</v>
      </c>
      <c r="G78" s="14">
        <f>IFERROR(SUM(J75:J77)/F78,0)</f>
        <v>9.4591836734693882</v>
      </c>
      <c r="H78" s="14">
        <f>IFERROR(SUM(K75:K77)/F78,0)</f>
        <v>0</v>
      </c>
      <c r="I78" s="14">
        <f>IFERROR(SUM(L75:L77)/F78,0)</f>
        <v>1.953061224489796</v>
      </c>
      <c r="J78" s="9">
        <f>SUM(J75:J77)</f>
        <v>463.5</v>
      </c>
      <c r="K78" s="9">
        <f>SUM(K75:K77)</f>
        <v>0</v>
      </c>
      <c r="L78" s="9">
        <f>SUM(L75:L77)</f>
        <v>95.7</v>
      </c>
      <c r="M78" s="6"/>
      <c r="N78" s="30"/>
      <c r="O78" s="31"/>
      <c r="P78" s="31"/>
    </row>
    <row r="79" spans="1:16" x14ac:dyDescent="0.3">
      <c r="A79" s="4" t="s">
        <v>93</v>
      </c>
      <c r="B79" s="4" t="s">
        <v>94</v>
      </c>
      <c r="C79" s="4"/>
      <c r="D79" s="10"/>
      <c r="E79" s="10"/>
      <c r="F79" s="10"/>
      <c r="G79" s="15"/>
      <c r="H79" s="15"/>
      <c r="I79" s="15"/>
      <c r="J79" s="10"/>
      <c r="K79" s="10"/>
      <c r="L79" s="10"/>
      <c r="M79" s="4"/>
      <c r="N79" s="53">
        <f>Target!C15</f>
        <v>46</v>
      </c>
      <c r="O79" s="54">
        <f>F82</f>
        <v>48</v>
      </c>
      <c r="P79" s="54">
        <f>IF(N79="","",O79-N79)</f>
        <v>2</v>
      </c>
    </row>
    <row r="80" spans="1:16" x14ac:dyDescent="0.3">
      <c r="A80">
        <v>31</v>
      </c>
      <c r="B80" t="s">
        <v>95</v>
      </c>
      <c r="D80" s="18">
        <v>1</v>
      </c>
      <c r="E80" s="18">
        <v>8</v>
      </c>
      <c r="F80" s="8">
        <f>IFERROR(D80*E80,0)</f>
        <v>8</v>
      </c>
      <c r="G80" s="19">
        <v>17</v>
      </c>
      <c r="H80" s="19">
        <v>0</v>
      </c>
      <c r="I80" s="19">
        <v>2</v>
      </c>
      <c r="J80" s="8">
        <f>IFERROR(F80*G80,0)</f>
        <v>136</v>
      </c>
      <c r="K80" s="8">
        <f>IFERROR(F80*H80,0)</f>
        <v>0</v>
      </c>
      <c r="L80" s="8">
        <f>IFERROR(F80*I80,0)</f>
        <v>16</v>
      </c>
      <c r="M80" t="s">
        <v>232</v>
      </c>
      <c r="N80" s="30"/>
      <c r="O80" s="31"/>
      <c r="P80" s="31"/>
    </row>
    <row r="81" spans="1:16" x14ac:dyDescent="0.3">
      <c r="A81">
        <v>31</v>
      </c>
      <c r="B81" t="s">
        <v>96</v>
      </c>
      <c r="D81" s="18">
        <v>4</v>
      </c>
      <c r="E81" s="18">
        <v>10</v>
      </c>
      <c r="F81" s="8">
        <f>IFERROR(D81*E81,0)</f>
        <v>40</v>
      </c>
      <c r="G81" s="19">
        <v>3</v>
      </c>
      <c r="H81" s="19">
        <v>0</v>
      </c>
      <c r="I81" s="19">
        <v>1.8</v>
      </c>
      <c r="J81" s="8">
        <f>IFERROR(F81*G81,0)</f>
        <v>120</v>
      </c>
      <c r="K81" s="8">
        <f>IFERROR(F81*H81,0)</f>
        <v>0</v>
      </c>
      <c r="L81" s="8">
        <f>IFERROR(F81*I81,0)</f>
        <v>72</v>
      </c>
      <c r="M81" t="s">
        <v>249</v>
      </c>
      <c r="N81" s="30"/>
      <c r="O81" s="31"/>
      <c r="P81" s="31"/>
    </row>
    <row r="82" spans="1:16" x14ac:dyDescent="0.3">
      <c r="A82" s="6"/>
      <c r="B82" s="6" t="s">
        <v>97</v>
      </c>
      <c r="C82" s="6"/>
      <c r="D82" s="9"/>
      <c r="E82" s="9"/>
      <c r="F82" s="9">
        <f>SUM(F80:F81)</f>
        <v>48</v>
      </c>
      <c r="G82" s="14">
        <f>IFERROR(SUM(J80:J81)/F82,0)</f>
        <v>5.333333333333333</v>
      </c>
      <c r="H82" s="14">
        <f>IFERROR(SUM(K80:K81)/F82,0)</f>
        <v>0</v>
      </c>
      <c r="I82" s="14">
        <f>IFERROR(SUM(L80:L81)/F82,0)</f>
        <v>1.8333333333333333</v>
      </c>
      <c r="J82" s="9">
        <f>SUM(J80:J81)</f>
        <v>256</v>
      </c>
      <c r="K82" s="9">
        <f>SUM(K80:K81)</f>
        <v>0</v>
      </c>
      <c r="L82" s="9">
        <f>SUM(L80:L81)</f>
        <v>88</v>
      </c>
      <c r="M82" s="6"/>
      <c r="N82" s="30"/>
      <c r="O82" s="31"/>
      <c r="P82" s="31"/>
    </row>
    <row r="83" spans="1:16" x14ac:dyDescent="0.3">
      <c r="A83" s="4" t="s">
        <v>98</v>
      </c>
      <c r="B83" s="4" t="s">
        <v>99</v>
      </c>
      <c r="C83" s="4"/>
      <c r="D83" s="10"/>
      <c r="E83" s="10"/>
      <c r="F83" s="10"/>
      <c r="G83" s="15"/>
      <c r="H83" s="15"/>
      <c r="I83" s="15"/>
      <c r="J83" s="10"/>
      <c r="K83" s="10"/>
      <c r="L83" s="10"/>
      <c r="M83" s="4"/>
      <c r="N83" s="53">
        <f>Target!C16</f>
        <v>1100</v>
      </c>
      <c r="O83" s="54">
        <f>F89</f>
        <v>1130</v>
      </c>
      <c r="P83" s="54">
        <f>IF(N83="","",O83-N83)</f>
        <v>30</v>
      </c>
    </row>
    <row r="84" spans="1:16" x14ac:dyDescent="0.3">
      <c r="A84">
        <v>32</v>
      </c>
      <c r="B84" t="s">
        <v>100</v>
      </c>
      <c r="D84" s="18">
        <v>1</v>
      </c>
      <c r="E84" s="18">
        <v>140</v>
      </c>
      <c r="F84" s="8">
        <f>IFERROR(D84*E84,0)</f>
        <v>140</v>
      </c>
      <c r="G84" s="19">
        <v>4.5</v>
      </c>
      <c r="H84" s="19">
        <v>0</v>
      </c>
      <c r="I84" s="19">
        <v>0.6</v>
      </c>
      <c r="J84" s="8">
        <f>IFERROR(F84*G84,0)</f>
        <v>630</v>
      </c>
      <c r="K84" s="8">
        <f>IFERROR(F84*H84,0)</f>
        <v>0</v>
      </c>
      <c r="L84" s="8">
        <f>IFERROR(F84*I84,0)</f>
        <v>84</v>
      </c>
      <c r="M84" t="s">
        <v>250</v>
      </c>
      <c r="N84" s="30"/>
      <c r="O84" s="31"/>
      <c r="P84" s="31"/>
    </row>
    <row r="85" spans="1:16" x14ac:dyDescent="0.3">
      <c r="A85">
        <v>32</v>
      </c>
      <c r="B85" t="s">
        <v>101</v>
      </c>
      <c r="D85" s="18">
        <v>1</v>
      </c>
      <c r="E85" s="18">
        <v>350</v>
      </c>
      <c r="F85" s="8">
        <f>IFERROR(D85*E85,0)</f>
        <v>350</v>
      </c>
      <c r="G85" s="19">
        <v>11.5</v>
      </c>
      <c r="H85" s="19">
        <v>-1.8</v>
      </c>
      <c r="I85" s="19">
        <v>0.8</v>
      </c>
      <c r="J85" s="8">
        <f>IFERROR(F85*G85,0)</f>
        <v>4025</v>
      </c>
      <c r="K85" s="8">
        <f>IFERROR(F85*H85,0)</f>
        <v>-630</v>
      </c>
      <c r="L85" s="8">
        <f>IFERROR(F85*I85,0)</f>
        <v>280</v>
      </c>
      <c r="N85" s="30"/>
      <c r="O85" s="31"/>
      <c r="P85" s="31"/>
    </row>
    <row r="86" spans="1:16" x14ac:dyDescent="0.3">
      <c r="A86">
        <v>32</v>
      </c>
      <c r="B86" t="s">
        <v>102</v>
      </c>
      <c r="D86" s="18">
        <v>1</v>
      </c>
      <c r="E86" s="18">
        <v>350</v>
      </c>
      <c r="F86" s="8">
        <f>IFERROR(D86*E86,0)</f>
        <v>350</v>
      </c>
      <c r="G86" s="19">
        <v>11.5</v>
      </c>
      <c r="H86" s="19">
        <v>1.8</v>
      </c>
      <c r="I86" s="19">
        <v>0.8</v>
      </c>
      <c r="J86" s="8">
        <f>IFERROR(F86*G86,0)</f>
        <v>4025</v>
      </c>
      <c r="K86" s="8">
        <f>IFERROR(F86*H86,0)</f>
        <v>630</v>
      </c>
      <c r="L86" s="8">
        <f>IFERROR(F86*I86,0)</f>
        <v>280</v>
      </c>
      <c r="N86" s="30"/>
      <c r="O86" s="31"/>
      <c r="P86" s="31"/>
    </row>
    <row r="87" spans="1:16" x14ac:dyDescent="0.3">
      <c r="A87">
        <v>32</v>
      </c>
      <c r="B87" t="s">
        <v>103</v>
      </c>
      <c r="D87" s="18">
        <v>4</v>
      </c>
      <c r="E87" s="18">
        <v>35</v>
      </c>
      <c r="F87" s="8">
        <f>IFERROR(D87*E87,0)</f>
        <v>140</v>
      </c>
      <c r="G87" s="19">
        <v>11.5</v>
      </c>
      <c r="H87" s="19">
        <v>0</v>
      </c>
      <c r="I87" s="19">
        <v>0.6</v>
      </c>
      <c r="J87" s="8">
        <f>IFERROR(F87*G87,0)</f>
        <v>1610</v>
      </c>
      <c r="K87" s="8">
        <f>IFERROR(F87*H87,0)</f>
        <v>0</v>
      </c>
      <c r="L87" s="8">
        <f>IFERROR(F87*I87,0)</f>
        <v>84</v>
      </c>
      <c r="M87" t="s">
        <v>251</v>
      </c>
      <c r="N87" s="30"/>
      <c r="O87" s="31"/>
      <c r="P87" s="31"/>
    </row>
    <row r="88" spans="1:16" x14ac:dyDescent="0.3">
      <c r="A88">
        <v>32</v>
      </c>
      <c r="B88" t="s">
        <v>104</v>
      </c>
      <c r="D88" s="18">
        <v>6</v>
      </c>
      <c r="E88" s="18">
        <v>25</v>
      </c>
      <c r="F88" s="8">
        <f>IFERROR(D88*E88,0)</f>
        <v>150</v>
      </c>
      <c r="G88" s="19">
        <v>10.5</v>
      </c>
      <c r="H88" s="19">
        <v>0</v>
      </c>
      <c r="I88" s="19">
        <v>0.6</v>
      </c>
      <c r="J88" s="8">
        <f>IFERROR(F88*G88,0)</f>
        <v>1575</v>
      </c>
      <c r="K88" s="8">
        <f>IFERROR(F88*H88,0)</f>
        <v>0</v>
      </c>
      <c r="L88" s="8">
        <f>IFERROR(F88*I88,0)</f>
        <v>90</v>
      </c>
      <c r="M88" t="s">
        <v>252</v>
      </c>
      <c r="N88" s="30"/>
      <c r="O88" s="31"/>
      <c r="P88" s="31"/>
    </row>
    <row r="89" spans="1:16" x14ac:dyDescent="0.3">
      <c r="A89" s="6"/>
      <c r="B89" s="6" t="s">
        <v>105</v>
      </c>
      <c r="C89" s="6"/>
      <c r="D89" s="9"/>
      <c r="E89" s="9"/>
      <c r="F89" s="9">
        <f>SUM(F84:F88)</f>
        <v>1130</v>
      </c>
      <c r="G89" s="14">
        <f>IFERROR(SUM(J84:J88)/F89,0)</f>
        <v>10.5</v>
      </c>
      <c r="H89" s="14">
        <f>IFERROR(SUM(K84:K88)/F89,0)</f>
        <v>0</v>
      </c>
      <c r="I89" s="14">
        <f>IFERROR(SUM(L84:L88)/F89,0)</f>
        <v>0.72389380530973446</v>
      </c>
      <c r="J89" s="9">
        <f>SUM(J84:J88)</f>
        <v>11865</v>
      </c>
      <c r="K89" s="9">
        <f>SUM(K84:K88)</f>
        <v>0</v>
      </c>
      <c r="L89" s="9">
        <f>SUM(L84:L88)</f>
        <v>818</v>
      </c>
      <c r="M89" s="6"/>
      <c r="N89" s="30"/>
      <c r="O89" s="31"/>
      <c r="P89" s="31"/>
    </row>
    <row r="90" spans="1:16" x14ac:dyDescent="0.3">
      <c r="A90" s="4" t="s">
        <v>106</v>
      </c>
      <c r="B90" s="4" t="s">
        <v>107</v>
      </c>
      <c r="C90" s="4"/>
      <c r="D90" s="10"/>
      <c r="E90" s="10"/>
      <c r="F90" s="10"/>
      <c r="G90" s="15"/>
      <c r="H90" s="15"/>
      <c r="I90" s="15"/>
      <c r="J90" s="10"/>
      <c r="K90" s="10"/>
      <c r="L90" s="10"/>
      <c r="M90" s="4"/>
      <c r="N90" s="53">
        <f>Target!C17</f>
        <v>34</v>
      </c>
      <c r="O90" s="54">
        <f>F94</f>
        <v>35</v>
      </c>
      <c r="P90" s="54">
        <f>IF(N90="","",O90-N90)</f>
        <v>1</v>
      </c>
    </row>
    <row r="91" spans="1:16" x14ac:dyDescent="0.3">
      <c r="A91">
        <v>33</v>
      </c>
      <c r="B91" t="s">
        <v>108</v>
      </c>
      <c r="D91" s="18">
        <v>4</v>
      </c>
      <c r="E91" s="18">
        <v>3</v>
      </c>
      <c r="F91" s="8">
        <f>IFERROR(D91*E91,0)</f>
        <v>12</v>
      </c>
      <c r="G91" s="19">
        <v>10.5</v>
      </c>
      <c r="H91" s="19">
        <v>0</v>
      </c>
      <c r="I91" s="19">
        <v>1</v>
      </c>
      <c r="J91" s="8">
        <f>IFERROR(F91*G91,0)</f>
        <v>126</v>
      </c>
      <c r="K91" s="8">
        <f>IFERROR(F91*H91,0)</f>
        <v>0</v>
      </c>
      <c r="L91" s="8">
        <f>IFERROR(F91*I91,0)</f>
        <v>12</v>
      </c>
      <c r="M91" t="s">
        <v>253</v>
      </c>
      <c r="N91" s="30"/>
      <c r="O91" s="31"/>
      <c r="P91" s="31"/>
    </row>
    <row r="92" spans="1:16" x14ac:dyDescent="0.3">
      <c r="A92">
        <v>33</v>
      </c>
      <c r="B92" t="s">
        <v>109</v>
      </c>
      <c r="D92" s="18">
        <v>3</v>
      </c>
      <c r="E92" s="18">
        <v>1</v>
      </c>
      <c r="F92" s="8">
        <f>IFERROR(D92*E92,0)</f>
        <v>3</v>
      </c>
      <c r="G92" s="19">
        <v>12</v>
      </c>
      <c r="H92" s="19">
        <v>0</v>
      </c>
      <c r="I92" s="19">
        <v>2.5</v>
      </c>
      <c r="J92" s="8">
        <f>IFERROR(F92*G92,0)</f>
        <v>36</v>
      </c>
      <c r="K92" s="8">
        <f>IFERROR(F92*H92,0)</f>
        <v>0</v>
      </c>
      <c r="L92" s="8">
        <f>IFERROR(F92*I92,0)</f>
        <v>7.5</v>
      </c>
      <c r="M92" t="s">
        <v>254</v>
      </c>
      <c r="N92" s="30"/>
      <c r="O92" s="31"/>
      <c r="P92" s="31"/>
    </row>
    <row r="93" spans="1:16" x14ac:dyDescent="0.3">
      <c r="A93">
        <v>33</v>
      </c>
      <c r="B93" t="s">
        <v>110</v>
      </c>
      <c r="D93" s="18">
        <v>1</v>
      </c>
      <c r="E93" s="18">
        <v>20</v>
      </c>
      <c r="F93" s="8">
        <f>IFERROR(D93*E93,0)</f>
        <v>20</v>
      </c>
      <c r="G93" s="19">
        <v>8.5</v>
      </c>
      <c r="H93" s="19">
        <v>0</v>
      </c>
      <c r="I93" s="19">
        <v>2.2999999999999998</v>
      </c>
      <c r="J93" s="8">
        <f>IFERROR(F93*G93,0)</f>
        <v>170</v>
      </c>
      <c r="K93" s="8">
        <f>IFERROR(F93*H93,0)</f>
        <v>0</v>
      </c>
      <c r="L93" s="8">
        <f>IFERROR(F93*I93,0)</f>
        <v>46</v>
      </c>
      <c r="M93" t="s">
        <v>242</v>
      </c>
      <c r="N93" s="30"/>
      <c r="O93" s="31"/>
      <c r="P93" s="31"/>
    </row>
    <row r="94" spans="1:16" x14ac:dyDescent="0.3">
      <c r="A94" s="6"/>
      <c r="B94" s="6" t="s">
        <v>111</v>
      </c>
      <c r="C94" s="6"/>
      <c r="D94" s="9"/>
      <c r="E94" s="9"/>
      <c r="F94" s="9">
        <f>SUM(F91:F93)</f>
        <v>35</v>
      </c>
      <c r="G94" s="14">
        <f>IFERROR(SUM(J91:J93)/F94,0)</f>
        <v>9.4857142857142858</v>
      </c>
      <c r="H94" s="14">
        <f>IFERROR(SUM(K91:K93)/F94,0)</f>
        <v>0</v>
      </c>
      <c r="I94" s="14">
        <f>IFERROR(SUM(L91:L93)/F94,0)</f>
        <v>1.8714285714285714</v>
      </c>
      <c r="J94" s="9">
        <f>SUM(J91:J93)</f>
        <v>332</v>
      </c>
      <c r="K94" s="9">
        <f>SUM(K91:K93)</f>
        <v>0</v>
      </c>
      <c r="L94" s="9">
        <f>SUM(L91:L93)</f>
        <v>65.5</v>
      </c>
      <c r="M94" s="6"/>
      <c r="N94" s="30"/>
      <c r="O94" s="31"/>
      <c r="P94" s="31"/>
    </row>
    <row r="95" spans="1:16" x14ac:dyDescent="0.3">
      <c r="A95" s="4" t="s">
        <v>112</v>
      </c>
      <c r="B95" s="4" t="s">
        <v>113</v>
      </c>
      <c r="C95" s="4"/>
      <c r="D95" s="10"/>
      <c r="E95" s="10"/>
      <c r="F95" s="10"/>
      <c r="G95" s="15"/>
      <c r="H95" s="15"/>
      <c r="I95" s="15"/>
      <c r="J95" s="10"/>
      <c r="K95" s="10"/>
      <c r="L95" s="10"/>
      <c r="M95" s="4"/>
      <c r="N95" s="53">
        <f>Target!C18</f>
        <v>63</v>
      </c>
      <c r="O95" s="54">
        <f>F101</f>
        <v>65</v>
      </c>
      <c r="P95" s="54">
        <f>IF(N95="","",O95-N95)</f>
        <v>2</v>
      </c>
    </row>
    <row r="96" spans="1:16" x14ac:dyDescent="0.3">
      <c r="A96">
        <v>34</v>
      </c>
      <c r="B96" t="s">
        <v>114</v>
      </c>
      <c r="D96" s="18">
        <v>1</v>
      </c>
      <c r="E96" s="18">
        <v>18</v>
      </c>
      <c r="F96" s="8">
        <f>IFERROR(D96*E96,0)</f>
        <v>18</v>
      </c>
      <c r="G96" s="19">
        <v>3.5</v>
      </c>
      <c r="H96" s="19">
        <v>-0.3</v>
      </c>
      <c r="I96" s="19">
        <v>1.7</v>
      </c>
      <c r="J96" s="8">
        <f>IFERROR(F96*G96,0)</f>
        <v>63</v>
      </c>
      <c r="K96" s="8">
        <f>IFERROR(F96*H96,0)</f>
        <v>-5.3999999999999995</v>
      </c>
      <c r="L96" s="8">
        <f>IFERROR(F96*I96,0)</f>
        <v>30.599999999999998</v>
      </c>
      <c r="N96" s="30"/>
      <c r="O96" s="31"/>
      <c r="P96" s="31"/>
    </row>
    <row r="97" spans="1:16" x14ac:dyDescent="0.3">
      <c r="A97">
        <v>34</v>
      </c>
      <c r="B97" t="s">
        <v>115</v>
      </c>
      <c r="D97" s="18">
        <v>1</v>
      </c>
      <c r="E97" s="18">
        <v>18</v>
      </c>
      <c r="F97" s="8">
        <f>IFERROR(D97*E97,0)</f>
        <v>18</v>
      </c>
      <c r="G97" s="19">
        <v>3.5</v>
      </c>
      <c r="H97" s="19">
        <v>0.3</v>
      </c>
      <c r="I97" s="19">
        <v>1.7</v>
      </c>
      <c r="J97" s="8">
        <f>IFERROR(F97*G97,0)</f>
        <v>63</v>
      </c>
      <c r="K97" s="8">
        <f>IFERROR(F97*H97,0)</f>
        <v>5.3999999999999995</v>
      </c>
      <c r="L97" s="8">
        <f>IFERROR(F97*I97,0)</f>
        <v>30.599999999999998</v>
      </c>
      <c r="N97" s="30"/>
      <c r="O97" s="31"/>
      <c r="P97" s="31"/>
    </row>
    <row r="98" spans="1:16" x14ac:dyDescent="0.3">
      <c r="A98">
        <v>34</v>
      </c>
      <c r="B98" t="s">
        <v>116</v>
      </c>
      <c r="D98" s="18">
        <v>2</v>
      </c>
      <c r="E98" s="18">
        <v>3</v>
      </c>
      <c r="F98" s="8">
        <f>IFERROR(D98*E98,0)</f>
        <v>6</v>
      </c>
      <c r="G98" s="19">
        <v>3.5</v>
      </c>
      <c r="H98" s="19">
        <v>0</v>
      </c>
      <c r="I98" s="19">
        <v>2.5</v>
      </c>
      <c r="J98" s="8">
        <f>IFERROR(F98*G98,0)</f>
        <v>21</v>
      </c>
      <c r="K98" s="8">
        <f>IFERROR(F98*H98,0)</f>
        <v>0</v>
      </c>
      <c r="L98" s="8">
        <f>IFERROR(F98*I98,0)</f>
        <v>15</v>
      </c>
      <c r="M98" t="s">
        <v>255</v>
      </c>
      <c r="N98" s="30"/>
      <c r="O98" s="31"/>
      <c r="P98" s="31"/>
    </row>
    <row r="99" spans="1:16" x14ac:dyDescent="0.3">
      <c r="A99">
        <v>34</v>
      </c>
      <c r="B99" t="s">
        <v>117</v>
      </c>
      <c r="D99" s="18">
        <v>1</v>
      </c>
      <c r="E99" s="18">
        <v>15</v>
      </c>
      <c r="F99" s="8">
        <f>IFERROR(D99*E99,0)</f>
        <v>15</v>
      </c>
      <c r="G99" s="19">
        <v>1.5</v>
      </c>
      <c r="H99" s="19">
        <v>0</v>
      </c>
      <c r="I99" s="19">
        <v>1.5</v>
      </c>
      <c r="J99" s="8">
        <f>IFERROR(F99*G99,0)</f>
        <v>22.5</v>
      </c>
      <c r="K99" s="8">
        <f>IFERROR(F99*H99,0)</f>
        <v>0</v>
      </c>
      <c r="L99" s="8">
        <f>IFERROR(F99*I99,0)</f>
        <v>22.5</v>
      </c>
      <c r="M99" t="s">
        <v>256</v>
      </c>
      <c r="N99" s="30"/>
      <c r="O99" s="31"/>
      <c r="P99" s="31"/>
    </row>
    <row r="100" spans="1:16" x14ac:dyDescent="0.3">
      <c r="A100">
        <v>34</v>
      </c>
      <c r="B100" t="s">
        <v>118</v>
      </c>
      <c r="D100" s="18">
        <v>2</v>
      </c>
      <c r="E100" s="18">
        <v>4</v>
      </c>
      <c r="F100" s="8">
        <f>IFERROR(D100*E100,0)</f>
        <v>8</v>
      </c>
      <c r="G100" s="19">
        <v>11</v>
      </c>
      <c r="H100" s="19">
        <v>0</v>
      </c>
      <c r="I100" s="19">
        <v>0.7</v>
      </c>
      <c r="J100" s="8">
        <f>IFERROR(F100*G100,0)</f>
        <v>88</v>
      </c>
      <c r="K100" s="8">
        <f>IFERROR(F100*H100,0)</f>
        <v>0</v>
      </c>
      <c r="L100" s="8">
        <f>IFERROR(F100*I100,0)</f>
        <v>5.6</v>
      </c>
      <c r="N100" s="30"/>
      <c r="O100" s="31"/>
      <c r="P100" s="31"/>
    </row>
    <row r="101" spans="1:16" x14ac:dyDescent="0.3">
      <c r="A101" s="6"/>
      <c r="B101" s="6" t="s">
        <v>119</v>
      </c>
      <c r="C101" s="6"/>
      <c r="D101" s="9"/>
      <c r="E101" s="9"/>
      <c r="F101" s="9">
        <f>SUM(F96:F100)</f>
        <v>65</v>
      </c>
      <c r="G101" s="14">
        <f>IFERROR(SUM(J96:J100)/F101,0)</f>
        <v>3.9615384615384617</v>
      </c>
      <c r="H101" s="14">
        <f>IFERROR(SUM(K96:K100)/F101,0)</f>
        <v>0</v>
      </c>
      <c r="I101" s="14">
        <f>IFERROR(SUM(L96:L100)/F101,0)</f>
        <v>1.6046153846153843</v>
      </c>
      <c r="J101" s="9">
        <f>SUM(J96:J100)</f>
        <v>257.5</v>
      </c>
      <c r="K101" s="9">
        <f>SUM(K96:K100)</f>
        <v>0</v>
      </c>
      <c r="L101" s="9">
        <f>SUM(L96:L100)</f>
        <v>104.29999999999998</v>
      </c>
      <c r="M101" s="6"/>
      <c r="N101" s="30"/>
      <c r="O101" s="31"/>
      <c r="P101" s="31"/>
    </row>
    <row r="102" spans="1:16" x14ac:dyDescent="0.3">
      <c r="A102" s="4" t="s">
        <v>120</v>
      </c>
      <c r="B102" s="4" t="s">
        <v>121</v>
      </c>
      <c r="C102" s="4"/>
      <c r="D102" s="10"/>
      <c r="E102" s="10"/>
      <c r="F102" s="10"/>
      <c r="G102" s="15"/>
      <c r="H102" s="15"/>
      <c r="I102" s="15"/>
      <c r="J102" s="10"/>
      <c r="K102" s="10"/>
      <c r="L102" s="10"/>
      <c r="M102" s="4"/>
      <c r="N102" s="53">
        <f>Target!C19</f>
        <v>60</v>
      </c>
      <c r="O102" s="54">
        <f>F105</f>
        <v>63</v>
      </c>
      <c r="P102" s="54">
        <f>IF(N102="","",O102-N102)</f>
        <v>3</v>
      </c>
    </row>
    <row r="103" spans="1:16" x14ac:dyDescent="0.3">
      <c r="A103">
        <v>35</v>
      </c>
      <c r="B103" t="s">
        <v>122</v>
      </c>
      <c r="D103" s="18">
        <v>1</v>
      </c>
      <c r="E103" s="18">
        <v>18</v>
      </c>
      <c r="F103" s="8">
        <f>IFERROR(D103*E103,0)</f>
        <v>18</v>
      </c>
      <c r="G103" s="19">
        <v>3.5</v>
      </c>
      <c r="H103" s="19">
        <v>0.4</v>
      </c>
      <c r="I103" s="19">
        <v>0.9</v>
      </c>
      <c r="J103" s="8">
        <f>IFERROR(F103*G103,0)</f>
        <v>63</v>
      </c>
      <c r="K103" s="8">
        <f>IFERROR(F103*H103,0)</f>
        <v>7.2</v>
      </c>
      <c r="L103" s="8">
        <f>IFERROR(F103*I103,0)</f>
        <v>16.2</v>
      </c>
      <c r="M103" t="s">
        <v>257</v>
      </c>
      <c r="N103" s="30"/>
      <c r="O103" s="31"/>
      <c r="P103" s="31"/>
    </row>
    <row r="104" spans="1:16" x14ac:dyDescent="0.3">
      <c r="A104">
        <v>35</v>
      </c>
      <c r="B104" t="s">
        <v>123</v>
      </c>
      <c r="D104" s="18">
        <v>1</v>
      </c>
      <c r="E104" s="18">
        <v>45</v>
      </c>
      <c r="F104" s="8">
        <f>IFERROR(D104*E104,0)</f>
        <v>45</v>
      </c>
      <c r="G104" s="19">
        <v>8.5</v>
      </c>
      <c r="H104" s="19">
        <v>0</v>
      </c>
      <c r="I104" s="19">
        <v>2.4</v>
      </c>
      <c r="J104" s="8">
        <f>IFERROR(F104*G104,0)</f>
        <v>382.5</v>
      </c>
      <c r="K104" s="8">
        <f>IFERROR(F104*H104,0)</f>
        <v>0</v>
      </c>
      <c r="L104" s="8">
        <f>IFERROR(F104*I104,0)</f>
        <v>108</v>
      </c>
      <c r="M104" t="s">
        <v>258</v>
      </c>
      <c r="N104" s="30"/>
      <c r="O104" s="31"/>
      <c r="P104" s="31"/>
    </row>
    <row r="105" spans="1:16" x14ac:dyDescent="0.3">
      <c r="A105" s="6"/>
      <c r="B105" s="6" t="s">
        <v>124</v>
      </c>
      <c r="C105" s="6"/>
      <c r="D105" s="9"/>
      <c r="E105" s="9"/>
      <c r="F105" s="9">
        <f>SUM(F103:F104)</f>
        <v>63</v>
      </c>
      <c r="G105" s="14">
        <f>IFERROR(SUM(J103:J104)/F105,0)</f>
        <v>7.0714285714285712</v>
      </c>
      <c r="H105" s="14">
        <f>IFERROR(SUM(K103:K104)/F105,0)</f>
        <v>0.11428571428571428</v>
      </c>
      <c r="I105" s="14">
        <f>IFERROR(SUM(L103:L104)/F105,0)</f>
        <v>1.9714285714285715</v>
      </c>
      <c r="J105" s="9">
        <f>SUM(J103:J104)</f>
        <v>445.5</v>
      </c>
      <c r="K105" s="9">
        <f>SUM(K103:K104)</f>
        <v>7.2</v>
      </c>
      <c r="L105" s="9">
        <f>SUM(L103:L104)</f>
        <v>124.2</v>
      </c>
      <c r="M105" s="6"/>
      <c r="N105" s="30"/>
      <c r="O105" s="31"/>
      <c r="P105" s="31"/>
    </row>
    <row r="106" spans="1:16" x14ac:dyDescent="0.3">
      <c r="A106" s="4" t="s">
        <v>125</v>
      </c>
      <c r="B106" s="4" t="s">
        <v>126</v>
      </c>
      <c r="C106" s="4"/>
      <c r="D106" s="10"/>
      <c r="E106" s="10"/>
      <c r="F106" s="10"/>
      <c r="G106" s="15"/>
      <c r="H106" s="15"/>
      <c r="I106" s="15"/>
      <c r="J106" s="10"/>
      <c r="K106" s="10"/>
      <c r="L106" s="10"/>
      <c r="M106" s="4"/>
      <c r="N106" s="53">
        <f>Target!C20</f>
        <v>95</v>
      </c>
      <c r="O106" s="54">
        <f>F109</f>
        <v>100</v>
      </c>
      <c r="P106" s="54">
        <f>IF(N106="","",O106-N106)</f>
        <v>5</v>
      </c>
    </row>
    <row r="107" spans="1:16" x14ac:dyDescent="0.3">
      <c r="A107">
        <v>36</v>
      </c>
      <c r="B107" t="s">
        <v>127</v>
      </c>
      <c r="D107" s="18">
        <v>1</v>
      </c>
      <c r="E107" s="18">
        <v>60</v>
      </c>
      <c r="F107" s="8">
        <f>IFERROR(D107*E107,0)</f>
        <v>60</v>
      </c>
      <c r="G107" s="19">
        <v>11.5</v>
      </c>
      <c r="H107" s="19">
        <v>0</v>
      </c>
      <c r="I107" s="19">
        <v>1.9</v>
      </c>
      <c r="J107" s="8">
        <f>IFERROR(F107*G107,0)</f>
        <v>690</v>
      </c>
      <c r="K107" s="8">
        <f>IFERROR(F107*H107,0)</f>
        <v>0</v>
      </c>
      <c r="L107" s="8">
        <f>IFERROR(F107*I107,0)</f>
        <v>114</v>
      </c>
      <c r="M107" t="s">
        <v>259</v>
      </c>
      <c r="N107" s="30"/>
      <c r="O107" s="31"/>
      <c r="P107" s="31"/>
    </row>
    <row r="108" spans="1:16" x14ac:dyDescent="0.3">
      <c r="A108">
        <v>36</v>
      </c>
      <c r="B108" t="s">
        <v>128</v>
      </c>
      <c r="D108" s="18">
        <v>2</v>
      </c>
      <c r="E108" s="18">
        <v>20</v>
      </c>
      <c r="F108" s="8">
        <f>IFERROR(D108*E108,0)</f>
        <v>40</v>
      </c>
      <c r="G108" s="19">
        <v>12</v>
      </c>
      <c r="H108" s="19">
        <v>0</v>
      </c>
      <c r="I108" s="19">
        <v>2</v>
      </c>
      <c r="J108" s="8">
        <f>IFERROR(F108*G108,0)</f>
        <v>480</v>
      </c>
      <c r="K108" s="8">
        <f>IFERROR(F108*H108,0)</f>
        <v>0</v>
      </c>
      <c r="L108" s="8">
        <f>IFERROR(F108*I108,0)</f>
        <v>80</v>
      </c>
      <c r="N108" s="30"/>
      <c r="O108" s="31"/>
      <c r="P108" s="31"/>
    </row>
    <row r="109" spans="1:16" x14ac:dyDescent="0.3">
      <c r="A109" s="6"/>
      <c r="B109" s="6" t="s">
        <v>129</v>
      </c>
      <c r="C109" s="6"/>
      <c r="D109" s="9"/>
      <c r="E109" s="9"/>
      <c r="F109" s="9">
        <f>SUM(F107:F108)</f>
        <v>100</v>
      </c>
      <c r="G109" s="14">
        <f>IFERROR(SUM(J107:J108)/F109,0)</f>
        <v>11.7</v>
      </c>
      <c r="H109" s="14">
        <f>IFERROR(SUM(K107:K108)/F109,0)</f>
        <v>0</v>
      </c>
      <c r="I109" s="14">
        <f>IFERROR(SUM(L107:L108)/F109,0)</f>
        <v>1.94</v>
      </c>
      <c r="J109" s="9">
        <f>SUM(J107:J108)</f>
        <v>1170</v>
      </c>
      <c r="K109" s="9">
        <f>SUM(K107:K108)</f>
        <v>0</v>
      </c>
      <c r="L109" s="9">
        <f>SUM(L107:L108)</f>
        <v>194</v>
      </c>
      <c r="M109" s="6"/>
      <c r="N109" s="30"/>
      <c r="O109" s="31"/>
      <c r="P109" s="31"/>
    </row>
    <row r="110" spans="1:16" x14ac:dyDescent="0.3">
      <c r="A110" s="4" t="s">
        <v>130</v>
      </c>
      <c r="B110" s="4" t="s">
        <v>131</v>
      </c>
      <c r="C110" s="4"/>
      <c r="D110" s="10"/>
      <c r="E110" s="10"/>
      <c r="F110" s="10"/>
      <c r="G110" s="15"/>
      <c r="H110" s="15"/>
      <c r="I110" s="15"/>
      <c r="J110" s="10"/>
      <c r="K110" s="10"/>
      <c r="L110" s="10"/>
      <c r="M110" s="4"/>
      <c r="N110" s="53">
        <f>Target!C21</f>
        <v>140</v>
      </c>
      <c r="O110" s="54">
        <f>F113</f>
        <v>145</v>
      </c>
      <c r="P110" s="54">
        <f>IF(N110="","",O110-N110)</f>
        <v>5</v>
      </c>
    </row>
    <row r="111" spans="1:16" x14ac:dyDescent="0.3">
      <c r="A111">
        <v>38</v>
      </c>
      <c r="B111" t="s">
        <v>132</v>
      </c>
      <c r="D111" s="18">
        <v>1</v>
      </c>
      <c r="E111" s="18">
        <v>65</v>
      </c>
      <c r="F111" s="8">
        <f>IFERROR(D111*E111,0)</f>
        <v>65</v>
      </c>
      <c r="G111" s="19">
        <v>5</v>
      </c>
      <c r="H111" s="19">
        <v>0</v>
      </c>
      <c r="I111" s="19">
        <v>1</v>
      </c>
      <c r="J111" s="8">
        <f>IFERROR(F111*G111,0)</f>
        <v>325</v>
      </c>
      <c r="K111" s="8">
        <f>IFERROR(F111*H111,0)</f>
        <v>0</v>
      </c>
      <c r="L111" s="8">
        <f>IFERROR(F111*I111,0)</f>
        <v>65</v>
      </c>
      <c r="M111" t="s">
        <v>260</v>
      </c>
      <c r="N111" s="30"/>
      <c r="O111" s="31"/>
      <c r="P111" s="31"/>
    </row>
    <row r="112" spans="1:16" x14ac:dyDescent="0.3">
      <c r="A112">
        <v>38</v>
      </c>
      <c r="B112" t="s">
        <v>133</v>
      </c>
      <c r="D112" s="18">
        <v>1</v>
      </c>
      <c r="E112" s="18">
        <v>80</v>
      </c>
      <c r="F112" s="8">
        <f>IFERROR(D112*E112,0)</f>
        <v>80</v>
      </c>
      <c r="G112" s="19">
        <v>15.5</v>
      </c>
      <c r="H112" s="19">
        <v>0</v>
      </c>
      <c r="I112" s="19">
        <v>1</v>
      </c>
      <c r="J112" s="8">
        <f>IFERROR(F112*G112,0)</f>
        <v>1240</v>
      </c>
      <c r="K112" s="8">
        <f>IFERROR(F112*H112,0)</f>
        <v>0</v>
      </c>
      <c r="L112" s="8">
        <f>IFERROR(F112*I112,0)</f>
        <v>80</v>
      </c>
      <c r="M112" t="s">
        <v>261</v>
      </c>
      <c r="N112" s="30"/>
      <c r="O112" s="31"/>
      <c r="P112" s="31"/>
    </row>
    <row r="113" spans="1:16" x14ac:dyDescent="0.3">
      <c r="A113" s="6"/>
      <c r="B113" s="6" t="s">
        <v>134</v>
      </c>
      <c r="C113" s="6"/>
      <c r="D113" s="9"/>
      <c r="E113" s="9"/>
      <c r="F113" s="9">
        <f>SUM(F111:F112)</f>
        <v>145</v>
      </c>
      <c r="G113" s="14">
        <f>IFERROR(SUM(J111:J112)/F113,0)</f>
        <v>10.793103448275861</v>
      </c>
      <c r="H113" s="14">
        <f>IFERROR(SUM(K111:K112)/F113,0)</f>
        <v>0</v>
      </c>
      <c r="I113" s="14">
        <f>IFERROR(SUM(L111:L112)/F113,0)</f>
        <v>1</v>
      </c>
      <c r="J113" s="9">
        <f>SUM(J111:J112)</f>
        <v>1565</v>
      </c>
      <c r="K113" s="9">
        <f>SUM(K111:K112)</f>
        <v>0</v>
      </c>
      <c r="L113" s="9">
        <f>SUM(L111:L112)</f>
        <v>145</v>
      </c>
      <c r="M113" s="6"/>
      <c r="N113" s="30"/>
      <c r="O113" s="31"/>
      <c r="P113" s="31"/>
    </row>
    <row r="114" spans="1:16" x14ac:dyDescent="0.3">
      <c r="A114" s="4" t="s">
        <v>135</v>
      </c>
      <c r="B114" s="4" t="s">
        <v>136</v>
      </c>
      <c r="C114" s="4"/>
      <c r="D114" s="10"/>
      <c r="E114" s="10"/>
      <c r="F114" s="10"/>
      <c r="G114" s="15"/>
      <c r="H114" s="15"/>
      <c r="I114" s="15"/>
      <c r="J114" s="10"/>
      <c r="K114" s="10"/>
      <c r="L114" s="10"/>
      <c r="M114" s="4"/>
      <c r="N114" s="53">
        <f>Target!C22</f>
        <v>180</v>
      </c>
      <c r="O114" s="54">
        <f>F118</f>
        <v>185</v>
      </c>
      <c r="P114" s="54">
        <f>IF(N114="","",O114-N114)</f>
        <v>5</v>
      </c>
    </row>
    <row r="115" spans="1:16" x14ac:dyDescent="0.3">
      <c r="A115">
        <v>49</v>
      </c>
      <c r="B115" t="s">
        <v>137</v>
      </c>
      <c r="D115" s="18">
        <v>1</v>
      </c>
      <c r="E115" s="18">
        <v>145</v>
      </c>
      <c r="F115" s="8">
        <f>IFERROR(D115*E115,0)</f>
        <v>145</v>
      </c>
      <c r="G115" s="19">
        <v>19.5</v>
      </c>
      <c r="H115" s="19">
        <v>0</v>
      </c>
      <c r="I115" s="19">
        <v>2.2999999999999998</v>
      </c>
      <c r="J115" s="8">
        <f>IFERROR(F115*G115,0)</f>
        <v>2827.5</v>
      </c>
      <c r="K115" s="8">
        <f>IFERROR(F115*H115,0)</f>
        <v>0</v>
      </c>
      <c r="L115" s="8">
        <f>IFERROR(F115*I115,0)</f>
        <v>333.5</v>
      </c>
      <c r="M115" t="s">
        <v>262</v>
      </c>
      <c r="N115" s="30"/>
      <c r="O115" s="31"/>
      <c r="P115" s="31"/>
    </row>
    <row r="116" spans="1:16" x14ac:dyDescent="0.3">
      <c r="A116">
        <v>49</v>
      </c>
      <c r="B116" t="s">
        <v>138</v>
      </c>
      <c r="D116" s="18">
        <v>1</v>
      </c>
      <c r="E116" s="18">
        <v>18</v>
      </c>
      <c r="F116" s="8">
        <f>IFERROR(D116*E116,0)</f>
        <v>18</v>
      </c>
      <c r="G116" s="19">
        <v>19.5</v>
      </c>
      <c r="H116" s="19">
        <v>0</v>
      </c>
      <c r="I116" s="19">
        <v>2.2999999999999998</v>
      </c>
      <c r="J116" s="8">
        <f>IFERROR(F116*G116,0)</f>
        <v>351</v>
      </c>
      <c r="K116" s="8">
        <f>IFERROR(F116*H116,0)</f>
        <v>0</v>
      </c>
      <c r="L116" s="8">
        <f>IFERROR(F116*I116,0)</f>
        <v>41.4</v>
      </c>
      <c r="N116" s="30"/>
      <c r="O116" s="31"/>
      <c r="P116" s="31"/>
    </row>
    <row r="117" spans="1:16" x14ac:dyDescent="0.3">
      <c r="A117">
        <v>49</v>
      </c>
      <c r="B117" t="s">
        <v>139</v>
      </c>
      <c r="D117" s="18">
        <v>1</v>
      </c>
      <c r="E117" s="18">
        <v>22</v>
      </c>
      <c r="F117" s="8">
        <f>IFERROR(D117*E117,0)</f>
        <v>22</v>
      </c>
      <c r="G117" s="19">
        <v>19.5</v>
      </c>
      <c r="H117" s="19">
        <v>0</v>
      </c>
      <c r="I117" s="19">
        <v>2.6</v>
      </c>
      <c r="J117" s="8">
        <f>IFERROR(F117*G117,0)</f>
        <v>429</v>
      </c>
      <c r="K117" s="8">
        <f>IFERROR(F117*H117,0)</f>
        <v>0</v>
      </c>
      <c r="L117" s="8">
        <f>IFERROR(F117*I117,0)</f>
        <v>57.2</v>
      </c>
      <c r="N117" s="30"/>
      <c r="O117" s="31"/>
      <c r="P117" s="31"/>
    </row>
    <row r="118" spans="1:16" x14ac:dyDescent="0.3">
      <c r="A118" s="6"/>
      <c r="B118" s="6" t="s">
        <v>140</v>
      </c>
      <c r="C118" s="6"/>
      <c r="D118" s="9"/>
      <c r="E118" s="9"/>
      <c r="F118" s="9">
        <f>SUM(F115:F117)</f>
        <v>185</v>
      </c>
      <c r="G118" s="14">
        <f>IFERROR(SUM(J115:J117)/F118,0)</f>
        <v>19.5</v>
      </c>
      <c r="H118" s="14">
        <f>IFERROR(SUM(K115:K117)/F118,0)</f>
        <v>0</v>
      </c>
      <c r="I118" s="14">
        <f>IFERROR(SUM(L115:L117)/F118,0)</f>
        <v>2.3356756756756756</v>
      </c>
      <c r="J118" s="9">
        <f>SUM(J115:J117)</f>
        <v>3607.5</v>
      </c>
      <c r="K118" s="9">
        <f>SUM(K115:K117)</f>
        <v>0</v>
      </c>
      <c r="L118" s="9">
        <f>SUM(L115:L117)</f>
        <v>432.09999999999997</v>
      </c>
      <c r="M118" s="6"/>
      <c r="N118" s="30"/>
      <c r="O118" s="31"/>
      <c r="P118" s="31"/>
    </row>
    <row r="119" spans="1:16" x14ac:dyDescent="0.3">
      <c r="A119" s="4" t="s">
        <v>141</v>
      </c>
      <c r="B119" s="4" t="s">
        <v>142</v>
      </c>
      <c r="C119" s="4"/>
      <c r="D119" s="10"/>
      <c r="E119" s="10"/>
      <c r="F119" s="10"/>
      <c r="G119" s="15"/>
      <c r="H119" s="15"/>
      <c r="I119" s="15"/>
      <c r="J119" s="10"/>
      <c r="K119" s="10"/>
      <c r="L119" s="10"/>
      <c r="M119" s="4"/>
      <c r="N119" s="53">
        <f>Target!C23</f>
        <v>270</v>
      </c>
      <c r="O119" s="54">
        <f>F126</f>
        <v>280</v>
      </c>
      <c r="P119" s="54">
        <f>IF(N119="","",O119-N119)</f>
        <v>10</v>
      </c>
    </row>
    <row r="120" spans="1:16" x14ac:dyDescent="0.3">
      <c r="A120">
        <v>52</v>
      </c>
      <c r="B120" t="s">
        <v>143</v>
      </c>
      <c r="D120" s="18">
        <v>1</v>
      </c>
      <c r="E120" s="18">
        <v>85</v>
      </c>
      <c r="F120" s="8">
        <f t="shared" ref="F120:F125" si="12">IFERROR(D120*E120,0)</f>
        <v>85</v>
      </c>
      <c r="G120" s="19">
        <v>4</v>
      </c>
      <c r="H120" s="19">
        <v>-0.9</v>
      </c>
      <c r="I120" s="19">
        <v>1.4</v>
      </c>
      <c r="J120" s="8">
        <f t="shared" ref="J120:J125" si="13">IFERROR(F120*G120,0)</f>
        <v>340</v>
      </c>
      <c r="K120" s="8">
        <f t="shared" ref="K120:K125" si="14">IFERROR(F120*H120,0)</f>
        <v>-76.5</v>
      </c>
      <c r="L120" s="8">
        <f t="shared" ref="L120:L125" si="15">IFERROR(F120*I120,0)</f>
        <v>118.99999999999999</v>
      </c>
      <c r="M120" t="s">
        <v>263</v>
      </c>
      <c r="N120" s="30"/>
      <c r="O120" s="31"/>
      <c r="P120" s="31"/>
    </row>
    <row r="121" spans="1:16" x14ac:dyDescent="0.3">
      <c r="A121">
        <v>52</v>
      </c>
      <c r="B121" t="s">
        <v>144</v>
      </c>
      <c r="D121" s="18">
        <v>1</v>
      </c>
      <c r="E121" s="18">
        <v>35</v>
      </c>
      <c r="F121" s="8">
        <f t="shared" si="12"/>
        <v>35</v>
      </c>
      <c r="G121" s="19">
        <v>4</v>
      </c>
      <c r="H121" s="19">
        <v>0.9</v>
      </c>
      <c r="I121" s="19">
        <v>1.4</v>
      </c>
      <c r="J121" s="8">
        <f t="shared" si="13"/>
        <v>140</v>
      </c>
      <c r="K121" s="8">
        <f t="shared" si="14"/>
        <v>31.5</v>
      </c>
      <c r="L121" s="8">
        <f t="shared" si="15"/>
        <v>49</v>
      </c>
      <c r="M121" t="s">
        <v>264</v>
      </c>
      <c r="N121" s="30"/>
      <c r="O121" s="31"/>
      <c r="P121" s="31"/>
    </row>
    <row r="122" spans="1:16" x14ac:dyDescent="0.3">
      <c r="A122">
        <v>52</v>
      </c>
      <c r="B122" t="s">
        <v>145</v>
      </c>
      <c r="D122" s="18">
        <v>1</v>
      </c>
      <c r="E122" s="18">
        <v>30</v>
      </c>
      <c r="F122" s="8">
        <f t="shared" si="12"/>
        <v>30</v>
      </c>
      <c r="G122" s="19">
        <v>15.5</v>
      </c>
      <c r="H122" s="19">
        <v>-0.9</v>
      </c>
      <c r="I122" s="19">
        <v>1.4</v>
      </c>
      <c r="J122" s="8">
        <f t="shared" si="13"/>
        <v>465</v>
      </c>
      <c r="K122" s="8">
        <f t="shared" si="14"/>
        <v>-27</v>
      </c>
      <c r="L122" s="8">
        <f t="shared" si="15"/>
        <v>42</v>
      </c>
      <c r="M122" t="s">
        <v>265</v>
      </c>
      <c r="N122" s="30"/>
      <c r="O122" s="31"/>
      <c r="P122" s="31"/>
    </row>
    <row r="123" spans="1:16" x14ac:dyDescent="0.3">
      <c r="A123">
        <v>52</v>
      </c>
      <c r="B123" t="s">
        <v>146</v>
      </c>
      <c r="D123" s="18">
        <v>1</v>
      </c>
      <c r="E123" s="18">
        <v>30</v>
      </c>
      <c r="F123" s="8">
        <f t="shared" si="12"/>
        <v>30</v>
      </c>
      <c r="G123" s="19">
        <v>15.5</v>
      </c>
      <c r="H123" s="19">
        <v>0.9</v>
      </c>
      <c r="I123" s="19">
        <v>1.4</v>
      </c>
      <c r="J123" s="8">
        <f t="shared" si="13"/>
        <v>465</v>
      </c>
      <c r="K123" s="8">
        <f t="shared" si="14"/>
        <v>27</v>
      </c>
      <c r="L123" s="8">
        <f t="shared" si="15"/>
        <v>42</v>
      </c>
      <c r="M123" t="s">
        <v>265</v>
      </c>
      <c r="N123" s="30"/>
      <c r="O123" s="31"/>
      <c r="P123" s="31"/>
    </row>
    <row r="124" spans="1:16" x14ac:dyDescent="0.3">
      <c r="A124">
        <v>52</v>
      </c>
      <c r="B124" t="s">
        <v>147</v>
      </c>
      <c r="D124" s="18">
        <v>1</v>
      </c>
      <c r="E124" s="18">
        <v>45</v>
      </c>
      <c r="F124" s="8">
        <f t="shared" si="12"/>
        <v>45</v>
      </c>
      <c r="G124" s="19">
        <v>4.5</v>
      </c>
      <c r="H124" s="19">
        <v>0</v>
      </c>
      <c r="I124" s="19">
        <v>0.5</v>
      </c>
      <c r="J124" s="8">
        <f t="shared" si="13"/>
        <v>202.5</v>
      </c>
      <c r="K124" s="8">
        <f t="shared" si="14"/>
        <v>0</v>
      </c>
      <c r="L124" s="8">
        <f t="shared" si="15"/>
        <v>22.5</v>
      </c>
      <c r="M124" t="s">
        <v>266</v>
      </c>
      <c r="N124" s="30"/>
      <c r="O124" s="31"/>
      <c r="P124" s="31"/>
    </row>
    <row r="125" spans="1:16" x14ac:dyDescent="0.3">
      <c r="A125">
        <v>52</v>
      </c>
      <c r="B125" t="s">
        <v>148</v>
      </c>
      <c r="D125" s="18">
        <v>1</v>
      </c>
      <c r="E125" s="18">
        <v>55</v>
      </c>
      <c r="F125" s="8">
        <f t="shared" si="12"/>
        <v>55</v>
      </c>
      <c r="G125" s="19">
        <v>16.5</v>
      </c>
      <c r="H125" s="19">
        <v>-0.9</v>
      </c>
      <c r="I125" s="19">
        <v>1.2</v>
      </c>
      <c r="J125" s="8">
        <f t="shared" si="13"/>
        <v>907.5</v>
      </c>
      <c r="K125" s="8">
        <f t="shared" si="14"/>
        <v>-49.5</v>
      </c>
      <c r="L125" s="8">
        <f t="shared" si="15"/>
        <v>66</v>
      </c>
      <c r="M125" t="s">
        <v>267</v>
      </c>
      <c r="N125" s="30"/>
      <c r="O125" s="31"/>
      <c r="P125" s="31"/>
    </row>
    <row r="126" spans="1:16" x14ac:dyDescent="0.3">
      <c r="A126" s="6"/>
      <c r="B126" s="6" t="s">
        <v>149</v>
      </c>
      <c r="C126" s="6"/>
      <c r="D126" s="9"/>
      <c r="E126" s="9"/>
      <c r="F126" s="9">
        <f>SUM(F120:F125)</f>
        <v>280</v>
      </c>
      <c r="G126" s="14">
        <f>IFERROR(SUM(J120:J125)/F126,0)</f>
        <v>9</v>
      </c>
      <c r="H126" s="14">
        <f>IFERROR(SUM(K120:K125)/F126,0)</f>
        <v>-0.33750000000000002</v>
      </c>
      <c r="I126" s="14">
        <f>IFERROR(SUM(L120:L125)/F126,0)</f>
        <v>1.2160714285714285</v>
      </c>
      <c r="J126" s="9">
        <f>SUM(J120:J125)</f>
        <v>2520</v>
      </c>
      <c r="K126" s="9">
        <f>SUM(K120:K125)</f>
        <v>-94.5</v>
      </c>
      <c r="L126" s="9">
        <f>SUM(L120:L125)</f>
        <v>340.5</v>
      </c>
      <c r="M126" s="6"/>
      <c r="N126" s="30"/>
      <c r="O126" s="31"/>
      <c r="P126" s="31"/>
    </row>
    <row r="127" spans="1:16" x14ac:dyDescent="0.3">
      <c r="A127" s="4" t="s">
        <v>150</v>
      </c>
      <c r="B127" s="4" t="s">
        <v>151</v>
      </c>
      <c r="C127" s="4"/>
      <c r="D127" s="10"/>
      <c r="E127" s="10"/>
      <c r="F127" s="10"/>
      <c r="G127" s="15"/>
      <c r="H127" s="15"/>
      <c r="I127" s="15"/>
      <c r="J127" s="10"/>
      <c r="K127" s="10"/>
      <c r="L127" s="10"/>
      <c r="M127" s="4"/>
      <c r="N127" s="53">
        <f>Target!C24</f>
        <v>2240</v>
      </c>
      <c r="O127" s="54">
        <f>F132</f>
        <v>2240</v>
      </c>
      <c r="P127" s="54">
        <f>IF(N127="","",O127-N127)</f>
        <v>0</v>
      </c>
    </row>
    <row r="128" spans="1:16" x14ac:dyDescent="0.3">
      <c r="A128">
        <v>53</v>
      </c>
      <c r="B128" t="s">
        <v>152</v>
      </c>
      <c r="D128" s="18">
        <v>1</v>
      </c>
      <c r="E128" s="18">
        <v>550</v>
      </c>
      <c r="F128" s="8">
        <f>IFERROR(D128*E128,0)</f>
        <v>550</v>
      </c>
      <c r="G128" s="19">
        <v>3.5</v>
      </c>
      <c r="H128" s="19">
        <v>0</v>
      </c>
      <c r="I128" s="19">
        <v>1.5</v>
      </c>
      <c r="J128" s="8">
        <f>IFERROR(F128*G128,0)</f>
        <v>1925</v>
      </c>
      <c r="K128" s="8">
        <f>IFERROR(F128*H128,0)</f>
        <v>0</v>
      </c>
      <c r="L128" s="8">
        <f>IFERROR(F128*I128,0)</f>
        <v>825</v>
      </c>
      <c r="M128" t="s">
        <v>268</v>
      </c>
      <c r="N128" s="30"/>
      <c r="O128" s="31"/>
      <c r="P128" s="31"/>
    </row>
    <row r="129" spans="1:16" x14ac:dyDescent="0.3">
      <c r="A129">
        <v>53</v>
      </c>
      <c r="B129" t="s">
        <v>153</v>
      </c>
      <c r="D129" s="18">
        <v>1</v>
      </c>
      <c r="E129" s="18">
        <v>950</v>
      </c>
      <c r="F129" s="8">
        <f>IFERROR(D129*E129,0)</f>
        <v>950</v>
      </c>
      <c r="G129" s="19">
        <v>10.5</v>
      </c>
      <c r="H129" s="19">
        <v>0</v>
      </c>
      <c r="I129" s="19">
        <v>1.7</v>
      </c>
      <c r="J129" s="8">
        <f>IFERROR(F129*G129,0)</f>
        <v>9975</v>
      </c>
      <c r="K129" s="8">
        <f>IFERROR(F129*H129,0)</f>
        <v>0</v>
      </c>
      <c r="L129" s="8">
        <f>IFERROR(F129*I129,0)</f>
        <v>1615</v>
      </c>
      <c r="M129" t="s">
        <v>269</v>
      </c>
      <c r="N129" s="30"/>
      <c r="O129" s="31"/>
      <c r="P129" s="31"/>
    </row>
    <row r="130" spans="1:16" x14ac:dyDescent="0.3">
      <c r="A130">
        <v>53</v>
      </c>
      <c r="B130" t="s">
        <v>154</v>
      </c>
      <c r="D130" s="18">
        <v>1</v>
      </c>
      <c r="E130" s="18">
        <v>650</v>
      </c>
      <c r="F130" s="8">
        <f>IFERROR(D130*E130,0)</f>
        <v>650</v>
      </c>
      <c r="G130" s="19">
        <v>16.5</v>
      </c>
      <c r="H130" s="19">
        <v>0</v>
      </c>
      <c r="I130" s="19">
        <v>1.8</v>
      </c>
      <c r="J130" s="8">
        <f>IFERROR(F130*G130,0)</f>
        <v>10725</v>
      </c>
      <c r="K130" s="8">
        <f>IFERROR(F130*H130,0)</f>
        <v>0</v>
      </c>
      <c r="L130" s="8">
        <f>IFERROR(F130*I130,0)</f>
        <v>1170</v>
      </c>
      <c r="M130" t="s">
        <v>270</v>
      </c>
      <c r="N130" s="30"/>
      <c r="O130" s="31"/>
      <c r="P130" s="31"/>
    </row>
    <row r="131" spans="1:16" x14ac:dyDescent="0.3">
      <c r="A131">
        <v>53</v>
      </c>
      <c r="B131" t="s">
        <v>155</v>
      </c>
      <c r="D131" s="18">
        <v>1</v>
      </c>
      <c r="E131" s="18">
        <v>90</v>
      </c>
      <c r="F131" s="8">
        <f>IFERROR(D131*E131,0)</f>
        <v>90</v>
      </c>
      <c r="G131" s="19">
        <v>17.5</v>
      </c>
      <c r="H131" s="19">
        <v>0</v>
      </c>
      <c r="I131" s="19">
        <v>1.8</v>
      </c>
      <c r="J131" s="8">
        <f>IFERROR(F131*G131,0)</f>
        <v>1575</v>
      </c>
      <c r="K131" s="8">
        <f>IFERROR(F131*H131,0)</f>
        <v>0</v>
      </c>
      <c r="L131" s="8">
        <f>IFERROR(F131*I131,0)</f>
        <v>162</v>
      </c>
      <c r="M131" t="s">
        <v>271</v>
      </c>
      <c r="N131" s="30"/>
      <c r="O131" s="31"/>
      <c r="P131" s="31"/>
    </row>
    <row r="132" spans="1:16" x14ac:dyDescent="0.3">
      <c r="A132" s="6"/>
      <c r="B132" s="6" t="s">
        <v>156</v>
      </c>
      <c r="C132" s="6"/>
      <c r="D132" s="9"/>
      <c r="E132" s="9"/>
      <c r="F132" s="9">
        <f>SUM(F128:F131)</f>
        <v>2240</v>
      </c>
      <c r="G132" s="14">
        <f>IFERROR(SUM(J128:J131)/F132,0)</f>
        <v>10.803571428571429</v>
      </c>
      <c r="H132" s="14">
        <f>IFERROR(SUM(K128:K131)/F132,0)</f>
        <v>0</v>
      </c>
      <c r="I132" s="14">
        <f>IFERROR(SUM(L128:L131)/F132,0)</f>
        <v>1.6839285714285714</v>
      </c>
      <c r="J132" s="9">
        <f>SUM(J128:J131)</f>
        <v>24200</v>
      </c>
      <c r="K132" s="9">
        <f>SUM(K128:K131)</f>
        <v>0</v>
      </c>
      <c r="L132" s="9">
        <f>SUM(L128:L131)</f>
        <v>3772</v>
      </c>
      <c r="M132" s="6"/>
      <c r="N132" s="30"/>
      <c r="O132" s="31"/>
      <c r="P132" s="31"/>
    </row>
    <row r="133" spans="1:16" x14ac:dyDescent="0.3">
      <c r="A133" s="4" t="s">
        <v>157</v>
      </c>
      <c r="B133" s="4" t="s">
        <v>158</v>
      </c>
      <c r="C133" s="4"/>
      <c r="D133" s="10"/>
      <c r="E133" s="10"/>
      <c r="F133" s="10"/>
      <c r="G133" s="15"/>
      <c r="H133" s="15"/>
      <c r="I133" s="15"/>
      <c r="J133" s="10"/>
      <c r="K133" s="10"/>
      <c r="L133" s="10"/>
      <c r="M133" s="4"/>
      <c r="N133" s="53">
        <f>Target!C25</f>
        <v>565</v>
      </c>
      <c r="O133" s="54">
        <f>F138</f>
        <v>580</v>
      </c>
      <c r="P133" s="54">
        <f>IF(N133="","",O133-N133)</f>
        <v>15</v>
      </c>
    </row>
    <row r="134" spans="1:16" x14ac:dyDescent="0.3">
      <c r="A134">
        <v>54</v>
      </c>
      <c r="B134" t="s">
        <v>159</v>
      </c>
      <c r="D134" s="18">
        <v>1</v>
      </c>
      <c r="E134" s="18">
        <v>110</v>
      </c>
      <c r="F134" s="8">
        <f>IFERROR(D134*E134,0)</f>
        <v>110</v>
      </c>
      <c r="G134" s="19">
        <v>13</v>
      </c>
      <c r="H134" s="19">
        <v>-1.2</v>
      </c>
      <c r="I134" s="19">
        <v>2.2000000000000002</v>
      </c>
      <c r="J134" s="8">
        <f>IFERROR(F134*G134,0)</f>
        <v>1430</v>
      </c>
      <c r="K134" s="8">
        <f>IFERROR(F134*H134,0)</f>
        <v>-132</v>
      </c>
      <c r="L134" s="8">
        <f>IFERROR(F134*I134,0)</f>
        <v>242.00000000000003</v>
      </c>
      <c r="N134" s="30"/>
      <c r="O134" s="31"/>
      <c r="P134" s="31"/>
    </row>
    <row r="135" spans="1:16" x14ac:dyDescent="0.3">
      <c r="A135">
        <v>54</v>
      </c>
      <c r="B135" t="s">
        <v>160</v>
      </c>
      <c r="D135" s="18">
        <v>1</v>
      </c>
      <c r="E135" s="18">
        <v>110</v>
      </c>
      <c r="F135" s="8">
        <f>IFERROR(D135*E135,0)</f>
        <v>110</v>
      </c>
      <c r="G135" s="19">
        <v>13</v>
      </c>
      <c r="H135" s="19">
        <v>1.2</v>
      </c>
      <c r="I135" s="19">
        <v>2.2000000000000002</v>
      </c>
      <c r="J135" s="8">
        <f>IFERROR(F135*G135,0)</f>
        <v>1430</v>
      </c>
      <c r="K135" s="8">
        <f>IFERROR(F135*H135,0)</f>
        <v>132</v>
      </c>
      <c r="L135" s="8">
        <f>IFERROR(F135*I135,0)</f>
        <v>242.00000000000003</v>
      </c>
      <c r="N135" s="30"/>
      <c r="O135" s="31"/>
      <c r="P135" s="31"/>
    </row>
    <row r="136" spans="1:16" x14ac:dyDescent="0.3">
      <c r="A136">
        <v>54</v>
      </c>
      <c r="B136" t="s">
        <v>161</v>
      </c>
      <c r="D136" s="18">
        <v>1</v>
      </c>
      <c r="E136" s="18">
        <v>180</v>
      </c>
      <c r="F136" s="8">
        <f>IFERROR(D136*E136,0)</f>
        <v>180</v>
      </c>
      <c r="G136" s="19">
        <v>13.2</v>
      </c>
      <c r="H136" s="19">
        <v>-1.5</v>
      </c>
      <c r="I136" s="19">
        <v>2.2999999999999998</v>
      </c>
      <c r="J136" s="8">
        <f>IFERROR(F136*G136,0)</f>
        <v>2376</v>
      </c>
      <c r="K136" s="8">
        <f>IFERROR(F136*H136,0)</f>
        <v>-270</v>
      </c>
      <c r="L136" s="8">
        <f>IFERROR(F136*I136,0)</f>
        <v>413.99999999999994</v>
      </c>
      <c r="N136" s="30"/>
      <c r="O136" s="31"/>
      <c r="P136" s="31"/>
    </row>
    <row r="137" spans="1:16" x14ac:dyDescent="0.3">
      <c r="A137">
        <v>54</v>
      </c>
      <c r="B137" t="s">
        <v>162</v>
      </c>
      <c r="D137" s="18">
        <v>1</v>
      </c>
      <c r="E137" s="18">
        <v>180</v>
      </c>
      <c r="F137" s="8">
        <f>IFERROR(D137*E137,0)</f>
        <v>180</v>
      </c>
      <c r="G137" s="19">
        <v>13.2</v>
      </c>
      <c r="H137" s="19">
        <v>1.5</v>
      </c>
      <c r="I137" s="19">
        <v>2.2999999999999998</v>
      </c>
      <c r="J137" s="8">
        <f>IFERROR(F137*G137,0)</f>
        <v>2376</v>
      </c>
      <c r="K137" s="8">
        <f>IFERROR(F137*H137,0)</f>
        <v>270</v>
      </c>
      <c r="L137" s="8">
        <f>IFERROR(F137*I137,0)</f>
        <v>413.99999999999994</v>
      </c>
      <c r="N137" s="30"/>
      <c r="O137" s="31"/>
      <c r="P137" s="31"/>
    </row>
    <row r="138" spans="1:16" x14ac:dyDescent="0.3">
      <c r="A138" s="6"/>
      <c r="B138" s="6" t="s">
        <v>163</v>
      </c>
      <c r="C138" s="6"/>
      <c r="D138" s="9"/>
      <c r="E138" s="9"/>
      <c r="F138" s="9">
        <f>SUM(F134:F137)</f>
        <v>580</v>
      </c>
      <c r="G138" s="14">
        <f>IFERROR(SUM(J134:J137)/F138,0)</f>
        <v>13.124137931034483</v>
      </c>
      <c r="H138" s="14">
        <f>IFERROR(SUM(K134:K137)/F138,0)</f>
        <v>0</v>
      </c>
      <c r="I138" s="14">
        <f>IFERROR(SUM(L134:L137)/F138,0)</f>
        <v>2.2620689655172415</v>
      </c>
      <c r="J138" s="9">
        <f>SUM(J134:J137)</f>
        <v>7612</v>
      </c>
      <c r="K138" s="9">
        <f>SUM(K134:K137)</f>
        <v>0</v>
      </c>
      <c r="L138" s="9">
        <f>SUM(L134:L137)</f>
        <v>1312</v>
      </c>
      <c r="M138" s="6"/>
      <c r="N138" s="30"/>
      <c r="O138" s="31"/>
      <c r="P138" s="31"/>
    </row>
    <row r="139" spans="1:16" x14ac:dyDescent="0.3">
      <c r="A139" s="4" t="s">
        <v>164</v>
      </c>
      <c r="B139" s="4" t="s">
        <v>165</v>
      </c>
      <c r="C139" s="4"/>
      <c r="D139" s="10"/>
      <c r="E139" s="10"/>
      <c r="F139" s="10"/>
      <c r="G139" s="15"/>
      <c r="H139" s="15"/>
      <c r="I139" s="15"/>
      <c r="J139" s="10"/>
      <c r="K139" s="10"/>
      <c r="L139" s="10"/>
      <c r="M139" s="4"/>
      <c r="N139" s="53">
        <f>Target!C26</f>
        <v>590</v>
      </c>
      <c r="O139" s="54">
        <f>F142</f>
        <v>600</v>
      </c>
      <c r="P139" s="54">
        <f>IF(N139="","",O139-N139)</f>
        <v>10</v>
      </c>
    </row>
    <row r="140" spans="1:16" x14ac:dyDescent="0.3">
      <c r="A140">
        <v>55</v>
      </c>
      <c r="B140" t="s">
        <v>166</v>
      </c>
      <c r="D140" s="18">
        <v>1</v>
      </c>
      <c r="E140" s="18">
        <v>280</v>
      </c>
      <c r="F140" s="8">
        <f>IFERROR(D140*E140,0)</f>
        <v>280</v>
      </c>
      <c r="G140" s="19">
        <v>19</v>
      </c>
      <c r="H140" s="19">
        <v>0</v>
      </c>
      <c r="I140" s="19">
        <v>5</v>
      </c>
      <c r="J140" s="8">
        <f>IFERROR(F140*G140,0)</f>
        <v>5320</v>
      </c>
      <c r="K140" s="8">
        <f>IFERROR(F140*H140,0)</f>
        <v>0</v>
      </c>
      <c r="L140" s="8">
        <f>IFERROR(F140*I140,0)</f>
        <v>1400</v>
      </c>
      <c r="M140" t="s">
        <v>272</v>
      </c>
      <c r="N140" s="30"/>
      <c r="O140" s="31"/>
      <c r="P140" s="31"/>
    </row>
    <row r="141" spans="1:16" x14ac:dyDescent="0.3">
      <c r="A141">
        <v>55</v>
      </c>
      <c r="B141" t="s">
        <v>167</v>
      </c>
      <c r="D141" s="18">
        <v>1</v>
      </c>
      <c r="E141" s="18">
        <v>320</v>
      </c>
      <c r="F141" s="8">
        <f>IFERROR(D141*E141,0)</f>
        <v>320</v>
      </c>
      <c r="G141" s="19">
        <v>18.5</v>
      </c>
      <c r="H141" s="19">
        <v>0</v>
      </c>
      <c r="I141" s="19">
        <v>3.5</v>
      </c>
      <c r="J141" s="8">
        <f>IFERROR(F141*G141,0)</f>
        <v>5920</v>
      </c>
      <c r="K141" s="8">
        <f>IFERROR(F141*H141,0)</f>
        <v>0</v>
      </c>
      <c r="L141" s="8">
        <f>IFERROR(F141*I141,0)</f>
        <v>1120</v>
      </c>
      <c r="N141" s="30"/>
      <c r="O141" s="31"/>
      <c r="P141" s="31"/>
    </row>
    <row r="142" spans="1:16" x14ac:dyDescent="0.3">
      <c r="A142" s="6"/>
      <c r="B142" s="6" t="s">
        <v>168</v>
      </c>
      <c r="C142" s="6"/>
      <c r="D142" s="9"/>
      <c r="E142" s="9"/>
      <c r="F142" s="9">
        <f>SUM(F140:F141)</f>
        <v>600</v>
      </c>
      <c r="G142" s="14">
        <f>IFERROR(SUM(J140:J141)/F142,0)</f>
        <v>18.733333333333334</v>
      </c>
      <c r="H142" s="14">
        <f>IFERROR(SUM(K140:K141)/F142,0)</f>
        <v>0</v>
      </c>
      <c r="I142" s="14">
        <f>IFERROR(SUM(L140:L141)/F142,0)</f>
        <v>4.2</v>
      </c>
      <c r="J142" s="9">
        <f>SUM(J140:J141)</f>
        <v>11240</v>
      </c>
      <c r="K142" s="9">
        <f>SUM(K140:K141)</f>
        <v>0</v>
      </c>
      <c r="L142" s="9">
        <f>SUM(L140:L141)</f>
        <v>2520</v>
      </c>
      <c r="M142" s="6"/>
      <c r="N142" s="30"/>
      <c r="O142" s="31"/>
      <c r="P142" s="31"/>
    </row>
    <row r="143" spans="1:16" x14ac:dyDescent="0.3">
      <c r="A143" s="4" t="s">
        <v>169</v>
      </c>
      <c r="B143" s="4" t="s">
        <v>170</v>
      </c>
      <c r="C143" s="4"/>
      <c r="D143" s="10"/>
      <c r="E143" s="10"/>
      <c r="F143" s="10"/>
      <c r="G143" s="15"/>
      <c r="H143" s="15"/>
      <c r="I143" s="15"/>
      <c r="J143" s="10"/>
      <c r="K143" s="10"/>
      <c r="L143" s="10"/>
      <c r="M143" s="4"/>
      <c r="N143" s="53">
        <f>Target!C27</f>
        <v>220</v>
      </c>
      <c r="O143" s="54">
        <f>F146</f>
        <v>225</v>
      </c>
      <c r="P143" s="54">
        <f>IF(N143="","",O143-N143)</f>
        <v>5</v>
      </c>
    </row>
    <row r="144" spans="1:16" x14ac:dyDescent="0.3">
      <c r="A144">
        <v>56</v>
      </c>
      <c r="B144" t="s">
        <v>171</v>
      </c>
      <c r="D144" s="18">
        <v>1</v>
      </c>
      <c r="E144" s="18">
        <v>85</v>
      </c>
      <c r="F144" s="8">
        <f>IFERROR(D144*E144,0)</f>
        <v>85</v>
      </c>
      <c r="G144" s="19">
        <v>3.2</v>
      </c>
      <c r="H144" s="19">
        <v>0</v>
      </c>
      <c r="I144" s="19">
        <v>2</v>
      </c>
      <c r="J144" s="8">
        <f>IFERROR(F144*G144,0)</f>
        <v>272</v>
      </c>
      <c r="K144" s="8">
        <f>IFERROR(F144*H144,0)</f>
        <v>0</v>
      </c>
      <c r="L144" s="8">
        <f>IFERROR(F144*I144,0)</f>
        <v>170</v>
      </c>
      <c r="M144" t="s">
        <v>273</v>
      </c>
      <c r="N144" s="30"/>
      <c r="O144" s="31"/>
      <c r="P144" s="31"/>
    </row>
    <row r="145" spans="1:16" x14ac:dyDescent="0.3">
      <c r="A145">
        <v>56</v>
      </c>
      <c r="B145" t="s">
        <v>172</v>
      </c>
      <c r="D145" s="18">
        <v>14</v>
      </c>
      <c r="E145" s="18">
        <v>10</v>
      </c>
      <c r="F145" s="8">
        <f>IFERROR(D145*E145,0)</f>
        <v>140</v>
      </c>
      <c r="G145" s="19">
        <v>8.5</v>
      </c>
      <c r="H145" s="19">
        <v>0</v>
      </c>
      <c r="I145" s="19">
        <v>2</v>
      </c>
      <c r="J145" s="8">
        <f>IFERROR(F145*G145,0)</f>
        <v>1190</v>
      </c>
      <c r="K145" s="8">
        <f>IFERROR(F145*H145,0)</f>
        <v>0</v>
      </c>
      <c r="L145" s="8">
        <f>IFERROR(F145*I145,0)</f>
        <v>280</v>
      </c>
      <c r="M145" t="s">
        <v>274</v>
      </c>
      <c r="N145" s="30"/>
      <c r="O145" s="31"/>
      <c r="P145" s="31"/>
    </row>
    <row r="146" spans="1:16" x14ac:dyDescent="0.3">
      <c r="A146" s="6"/>
      <c r="B146" s="6" t="s">
        <v>173</v>
      </c>
      <c r="C146" s="6"/>
      <c r="D146" s="9"/>
      <c r="E146" s="9"/>
      <c r="F146" s="9">
        <f>SUM(F144:F145)</f>
        <v>225</v>
      </c>
      <c r="G146" s="14">
        <f>IFERROR(SUM(J144:J145)/F146,0)</f>
        <v>6.4977777777777774</v>
      </c>
      <c r="H146" s="14">
        <f>IFERROR(SUM(K144:K145)/F146,0)</f>
        <v>0</v>
      </c>
      <c r="I146" s="14">
        <f>IFERROR(SUM(L144:L145)/F146,0)</f>
        <v>2</v>
      </c>
      <c r="J146" s="9">
        <f>SUM(J144:J145)</f>
        <v>1462</v>
      </c>
      <c r="K146" s="9">
        <f>SUM(K144:K145)</f>
        <v>0</v>
      </c>
      <c r="L146" s="9">
        <f>SUM(L144:L145)</f>
        <v>450</v>
      </c>
      <c r="M146" s="6"/>
      <c r="N146" s="30"/>
      <c r="O146" s="31"/>
      <c r="P146" s="31"/>
    </row>
    <row r="147" spans="1:16" x14ac:dyDescent="0.3">
      <c r="A147" s="4" t="s">
        <v>174</v>
      </c>
      <c r="B147" s="4" t="s">
        <v>175</v>
      </c>
      <c r="C147" s="4"/>
      <c r="D147" s="10"/>
      <c r="E147" s="10"/>
      <c r="F147" s="10"/>
      <c r="G147" s="15"/>
      <c r="H147" s="15"/>
      <c r="I147" s="15"/>
      <c r="J147" s="10"/>
      <c r="K147" s="10"/>
      <c r="L147" s="10"/>
      <c r="M147" s="4"/>
      <c r="N147" s="53">
        <f>Target!C28</f>
        <v>1640</v>
      </c>
      <c r="O147" s="54">
        <f>F154</f>
        <v>1640</v>
      </c>
      <c r="P147" s="54">
        <f>IF(N147="","",O147-N147)</f>
        <v>0</v>
      </c>
    </row>
    <row r="148" spans="1:16" x14ac:dyDescent="0.3">
      <c r="A148">
        <v>57</v>
      </c>
      <c r="B148" t="s">
        <v>176</v>
      </c>
      <c r="D148" s="18">
        <v>1</v>
      </c>
      <c r="E148" s="18">
        <v>480</v>
      </c>
      <c r="F148" s="8">
        <f t="shared" ref="F148:F153" si="16">IFERROR(D148*E148,0)</f>
        <v>480</v>
      </c>
      <c r="G148" s="19">
        <v>10.5</v>
      </c>
      <c r="H148" s="19">
        <v>-3</v>
      </c>
      <c r="I148" s="19">
        <v>1.9</v>
      </c>
      <c r="J148" s="8">
        <f t="shared" ref="J148:J153" si="17">IFERROR(F148*G148,0)</f>
        <v>5040</v>
      </c>
      <c r="K148" s="8">
        <f t="shared" ref="K148:K153" si="18">IFERROR(F148*H148,0)</f>
        <v>-1440</v>
      </c>
      <c r="L148" s="8">
        <f t="shared" ref="L148:L153" si="19">IFERROR(F148*I148,0)</f>
        <v>912</v>
      </c>
      <c r="N148" s="30"/>
      <c r="O148" s="31"/>
      <c r="P148" s="31"/>
    </row>
    <row r="149" spans="1:16" x14ac:dyDescent="0.3">
      <c r="A149">
        <v>57</v>
      </c>
      <c r="B149" t="s">
        <v>177</v>
      </c>
      <c r="D149" s="18">
        <v>1</v>
      </c>
      <c r="E149" s="18">
        <v>480</v>
      </c>
      <c r="F149" s="8">
        <f t="shared" si="16"/>
        <v>480</v>
      </c>
      <c r="G149" s="19">
        <v>10.5</v>
      </c>
      <c r="H149" s="19">
        <v>3</v>
      </c>
      <c r="I149" s="19">
        <v>1.9</v>
      </c>
      <c r="J149" s="8">
        <f t="shared" si="17"/>
        <v>5040</v>
      </c>
      <c r="K149" s="8">
        <f t="shared" si="18"/>
        <v>1440</v>
      </c>
      <c r="L149" s="8">
        <f t="shared" si="19"/>
        <v>912</v>
      </c>
      <c r="N149" s="30"/>
      <c r="O149" s="31"/>
      <c r="P149" s="31"/>
    </row>
    <row r="150" spans="1:16" x14ac:dyDescent="0.3">
      <c r="A150">
        <v>57</v>
      </c>
      <c r="B150" t="s">
        <v>178</v>
      </c>
      <c r="D150" s="18">
        <v>1</v>
      </c>
      <c r="E150" s="18">
        <v>220</v>
      </c>
      <c r="F150" s="8">
        <f t="shared" si="16"/>
        <v>220</v>
      </c>
      <c r="G150" s="19">
        <v>10.5</v>
      </c>
      <c r="H150" s="19">
        <v>-5</v>
      </c>
      <c r="I150" s="19">
        <v>2</v>
      </c>
      <c r="J150" s="8">
        <f t="shared" si="17"/>
        <v>2310</v>
      </c>
      <c r="K150" s="8">
        <f t="shared" si="18"/>
        <v>-1100</v>
      </c>
      <c r="L150" s="8">
        <f t="shared" si="19"/>
        <v>440</v>
      </c>
      <c r="N150" s="30"/>
      <c r="O150" s="31"/>
      <c r="P150" s="31"/>
    </row>
    <row r="151" spans="1:16" x14ac:dyDescent="0.3">
      <c r="A151">
        <v>57</v>
      </c>
      <c r="B151" t="s">
        <v>179</v>
      </c>
      <c r="D151" s="18">
        <v>1</v>
      </c>
      <c r="E151" s="18">
        <v>220</v>
      </c>
      <c r="F151" s="8">
        <f t="shared" si="16"/>
        <v>220</v>
      </c>
      <c r="G151" s="19">
        <v>10.5</v>
      </c>
      <c r="H151" s="19">
        <v>5</v>
      </c>
      <c r="I151" s="19">
        <v>2</v>
      </c>
      <c r="J151" s="8">
        <f t="shared" si="17"/>
        <v>2310</v>
      </c>
      <c r="K151" s="8">
        <f t="shared" si="18"/>
        <v>1100</v>
      </c>
      <c r="L151" s="8">
        <f t="shared" si="19"/>
        <v>440</v>
      </c>
      <c r="N151" s="30"/>
      <c r="O151" s="31"/>
      <c r="P151" s="31"/>
    </row>
    <row r="152" spans="1:16" x14ac:dyDescent="0.3">
      <c r="A152">
        <v>57</v>
      </c>
      <c r="B152" t="s">
        <v>180</v>
      </c>
      <c r="D152" s="18">
        <v>1</v>
      </c>
      <c r="E152" s="18">
        <v>110</v>
      </c>
      <c r="F152" s="8">
        <f t="shared" si="16"/>
        <v>110</v>
      </c>
      <c r="G152" s="19">
        <v>10</v>
      </c>
      <c r="H152" s="19">
        <v>0</v>
      </c>
      <c r="I152" s="19">
        <v>2</v>
      </c>
      <c r="J152" s="8">
        <f t="shared" si="17"/>
        <v>1100</v>
      </c>
      <c r="K152" s="8">
        <f t="shared" si="18"/>
        <v>0</v>
      </c>
      <c r="L152" s="8">
        <f t="shared" si="19"/>
        <v>220</v>
      </c>
      <c r="M152" t="s">
        <v>275</v>
      </c>
      <c r="N152" s="30"/>
      <c r="O152" s="31"/>
      <c r="P152" s="31"/>
    </row>
    <row r="153" spans="1:16" x14ac:dyDescent="0.3">
      <c r="A153">
        <v>57</v>
      </c>
      <c r="B153" t="s">
        <v>181</v>
      </c>
      <c r="D153" s="18">
        <v>1</v>
      </c>
      <c r="E153" s="18">
        <v>130</v>
      </c>
      <c r="F153" s="8">
        <f t="shared" si="16"/>
        <v>130</v>
      </c>
      <c r="G153" s="19">
        <v>11.5</v>
      </c>
      <c r="H153" s="19">
        <v>0</v>
      </c>
      <c r="I153" s="19">
        <v>2</v>
      </c>
      <c r="J153" s="8">
        <f t="shared" si="17"/>
        <v>1495</v>
      </c>
      <c r="K153" s="8">
        <f t="shared" si="18"/>
        <v>0</v>
      </c>
      <c r="L153" s="8">
        <f t="shared" si="19"/>
        <v>260</v>
      </c>
      <c r="M153" t="s">
        <v>275</v>
      </c>
      <c r="N153" s="30"/>
      <c r="O153" s="31"/>
      <c r="P153" s="31"/>
    </row>
    <row r="154" spans="1:16" x14ac:dyDescent="0.3">
      <c r="A154" s="6"/>
      <c r="B154" s="6" t="s">
        <v>182</v>
      </c>
      <c r="C154" s="6"/>
      <c r="D154" s="9"/>
      <c r="E154" s="9"/>
      <c r="F154" s="9">
        <f>SUM(F148:F153)</f>
        <v>1640</v>
      </c>
      <c r="G154" s="14">
        <f>IFERROR(SUM(J148:J153)/F154,0)</f>
        <v>10.545731707317072</v>
      </c>
      <c r="H154" s="14">
        <f>IFERROR(SUM(K148:K153)/F154,0)</f>
        <v>0</v>
      </c>
      <c r="I154" s="14">
        <f>IFERROR(SUM(L148:L153)/F154,0)</f>
        <v>1.9414634146341463</v>
      </c>
      <c r="J154" s="9">
        <f>SUM(J148:J153)</f>
        <v>17295</v>
      </c>
      <c r="K154" s="9">
        <f>SUM(K148:K153)</f>
        <v>0</v>
      </c>
      <c r="L154" s="9">
        <f>SUM(L148:L153)</f>
        <v>3184</v>
      </c>
      <c r="M154" s="6"/>
      <c r="N154" s="30"/>
      <c r="O154" s="31"/>
      <c r="P154" s="31"/>
    </row>
    <row r="155" spans="1:16" x14ac:dyDescent="0.3">
      <c r="A155" s="4" t="s">
        <v>183</v>
      </c>
      <c r="B155" s="4" t="s">
        <v>184</v>
      </c>
      <c r="C155" s="4"/>
      <c r="D155" s="10"/>
      <c r="E155" s="10"/>
      <c r="F155" s="10"/>
      <c r="G155" s="15"/>
      <c r="H155" s="15"/>
      <c r="I155" s="15"/>
      <c r="J155" s="10"/>
      <c r="K155" s="10"/>
      <c r="L155" s="10"/>
      <c r="M155" s="4"/>
      <c r="N155" s="53">
        <f>Target!C29</f>
        <v>1580</v>
      </c>
      <c r="O155" s="54">
        <f>F160</f>
        <v>1580</v>
      </c>
      <c r="P155" s="54">
        <f>IF(N155="","",O155-N155)</f>
        <v>0</v>
      </c>
    </row>
    <row r="156" spans="1:16" x14ac:dyDescent="0.3">
      <c r="A156">
        <v>71</v>
      </c>
      <c r="B156" t="s">
        <v>185</v>
      </c>
      <c r="D156" s="18">
        <v>1</v>
      </c>
      <c r="E156" s="18">
        <v>750</v>
      </c>
      <c r="F156" s="8">
        <f>IFERROR(D156*E156,0)</f>
        <v>750</v>
      </c>
      <c r="G156" s="19">
        <v>13.2</v>
      </c>
      <c r="H156" s="19">
        <v>-1.2</v>
      </c>
      <c r="I156" s="19">
        <v>2.2999999999999998</v>
      </c>
      <c r="J156" s="8">
        <f>IFERROR(F156*G156,0)</f>
        <v>9900</v>
      </c>
      <c r="K156" s="8">
        <f>IFERROR(F156*H156,0)</f>
        <v>-900</v>
      </c>
      <c r="L156" s="8">
        <f>IFERROR(F156*I156,0)</f>
        <v>1724.9999999999998</v>
      </c>
      <c r="M156" t="s">
        <v>276</v>
      </c>
      <c r="N156" s="30"/>
      <c r="O156" s="31"/>
      <c r="P156" s="31"/>
    </row>
    <row r="157" spans="1:16" x14ac:dyDescent="0.3">
      <c r="A157">
        <v>71</v>
      </c>
      <c r="B157" t="s">
        <v>186</v>
      </c>
      <c r="D157" s="18">
        <v>1</v>
      </c>
      <c r="E157" s="18">
        <v>750</v>
      </c>
      <c r="F157" s="8">
        <f>IFERROR(D157*E157,0)</f>
        <v>750</v>
      </c>
      <c r="G157" s="19">
        <v>13.2</v>
      </c>
      <c r="H157" s="19">
        <v>1.2</v>
      </c>
      <c r="I157" s="19">
        <v>2.2999999999999998</v>
      </c>
      <c r="J157" s="8">
        <f>IFERROR(F157*G157,0)</f>
        <v>9900</v>
      </c>
      <c r="K157" s="8">
        <f>IFERROR(F157*H157,0)</f>
        <v>900</v>
      </c>
      <c r="L157" s="8">
        <f>IFERROR(F157*I157,0)</f>
        <v>1724.9999999999998</v>
      </c>
      <c r="M157" t="s">
        <v>276</v>
      </c>
      <c r="N157" s="30"/>
      <c r="O157" s="31"/>
      <c r="P157" s="31"/>
    </row>
    <row r="158" spans="1:16" x14ac:dyDescent="0.3">
      <c r="A158">
        <v>71</v>
      </c>
      <c r="B158" t="s">
        <v>187</v>
      </c>
      <c r="D158" s="18">
        <v>1</v>
      </c>
      <c r="E158" s="18">
        <v>40</v>
      </c>
      <c r="F158" s="8">
        <f>IFERROR(D158*E158,0)</f>
        <v>40</v>
      </c>
      <c r="G158" s="19">
        <v>13</v>
      </c>
      <c r="H158" s="19">
        <v>-1.2</v>
      </c>
      <c r="I158" s="19">
        <v>2.2999999999999998</v>
      </c>
      <c r="J158" s="8">
        <f>IFERROR(F158*G158,0)</f>
        <v>520</v>
      </c>
      <c r="K158" s="8">
        <f>IFERROR(F158*H158,0)</f>
        <v>-48</v>
      </c>
      <c r="L158" s="8">
        <f>IFERROR(F158*I158,0)</f>
        <v>92</v>
      </c>
      <c r="N158" s="30"/>
      <c r="O158" s="31"/>
      <c r="P158" s="31"/>
    </row>
    <row r="159" spans="1:16" x14ac:dyDescent="0.3">
      <c r="A159">
        <v>71</v>
      </c>
      <c r="B159" t="s">
        <v>188</v>
      </c>
      <c r="D159" s="18">
        <v>1</v>
      </c>
      <c r="E159" s="18">
        <v>40</v>
      </c>
      <c r="F159" s="8">
        <f>IFERROR(D159*E159,0)</f>
        <v>40</v>
      </c>
      <c r="G159" s="19">
        <v>13</v>
      </c>
      <c r="H159" s="19">
        <v>1.2</v>
      </c>
      <c r="I159" s="19">
        <v>2.2999999999999998</v>
      </c>
      <c r="J159" s="8">
        <f>IFERROR(F159*G159,0)</f>
        <v>520</v>
      </c>
      <c r="K159" s="8">
        <f>IFERROR(F159*H159,0)</f>
        <v>48</v>
      </c>
      <c r="L159" s="8">
        <f>IFERROR(F159*I159,0)</f>
        <v>92</v>
      </c>
      <c r="N159" s="30"/>
      <c r="O159" s="31"/>
      <c r="P159" s="31"/>
    </row>
    <row r="160" spans="1:16" x14ac:dyDescent="0.3">
      <c r="A160" s="6"/>
      <c r="B160" s="6" t="s">
        <v>189</v>
      </c>
      <c r="C160" s="6"/>
      <c r="D160" s="9"/>
      <c r="E160" s="9"/>
      <c r="F160" s="9">
        <f>SUM(F156:F159)</f>
        <v>1580</v>
      </c>
      <c r="G160" s="14">
        <f>IFERROR(SUM(J156:J159)/F160,0)</f>
        <v>13.189873417721518</v>
      </c>
      <c r="H160" s="14">
        <f>IFERROR(SUM(K156:K159)/F160,0)</f>
        <v>0</v>
      </c>
      <c r="I160" s="14">
        <f>IFERROR(SUM(L156:L159)/F160,0)</f>
        <v>2.2999999999999998</v>
      </c>
      <c r="J160" s="9">
        <f>SUM(J156:J159)</f>
        <v>20840</v>
      </c>
      <c r="K160" s="9">
        <f>SUM(K156:K159)</f>
        <v>0</v>
      </c>
      <c r="L160" s="9">
        <f>SUM(L156:L159)</f>
        <v>3633.9999999999995</v>
      </c>
      <c r="M160" s="6"/>
      <c r="N160" s="30"/>
      <c r="O160" s="31"/>
      <c r="P160" s="31"/>
    </row>
    <row r="161" spans="1:16" x14ac:dyDescent="0.3">
      <c r="A161" s="4" t="s">
        <v>190</v>
      </c>
      <c r="B161" s="4" t="s">
        <v>191</v>
      </c>
      <c r="C161" s="4"/>
      <c r="D161" s="10"/>
      <c r="E161" s="10"/>
      <c r="F161" s="10"/>
      <c r="G161" s="15"/>
      <c r="H161" s="15"/>
      <c r="I161" s="15"/>
      <c r="J161" s="10"/>
      <c r="K161" s="10"/>
      <c r="L161" s="10"/>
      <c r="M161" s="4"/>
      <c r="N161" s="53">
        <f>Target!C30</f>
        <v>39</v>
      </c>
      <c r="O161" s="54">
        <f>F166</f>
        <v>40</v>
      </c>
      <c r="P161" s="54">
        <f>IF(N161="","",O161-N161)</f>
        <v>1</v>
      </c>
    </row>
    <row r="162" spans="1:16" x14ac:dyDescent="0.3">
      <c r="A162">
        <v>73</v>
      </c>
      <c r="B162" t="s">
        <v>192</v>
      </c>
      <c r="D162" s="18">
        <v>1</v>
      </c>
      <c r="E162" s="18">
        <v>8</v>
      </c>
      <c r="F162" s="8">
        <f>IFERROR(D162*E162,0)</f>
        <v>8</v>
      </c>
      <c r="G162" s="19">
        <v>13</v>
      </c>
      <c r="H162" s="19">
        <v>-1.2</v>
      </c>
      <c r="I162" s="19">
        <v>2.2999999999999998</v>
      </c>
      <c r="J162" s="8">
        <f>IFERROR(F162*G162,0)</f>
        <v>104</v>
      </c>
      <c r="K162" s="8">
        <f>IFERROR(F162*H162,0)</f>
        <v>-9.6</v>
      </c>
      <c r="L162" s="8">
        <f>IFERROR(F162*I162,0)</f>
        <v>18.399999999999999</v>
      </c>
      <c r="N162" s="30"/>
      <c r="O162" s="31"/>
      <c r="P162" s="31"/>
    </row>
    <row r="163" spans="1:16" x14ac:dyDescent="0.3">
      <c r="A163">
        <v>73</v>
      </c>
      <c r="B163" t="s">
        <v>193</v>
      </c>
      <c r="D163" s="18">
        <v>1</v>
      </c>
      <c r="E163" s="18">
        <v>8</v>
      </c>
      <c r="F163" s="8">
        <f>IFERROR(D163*E163,0)</f>
        <v>8</v>
      </c>
      <c r="G163" s="19">
        <v>13</v>
      </c>
      <c r="H163" s="19">
        <v>1.2</v>
      </c>
      <c r="I163" s="19">
        <v>2.2999999999999998</v>
      </c>
      <c r="J163" s="8">
        <f>IFERROR(F163*G163,0)</f>
        <v>104</v>
      </c>
      <c r="K163" s="8">
        <f>IFERROR(F163*H163,0)</f>
        <v>9.6</v>
      </c>
      <c r="L163" s="8">
        <f>IFERROR(F163*I163,0)</f>
        <v>18.399999999999999</v>
      </c>
      <c r="N163" s="30"/>
      <c r="O163" s="31"/>
      <c r="P163" s="31"/>
    </row>
    <row r="164" spans="1:16" x14ac:dyDescent="0.3">
      <c r="A164">
        <v>73</v>
      </c>
      <c r="B164" t="s">
        <v>194</v>
      </c>
      <c r="D164" s="18">
        <v>1</v>
      </c>
      <c r="E164" s="18">
        <v>12</v>
      </c>
      <c r="F164" s="8">
        <f>IFERROR(D164*E164,0)</f>
        <v>12</v>
      </c>
      <c r="G164" s="19">
        <v>13</v>
      </c>
      <c r="H164" s="19">
        <v>-1.2</v>
      </c>
      <c r="I164" s="19">
        <v>2.2999999999999998</v>
      </c>
      <c r="J164" s="8">
        <f>IFERROR(F164*G164,0)</f>
        <v>156</v>
      </c>
      <c r="K164" s="8">
        <f>IFERROR(F164*H164,0)</f>
        <v>-14.399999999999999</v>
      </c>
      <c r="L164" s="8">
        <f>IFERROR(F164*I164,0)</f>
        <v>27.599999999999998</v>
      </c>
      <c r="N164" s="30"/>
      <c r="O164" s="31"/>
      <c r="P164" s="31"/>
    </row>
    <row r="165" spans="1:16" x14ac:dyDescent="0.3">
      <c r="A165">
        <v>73</v>
      </c>
      <c r="B165" t="s">
        <v>195</v>
      </c>
      <c r="D165" s="18">
        <v>1</v>
      </c>
      <c r="E165" s="18">
        <v>12</v>
      </c>
      <c r="F165" s="8">
        <f>IFERROR(D165*E165,0)</f>
        <v>12</v>
      </c>
      <c r="G165" s="19">
        <v>13</v>
      </c>
      <c r="H165" s="19">
        <v>1.2</v>
      </c>
      <c r="I165" s="19">
        <v>2.2999999999999998</v>
      </c>
      <c r="J165" s="8">
        <f>IFERROR(F165*G165,0)</f>
        <v>156</v>
      </c>
      <c r="K165" s="8">
        <f>IFERROR(F165*H165,0)</f>
        <v>14.399999999999999</v>
      </c>
      <c r="L165" s="8">
        <f>IFERROR(F165*I165,0)</f>
        <v>27.599999999999998</v>
      </c>
      <c r="N165" s="30"/>
      <c r="O165" s="31"/>
      <c r="P165" s="31"/>
    </row>
    <row r="166" spans="1:16" x14ac:dyDescent="0.3">
      <c r="A166" s="6"/>
      <c r="B166" s="6" t="s">
        <v>196</v>
      </c>
      <c r="C166" s="6"/>
      <c r="D166" s="9"/>
      <c r="E166" s="9"/>
      <c r="F166" s="9">
        <f>SUM(F162:F165)</f>
        <v>40</v>
      </c>
      <c r="G166" s="14">
        <f>IFERROR(SUM(J162:J165)/F166,0)</f>
        <v>13</v>
      </c>
      <c r="H166" s="14">
        <f>IFERROR(SUM(K162:K165)/F166,0)</f>
        <v>0</v>
      </c>
      <c r="I166" s="14">
        <f>IFERROR(SUM(L162:L165)/F166,0)</f>
        <v>2.2999999999999998</v>
      </c>
      <c r="J166" s="9">
        <f>SUM(J162:J165)</f>
        <v>520</v>
      </c>
      <c r="K166" s="9">
        <f>SUM(K162:K165)</f>
        <v>0</v>
      </c>
      <c r="L166" s="9">
        <f>SUM(L162:L165)</f>
        <v>91.999999999999986</v>
      </c>
      <c r="M166" s="6"/>
      <c r="N166" s="30"/>
      <c r="O166" s="31"/>
      <c r="P166" s="31"/>
    </row>
    <row r="167" spans="1:16" x14ac:dyDescent="0.3">
      <c r="A167" s="4" t="s">
        <v>197</v>
      </c>
      <c r="B167" s="4" t="s">
        <v>198</v>
      </c>
      <c r="C167" s="4"/>
      <c r="D167" s="10"/>
      <c r="E167" s="10"/>
      <c r="F167" s="10"/>
      <c r="G167" s="15"/>
      <c r="H167" s="15"/>
      <c r="I167" s="15"/>
      <c r="J167" s="10"/>
      <c r="K167" s="10"/>
      <c r="L167" s="10"/>
      <c r="M167" s="4"/>
      <c r="N167" s="53">
        <f>Target!C31</f>
        <v>27</v>
      </c>
      <c r="O167" s="54">
        <f>F170</f>
        <v>28</v>
      </c>
      <c r="P167" s="54">
        <f>IF(N167="","",O167-N167)</f>
        <v>1</v>
      </c>
    </row>
    <row r="168" spans="1:16" x14ac:dyDescent="0.3">
      <c r="A168">
        <v>75</v>
      </c>
      <c r="B168" t="s">
        <v>199</v>
      </c>
      <c r="D168" s="18">
        <v>4</v>
      </c>
      <c r="E168" s="18">
        <v>4</v>
      </c>
      <c r="F168" s="8">
        <f>IFERROR(D168*E168,0)</f>
        <v>16</v>
      </c>
      <c r="G168" s="19">
        <v>13</v>
      </c>
      <c r="H168" s="19">
        <v>0</v>
      </c>
      <c r="I168" s="19">
        <v>2.2999999999999998</v>
      </c>
      <c r="J168" s="8">
        <f>IFERROR(F168*G168,0)</f>
        <v>208</v>
      </c>
      <c r="K168" s="8">
        <f>IFERROR(F168*H168,0)</f>
        <v>0</v>
      </c>
      <c r="L168" s="8">
        <f>IFERROR(F168*I168,0)</f>
        <v>36.799999999999997</v>
      </c>
      <c r="N168" s="30"/>
      <c r="O168" s="31"/>
      <c r="P168" s="31"/>
    </row>
    <row r="169" spans="1:16" x14ac:dyDescent="0.3">
      <c r="A169">
        <v>75</v>
      </c>
      <c r="B169" t="s">
        <v>200</v>
      </c>
      <c r="D169" s="18">
        <v>2</v>
      </c>
      <c r="E169" s="18">
        <v>6</v>
      </c>
      <c r="F169" s="8">
        <f>IFERROR(D169*E169,0)</f>
        <v>12</v>
      </c>
      <c r="G169" s="19">
        <v>13</v>
      </c>
      <c r="H169" s="19">
        <v>0</v>
      </c>
      <c r="I169" s="19">
        <v>2.2999999999999998</v>
      </c>
      <c r="J169" s="8">
        <f>IFERROR(F169*G169,0)</f>
        <v>156</v>
      </c>
      <c r="K169" s="8">
        <f>IFERROR(F169*H169,0)</f>
        <v>0</v>
      </c>
      <c r="L169" s="8">
        <f>IFERROR(F169*I169,0)</f>
        <v>27.599999999999998</v>
      </c>
      <c r="M169" t="s">
        <v>277</v>
      </c>
      <c r="N169" s="30"/>
      <c r="O169" s="31"/>
      <c r="P169" s="31"/>
    </row>
    <row r="170" spans="1:16" x14ac:dyDescent="0.3">
      <c r="A170" s="6"/>
      <c r="B170" s="6" t="s">
        <v>201</v>
      </c>
      <c r="C170" s="6"/>
      <c r="D170" s="9"/>
      <c r="E170" s="9"/>
      <c r="F170" s="9">
        <f>SUM(F168:F169)</f>
        <v>28</v>
      </c>
      <c r="G170" s="14">
        <f>IFERROR(SUM(J168:J169)/F170,0)</f>
        <v>13</v>
      </c>
      <c r="H170" s="14">
        <f>IFERROR(SUM(K168:K169)/F170,0)</f>
        <v>0</v>
      </c>
      <c r="I170" s="14">
        <f>IFERROR(SUM(L168:L169)/F170,0)</f>
        <v>2.2999999999999998</v>
      </c>
      <c r="J170" s="9">
        <f>SUM(J168:J169)</f>
        <v>364</v>
      </c>
      <c r="K170" s="9">
        <f>SUM(K168:K169)</f>
        <v>0</v>
      </c>
      <c r="L170" s="9">
        <f>SUM(L168:L169)</f>
        <v>64.399999999999991</v>
      </c>
      <c r="M170" s="6"/>
      <c r="N170" s="30"/>
      <c r="O170" s="31"/>
      <c r="P170" s="31"/>
    </row>
    <row r="171" spans="1:16" x14ac:dyDescent="0.3">
      <c r="A171" s="4" t="s">
        <v>202</v>
      </c>
      <c r="B171" s="4" t="s">
        <v>203</v>
      </c>
      <c r="C171" s="4"/>
      <c r="D171" s="10"/>
      <c r="E171" s="10"/>
      <c r="F171" s="10"/>
      <c r="G171" s="15"/>
      <c r="H171" s="15"/>
      <c r="I171" s="15"/>
      <c r="J171" s="10"/>
      <c r="K171" s="10"/>
      <c r="L171" s="10"/>
      <c r="M171" s="4"/>
      <c r="N171" s="53">
        <f>Target!C32</f>
        <v>245</v>
      </c>
      <c r="O171" s="54">
        <f>F176</f>
        <v>250</v>
      </c>
      <c r="P171" s="54">
        <f>IF(N171="","",O171-N171)</f>
        <v>5</v>
      </c>
    </row>
    <row r="172" spans="1:16" x14ac:dyDescent="0.3">
      <c r="A172">
        <v>78</v>
      </c>
      <c r="B172" t="s">
        <v>204</v>
      </c>
      <c r="D172" s="18">
        <v>1</v>
      </c>
      <c r="E172" s="18">
        <v>35</v>
      </c>
      <c r="F172" s="8">
        <f>IFERROR(D172*E172,0)</f>
        <v>35</v>
      </c>
      <c r="G172" s="19">
        <v>14</v>
      </c>
      <c r="H172" s="19">
        <v>-1.2</v>
      </c>
      <c r="I172" s="19">
        <v>2.2999999999999998</v>
      </c>
      <c r="J172" s="8">
        <f>IFERROR(F172*G172,0)</f>
        <v>490</v>
      </c>
      <c r="K172" s="8">
        <f>IFERROR(F172*H172,0)</f>
        <v>-42</v>
      </c>
      <c r="L172" s="8">
        <f>IFERROR(F172*I172,0)</f>
        <v>80.5</v>
      </c>
      <c r="N172" s="30"/>
      <c r="O172" s="31"/>
      <c r="P172" s="31"/>
    </row>
    <row r="173" spans="1:16" x14ac:dyDescent="0.3">
      <c r="A173">
        <v>78</v>
      </c>
      <c r="B173" t="s">
        <v>205</v>
      </c>
      <c r="D173" s="18">
        <v>1</v>
      </c>
      <c r="E173" s="18">
        <v>35</v>
      </c>
      <c r="F173" s="8">
        <f>IFERROR(D173*E173,0)</f>
        <v>35</v>
      </c>
      <c r="G173" s="19">
        <v>14</v>
      </c>
      <c r="H173" s="19">
        <v>1.2</v>
      </c>
      <c r="I173" s="19">
        <v>2.2999999999999998</v>
      </c>
      <c r="J173" s="8">
        <f>IFERROR(F173*G173,0)</f>
        <v>490</v>
      </c>
      <c r="K173" s="8">
        <f>IFERROR(F173*H173,0)</f>
        <v>42</v>
      </c>
      <c r="L173" s="8">
        <f>IFERROR(F173*I173,0)</f>
        <v>80.5</v>
      </c>
      <c r="N173" s="30"/>
      <c r="O173" s="31"/>
      <c r="P173" s="31"/>
    </row>
    <row r="174" spans="1:16" x14ac:dyDescent="0.3">
      <c r="A174">
        <v>78</v>
      </c>
      <c r="B174" t="s">
        <v>206</v>
      </c>
      <c r="D174" s="18">
        <v>1</v>
      </c>
      <c r="E174" s="18">
        <v>90</v>
      </c>
      <c r="F174" s="8">
        <f>IFERROR(D174*E174,0)</f>
        <v>90</v>
      </c>
      <c r="G174" s="19">
        <v>13.8</v>
      </c>
      <c r="H174" s="19">
        <v>-1.2</v>
      </c>
      <c r="I174" s="19">
        <v>2.2999999999999998</v>
      </c>
      <c r="J174" s="8">
        <f>IFERROR(F174*G174,0)</f>
        <v>1242</v>
      </c>
      <c r="K174" s="8">
        <f>IFERROR(F174*H174,0)</f>
        <v>-108</v>
      </c>
      <c r="L174" s="8">
        <f>IFERROR(F174*I174,0)</f>
        <v>206.99999999999997</v>
      </c>
      <c r="N174" s="30"/>
      <c r="O174" s="31"/>
      <c r="P174" s="31"/>
    </row>
    <row r="175" spans="1:16" x14ac:dyDescent="0.3">
      <c r="A175">
        <v>78</v>
      </c>
      <c r="B175" t="s">
        <v>207</v>
      </c>
      <c r="D175" s="18">
        <v>1</v>
      </c>
      <c r="E175" s="18">
        <v>90</v>
      </c>
      <c r="F175" s="8">
        <f>IFERROR(D175*E175,0)</f>
        <v>90</v>
      </c>
      <c r="G175" s="19">
        <v>13.8</v>
      </c>
      <c r="H175" s="19">
        <v>1.2</v>
      </c>
      <c r="I175" s="19">
        <v>2.2999999999999998</v>
      </c>
      <c r="J175" s="8">
        <f>IFERROR(F175*G175,0)</f>
        <v>1242</v>
      </c>
      <c r="K175" s="8">
        <f>IFERROR(F175*H175,0)</f>
        <v>108</v>
      </c>
      <c r="L175" s="8">
        <f>IFERROR(F175*I175,0)</f>
        <v>206.99999999999997</v>
      </c>
      <c r="N175" s="30"/>
      <c r="O175" s="31"/>
      <c r="P175" s="31"/>
    </row>
    <row r="176" spans="1:16" x14ac:dyDescent="0.3">
      <c r="A176" s="6"/>
      <c r="B176" s="6" t="s">
        <v>208</v>
      </c>
      <c r="C176" s="6"/>
      <c r="D176" s="9"/>
      <c r="E176" s="9"/>
      <c r="F176" s="9">
        <f>SUM(F172:F175)</f>
        <v>250</v>
      </c>
      <c r="G176" s="14">
        <f>IFERROR(SUM(J172:J175)/F176,0)</f>
        <v>13.856</v>
      </c>
      <c r="H176" s="14">
        <f>IFERROR(SUM(K172:K175)/F176,0)</f>
        <v>0</v>
      </c>
      <c r="I176" s="14">
        <f>IFERROR(SUM(L172:L175)/F176,0)</f>
        <v>2.2999999999999998</v>
      </c>
      <c r="J176" s="9">
        <f>SUM(J172:J175)</f>
        <v>3464</v>
      </c>
      <c r="K176" s="9">
        <f>SUM(K172:K175)</f>
        <v>0</v>
      </c>
      <c r="L176" s="9">
        <f>SUM(L172:L175)</f>
        <v>575</v>
      </c>
      <c r="M176" s="6"/>
      <c r="N176" s="30"/>
      <c r="O176" s="31"/>
      <c r="P176" s="31"/>
    </row>
    <row r="177" spans="1:16" x14ac:dyDescent="0.3">
      <c r="A177" s="4" t="s">
        <v>209</v>
      </c>
      <c r="B177" s="4" t="s">
        <v>210</v>
      </c>
      <c r="C177" s="4"/>
      <c r="D177" s="10"/>
      <c r="E177" s="10"/>
      <c r="F177" s="10"/>
      <c r="G177" s="15"/>
      <c r="H177" s="15"/>
      <c r="I177" s="15"/>
      <c r="J177" s="10"/>
      <c r="K177" s="10"/>
      <c r="L177" s="10"/>
      <c r="M177" s="4"/>
      <c r="N177" s="53">
        <f>Target!C33</f>
        <v>39</v>
      </c>
      <c r="O177" s="54">
        <f>F181</f>
        <v>40</v>
      </c>
      <c r="P177" s="54">
        <f>IF(N177="","",O177-N177)</f>
        <v>1</v>
      </c>
    </row>
    <row r="178" spans="1:16" x14ac:dyDescent="0.3">
      <c r="A178">
        <v>79</v>
      </c>
      <c r="B178" t="s">
        <v>211</v>
      </c>
      <c r="D178" s="18">
        <v>1</v>
      </c>
      <c r="E178" s="18">
        <v>12</v>
      </c>
      <c r="F178" s="8">
        <f>IFERROR(D178*E178,0)</f>
        <v>12</v>
      </c>
      <c r="G178" s="19">
        <v>13.2</v>
      </c>
      <c r="H178" s="19">
        <v>-1.2</v>
      </c>
      <c r="I178" s="19">
        <v>2.4</v>
      </c>
      <c r="J178" s="8">
        <f>IFERROR(F178*G178,0)</f>
        <v>158.39999999999998</v>
      </c>
      <c r="K178" s="8">
        <f>IFERROR(F178*H178,0)</f>
        <v>-14.399999999999999</v>
      </c>
      <c r="L178" s="8">
        <f>IFERROR(F178*I178,0)</f>
        <v>28.799999999999997</v>
      </c>
      <c r="N178" s="30"/>
      <c r="O178" s="31"/>
      <c r="P178" s="31"/>
    </row>
    <row r="179" spans="1:16" x14ac:dyDescent="0.3">
      <c r="A179">
        <v>79</v>
      </c>
      <c r="B179" t="s">
        <v>212</v>
      </c>
      <c r="D179" s="18">
        <v>1</v>
      </c>
      <c r="E179" s="18">
        <v>12</v>
      </c>
      <c r="F179" s="8">
        <f>IFERROR(D179*E179,0)</f>
        <v>12</v>
      </c>
      <c r="G179" s="19">
        <v>13.2</v>
      </c>
      <c r="H179" s="19">
        <v>1.2</v>
      </c>
      <c r="I179" s="19">
        <v>2.4</v>
      </c>
      <c r="J179" s="8">
        <f>IFERROR(F179*G179,0)</f>
        <v>158.39999999999998</v>
      </c>
      <c r="K179" s="8">
        <f>IFERROR(F179*H179,0)</f>
        <v>14.399999999999999</v>
      </c>
      <c r="L179" s="8">
        <f>IFERROR(F179*I179,0)</f>
        <v>28.799999999999997</v>
      </c>
      <c r="N179" s="30"/>
      <c r="O179" s="31"/>
      <c r="P179" s="31"/>
    </row>
    <row r="180" spans="1:16" x14ac:dyDescent="0.3">
      <c r="A180">
        <v>79</v>
      </c>
      <c r="B180" t="s">
        <v>213</v>
      </c>
      <c r="D180" s="18">
        <v>2</v>
      </c>
      <c r="E180" s="18">
        <v>8</v>
      </c>
      <c r="F180" s="8">
        <f>IFERROR(D180*E180,0)</f>
        <v>16</v>
      </c>
      <c r="G180" s="19">
        <v>13.5</v>
      </c>
      <c r="H180" s="19">
        <v>0</v>
      </c>
      <c r="I180" s="19">
        <v>2.2999999999999998</v>
      </c>
      <c r="J180" s="8">
        <f>IFERROR(F180*G180,0)</f>
        <v>216</v>
      </c>
      <c r="K180" s="8">
        <f>IFERROR(F180*H180,0)</f>
        <v>0</v>
      </c>
      <c r="L180" s="8">
        <f>IFERROR(F180*I180,0)</f>
        <v>36.799999999999997</v>
      </c>
      <c r="N180" s="30"/>
      <c r="O180" s="31"/>
      <c r="P180" s="31"/>
    </row>
    <row r="181" spans="1:16" x14ac:dyDescent="0.3">
      <c r="A181" s="6"/>
      <c r="B181" s="6" t="s">
        <v>214</v>
      </c>
      <c r="C181" s="6"/>
      <c r="D181" s="9"/>
      <c r="E181" s="9"/>
      <c r="F181" s="9">
        <f>SUM(F178:F180)</f>
        <v>40</v>
      </c>
      <c r="G181" s="14">
        <f>IFERROR(SUM(J178:J180)/F181,0)</f>
        <v>13.319999999999999</v>
      </c>
      <c r="H181" s="14">
        <f>IFERROR(SUM(K178:K180)/F181,0)</f>
        <v>0</v>
      </c>
      <c r="I181" s="14">
        <f>IFERROR(SUM(L178:L180)/F181,0)</f>
        <v>2.36</v>
      </c>
      <c r="J181" s="9">
        <f>SUM(J178:J180)</f>
        <v>532.79999999999995</v>
      </c>
      <c r="K181" s="9">
        <f>SUM(K178:K180)</f>
        <v>0</v>
      </c>
      <c r="L181" s="9">
        <f>SUM(L178:L180)</f>
        <v>94.399999999999991</v>
      </c>
      <c r="M181" s="6"/>
      <c r="N181" s="30"/>
      <c r="O181" s="31"/>
      <c r="P181" s="31"/>
    </row>
    <row r="182" spans="1:16" x14ac:dyDescent="0.3">
      <c r="A182" s="4" t="s">
        <v>215</v>
      </c>
      <c r="B182" s="4" t="s">
        <v>216</v>
      </c>
      <c r="C182" s="4"/>
      <c r="D182" s="10"/>
      <c r="E182" s="10"/>
      <c r="F182" s="10"/>
      <c r="G182" s="15"/>
      <c r="H182" s="15"/>
      <c r="I182" s="15"/>
      <c r="J182" s="10"/>
      <c r="K182" s="10"/>
      <c r="L182" s="10"/>
      <c r="M182" s="4"/>
      <c r="N182" s="53">
        <f>Target!C34</f>
        <v>20</v>
      </c>
      <c r="O182" s="54">
        <f>F185</f>
        <v>20</v>
      </c>
      <c r="P182" s="54">
        <f>IF(N182="","",O182-N182)</f>
        <v>0</v>
      </c>
    </row>
    <row r="183" spans="1:16" x14ac:dyDescent="0.3">
      <c r="A183">
        <v>80</v>
      </c>
      <c r="B183" t="s">
        <v>217</v>
      </c>
      <c r="D183" s="18">
        <v>1</v>
      </c>
      <c r="E183" s="18">
        <v>10</v>
      </c>
      <c r="F183" s="8">
        <f>IFERROR(D183*E183,0)</f>
        <v>10</v>
      </c>
      <c r="G183" s="19">
        <v>12.8</v>
      </c>
      <c r="H183" s="19">
        <v>-1.2</v>
      </c>
      <c r="I183" s="19">
        <v>2.2999999999999998</v>
      </c>
      <c r="J183" s="8">
        <f>IFERROR(F183*G183,0)</f>
        <v>128</v>
      </c>
      <c r="K183" s="8">
        <f>IFERROR(F183*H183,0)</f>
        <v>-12</v>
      </c>
      <c r="L183" s="8">
        <f>IFERROR(F183*I183,0)</f>
        <v>23</v>
      </c>
      <c r="M183" t="s">
        <v>278</v>
      </c>
      <c r="N183" s="30"/>
      <c r="O183" s="31"/>
      <c r="P183" s="31"/>
    </row>
    <row r="184" spans="1:16" x14ac:dyDescent="0.3">
      <c r="A184">
        <v>80</v>
      </c>
      <c r="B184" t="s">
        <v>218</v>
      </c>
      <c r="D184" s="18">
        <v>1</v>
      </c>
      <c r="E184" s="18">
        <v>10</v>
      </c>
      <c r="F184" s="8">
        <f>IFERROR(D184*E184,0)</f>
        <v>10</v>
      </c>
      <c r="G184" s="19">
        <v>12.8</v>
      </c>
      <c r="H184" s="19">
        <v>1.2</v>
      </c>
      <c r="I184" s="19">
        <v>2.2999999999999998</v>
      </c>
      <c r="J184" s="8">
        <f>IFERROR(F184*G184,0)</f>
        <v>128</v>
      </c>
      <c r="K184" s="8">
        <f>IFERROR(F184*H184,0)</f>
        <v>12</v>
      </c>
      <c r="L184" s="8">
        <f>IFERROR(F184*I184,0)</f>
        <v>23</v>
      </c>
      <c r="M184" t="s">
        <v>278</v>
      </c>
      <c r="N184" s="30"/>
      <c r="O184" s="31"/>
      <c r="P184" s="31"/>
    </row>
    <row r="185" spans="1:16" x14ac:dyDescent="0.3">
      <c r="A185" s="6"/>
      <c r="B185" s="6" t="s">
        <v>219</v>
      </c>
      <c r="C185" s="6"/>
      <c r="D185" s="9"/>
      <c r="E185" s="9"/>
      <c r="F185" s="9">
        <f>SUM(F183:F184)</f>
        <v>20</v>
      </c>
      <c r="G185" s="14">
        <f>IFERROR(SUM(J183:J184)/F185,0)</f>
        <v>12.8</v>
      </c>
      <c r="H185" s="14">
        <f>IFERROR(SUM(K183:K184)/F185,0)</f>
        <v>0</v>
      </c>
      <c r="I185" s="14">
        <f>IFERROR(SUM(L183:L184)/F185,0)</f>
        <v>2.2999999999999998</v>
      </c>
      <c r="J185" s="9">
        <f>SUM(J183:J184)</f>
        <v>256</v>
      </c>
      <c r="K185" s="9">
        <f>SUM(K183:K184)</f>
        <v>0</v>
      </c>
      <c r="L185" s="9">
        <f>SUM(L183:L184)</f>
        <v>46</v>
      </c>
      <c r="M185" s="6"/>
      <c r="N185" s="30"/>
      <c r="O185" s="31"/>
      <c r="P185" s="31"/>
    </row>
    <row r="186" spans="1:16" x14ac:dyDescent="0.3">
      <c r="D186" s="8"/>
      <c r="E186" s="8"/>
      <c r="F186" s="8"/>
      <c r="G186" s="13"/>
      <c r="H186" s="13"/>
      <c r="I186" s="13"/>
      <c r="J186" s="8"/>
      <c r="K186" s="8"/>
      <c r="L186" s="8"/>
    </row>
    <row r="187" spans="1:16" x14ac:dyDescent="0.3">
      <c r="D187" s="8"/>
      <c r="E187" s="8"/>
      <c r="F187" s="8"/>
      <c r="G187" s="13"/>
      <c r="H187" s="13"/>
      <c r="I187" s="13"/>
      <c r="J187" s="8"/>
      <c r="K187" s="8"/>
      <c r="L187" s="8"/>
    </row>
    <row r="188" spans="1:16" x14ac:dyDescent="0.3">
      <c r="A188" s="2"/>
      <c r="B188" s="2" t="s">
        <v>220</v>
      </c>
      <c r="C188" s="2"/>
      <c r="D188" s="11"/>
      <c r="E188" s="11"/>
      <c r="F188" s="11"/>
      <c r="G188" s="16"/>
      <c r="H188" s="16"/>
      <c r="I188" s="16"/>
      <c r="J188" s="11"/>
      <c r="K188" s="11"/>
      <c r="L188" s="11"/>
      <c r="M188" s="2"/>
    </row>
    <row r="189" spans="1:16" x14ac:dyDescent="0.3">
      <c r="A189" s="7"/>
      <c r="B189" s="7" t="s">
        <v>7</v>
      </c>
      <c r="C189" s="7"/>
      <c r="D189" s="12"/>
      <c r="E189" s="12"/>
      <c r="F189" s="12">
        <f>F15+F20+F26+F34+F43+F49+F60+F67+F73+F78+F82+F89+F94+F101+F105+F109+F113+F118+F126+F132+F138+F142+F146+F154+F160+F166+F170+F176+F181+F185</f>
        <v>17292</v>
      </c>
      <c r="G189" s="17"/>
      <c r="H189" s="17"/>
      <c r="I189" s="17"/>
      <c r="J189" s="12"/>
      <c r="K189" s="12"/>
      <c r="L189" s="12"/>
      <c r="M189" s="7"/>
    </row>
    <row r="190" spans="1:16" x14ac:dyDescent="0.3">
      <c r="A190" s="7"/>
      <c r="B190" s="7" t="s">
        <v>221</v>
      </c>
      <c r="C190" s="7"/>
      <c r="D190" s="12"/>
      <c r="E190" s="12"/>
      <c r="F190" s="12"/>
      <c r="G190" s="17"/>
      <c r="H190" s="17"/>
      <c r="I190" s="17"/>
      <c r="J190" s="12">
        <f>J15+J20+J26+J34+J43+J49+J60+J67+J73+J78+J82+J89+J94+J101+J105+J109+J113+J118+J126+J132+J138+J142+J146+J154+J160+J166+J170+J176+J181+J185</f>
        <v>192157.5</v>
      </c>
      <c r="K190" s="12"/>
      <c r="L190" s="12"/>
      <c r="M190" s="7"/>
    </row>
    <row r="191" spans="1:16" x14ac:dyDescent="0.3">
      <c r="A191" s="7"/>
      <c r="B191" s="7" t="s">
        <v>222</v>
      </c>
      <c r="C191" s="7"/>
      <c r="D191" s="12"/>
      <c r="E191" s="12"/>
      <c r="F191" s="12"/>
      <c r="G191" s="17"/>
      <c r="H191" s="17"/>
      <c r="I191" s="17"/>
      <c r="J191" s="12"/>
      <c r="K191" s="12">
        <f>K15+K20+K26+K34+K43+K49+K60+K67+K73+K78+K82+K89+K94+K101+K105+K109+K113+K118+K126+K132+K138+K142+K146+K154+K160+K166+K170+K176+K181+K185</f>
        <v>-83.3</v>
      </c>
      <c r="L191" s="12"/>
      <c r="M191" s="7"/>
    </row>
    <row r="192" spans="1:16" x14ac:dyDescent="0.3">
      <c r="A192" s="7"/>
      <c r="B192" s="7" t="s">
        <v>223</v>
      </c>
      <c r="C192" s="7"/>
      <c r="D192" s="12"/>
      <c r="E192" s="12"/>
      <c r="F192" s="12"/>
      <c r="G192" s="17"/>
      <c r="H192" s="17"/>
      <c r="I192" s="17"/>
      <c r="J192" s="12"/>
      <c r="K192" s="12"/>
      <c r="L192" s="12">
        <f>L15+L20+L26+L34+L43+L49+L60+L67+L73+L78+L82+L89+L94+L101+L105+L109+L113+L118+L126+L132+L138+L142+L146+L154+L160+L166+L170+L176+L181+L185</f>
        <v>33473.1</v>
      </c>
      <c r="M192" s="7"/>
    </row>
    <row r="193" spans="1:13" x14ac:dyDescent="0.3">
      <c r="A193" s="7"/>
      <c r="B193" s="7" t="s">
        <v>224</v>
      </c>
      <c r="C193" s="7"/>
      <c r="D193" s="12"/>
      <c r="E193" s="12"/>
      <c r="F193" s="12"/>
      <c r="G193" s="17">
        <f>IFERROR(J190/F189,0)</f>
        <v>11.112508674531576</v>
      </c>
      <c r="H193" s="17"/>
      <c r="I193" s="17"/>
      <c r="J193" s="12"/>
      <c r="K193" s="12"/>
      <c r="L193" s="12"/>
      <c r="M193" s="7"/>
    </row>
    <row r="194" spans="1:13" x14ac:dyDescent="0.3">
      <c r="A194" s="7"/>
      <c r="B194" s="7" t="s">
        <v>225</v>
      </c>
      <c r="C194" s="7"/>
      <c r="D194" s="12"/>
      <c r="E194" s="12"/>
      <c r="F194" s="12"/>
      <c r="G194" s="17"/>
      <c r="H194" s="17">
        <f>IFERROR(K191/F189,0)</f>
        <v>-4.8172565348137868E-3</v>
      </c>
      <c r="I194" s="17"/>
      <c r="J194" s="12"/>
      <c r="K194" s="12"/>
      <c r="L194" s="12"/>
      <c r="M194" s="7"/>
    </row>
    <row r="195" spans="1:13" x14ac:dyDescent="0.3">
      <c r="A195" s="7"/>
      <c r="B195" s="7" t="s">
        <v>226</v>
      </c>
      <c r="C195" s="7"/>
      <c r="D195" s="12"/>
      <c r="E195" s="12"/>
      <c r="F195" s="12"/>
      <c r="G195" s="17"/>
      <c r="H195" s="17"/>
      <c r="I195" s="17">
        <f>IFERROR(L192/F189,0)</f>
        <v>1.9357564191533656</v>
      </c>
      <c r="J195" s="12"/>
      <c r="K195" s="12"/>
      <c r="L195" s="12"/>
      <c r="M195" s="7"/>
    </row>
  </sheetData>
  <mergeCells count="7">
    <mergeCell ref="A7:M7"/>
    <mergeCell ref="A8:M8"/>
    <mergeCell ref="F1:M1"/>
    <mergeCell ref="F2:M2"/>
    <mergeCell ref="F3:M3"/>
    <mergeCell ref="F4:M4"/>
    <mergeCell ref="F5:M5"/>
  </mergeCells>
  <conditionalFormatting sqref="P11:P185">
    <cfRule type="cellIs" dxfId="1" priority="1" operator="greaterThan">
      <formula>0</formula>
    </cfRule>
  </conditionalFormatting>
  <conditionalFormatting sqref="P11:P185">
    <cfRule type="cellIs" dxfId="0" priority="2" operator="lessThan">
      <formula>0</formula>
    </cfRule>
  </conditionalFormatting>
  <dataValidations count="1">
    <dataValidation type="list" allowBlank="1" showInputMessage="1" showErrorMessage="1" sqref="B2" xr:uid="{EEC28524-8CA8-4167-964C-05EDFB513CD9}">
      <formula1>"Draft,Released,Frozen,Archived"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7AB9-59FA-4CBF-A5D3-83F7F924A2DD}">
  <sheetPr codeName="Sheet3"/>
  <dimension ref="A1:F44"/>
  <sheetViews>
    <sheetView tabSelected="1" workbookViewId="0">
      <pane ySplit="4" topLeftCell="A5" activePane="bottomLeft" state="frozen"/>
      <selection pane="bottomLeft" activeCell="B6" sqref="B6"/>
    </sheetView>
  </sheetViews>
  <sheetFormatPr defaultRowHeight="14.4" x14ac:dyDescent="0.3"/>
  <cols>
    <col min="1" max="1" width="9.21875" customWidth="1"/>
    <col min="2" max="2" width="33.33203125" customWidth="1"/>
    <col min="3" max="3" width="20.33203125" customWidth="1"/>
    <col min="4" max="4" width="18.5546875" customWidth="1"/>
    <col min="5" max="5" width="24.109375" customWidth="1"/>
    <col min="6" max="6" width="51.88671875" customWidth="1"/>
  </cols>
  <sheetData>
    <row r="1" spans="1:6" ht="18" x14ac:dyDescent="0.35">
      <c r="A1" s="20" t="s">
        <v>311</v>
      </c>
    </row>
    <row r="2" spans="1:6" x14ac:dyDescent="0.3">
      <c r="A2" s="1" t="s">
        <v>312</v>
      </c>
    </row>
    <row r="4" spans="1:6" x14ac:dyDescent="0.3">
      <c r="A4" s="33" t="s">
        <v>2</v>
      </c>
      <c r="B4" s="34" t="s">
        <v>313</v>
      </c>
      <c r="C4" s="35" t="s">
        <v>314</v>
      </c>
      <c r="D4" s="35" t="s">
        <v>315</v>
      </c>
      <c r="E4" s="35" t="s">
        <v>316</v>
      </c>
      <c r="F4" s="36" t="s">
        <v>14</v>
      </c>
    </row>
    <row r="5" spans="1:6" x14ac:dyDescent="0.3">
      <c r="A5" s="37">
        <v>21</v>
      </c>
      <c r="B5" s="38" t="s">
        <v>16</v>
      </c>
      <c r="C5" s="39">
        <v>85</v>
      </c>
      <c r="D5" s="40">
        <f>Mass!F15</f>
        <v>88</v>
      </c>
      <c r="E5" s="41">
        <f>D5-C5</f>
        <v>3</v>
      </c>
      <c r="F5" s="42"/>
    </row>
    <row r="6" spans="1:6" x14ac:dyDescent="0.3">
      <c r="A6" s="37">
        <v>22</v>
      </c>
      <c r="B6" s="38" t="s">
        <v>22</v>
      </c>
      <c r="C6" s="39">
        <v>19</v>
      </c>
      <c r="D6" s="40">
        <f>Mass!F20</f>
        <v>19</v>
      </c>
      <c r="E6" s="41">
        <f>D6-C6</f>
        <v>0</v>
      </c>
      <c r="F6" s="42"/>
    </row>
    <row r="7" spans="1:6" x14ac:dyDescent="0.3">
      <c r="A7" s="37">
        <v>23</v>
      </c>
      <c r="B7" s="38" t="s">
        <v>28</v>
      </c>
      <c r="C7" s="39">
        <v>25</v>
      </c>
      <c r="D7" s="40">
        <f>Mass!F26</f>
        <v>25</v>
      </c>
      <c r="E7" s="41">
        <f>D7-C7</f>
        <v>0</v>
      </c>
      <c r="F7" s="42"/>
    </row>
    <row r="8" spans="1:6" x14ac:dyDescent="0.3">
      <c r="A8" s="37">
        <v>24</v>
      </c>
      <c r="B8" s="38" t="s">
        <v>35</v>
      </c>
      <c r="C8" s="39">
        <v>170</v>
      </c>
      <c r="D8" s="40">
        <f>Mass!F34</f>
        <v>175</v>
      </c>
      <c r="E8" s="41">
        <f>D8-C8</f>
        <v>5</v>
      </c>
      <c r="F8" s="42"/>
    </row>
    <row r="9" spans="1:6" x14ac:dyDescent="0.3">
      <c r="A9" s="37">
        <v>25</v>
      </c>
      <c r="B9" s="38" t="s">
        <v>44</v>
      </c>
      <c r="C9" s="39">
        <v>820</v>
      </c>
      <c r="D9" s="40">
        <f>Mass!F43</f>
        <v>840</v>
      </c>
      <c r="E9" s="41">
        <f>D9-C9</f>
        <v>20</v>
      </c>
      <c r="F9" s="42"/>
    </row>
    <row r="10" spans="1:6" x14ac:dyDescent="0.3">
      <c r="A10" s="37">
        <v>26</v>
      </c>
      <c r="B10" s="38" t="s">
        <v>54</v>
      </c>
      <c r="C10" s="39">
        <v>35</v>
      </c>
      <c r="D10" s="40">
        <f>Mass!F49</f>
        <v>36</v>
      </c>
      <c r="E10" s="41">
        <f>D10-C10</f>
        <v>1</v>
      </c>
      <c r="F10" s="42"/>
    </row>
    <row r="11" spans="1:6" x14ac:dyDescent="0.3">
      <c r="A11" s="37">
        <v>27</v>
      </c>
      <c r="B11" s="38" t="s">
        <v>61</v>
      </c>
      <c r="C11" s="39">
        <v>340</v>
      </c>
      <c r="D11" s="40">
        <f>Mass!F60</f>
        <v>348</v>
      </c>
      <c r="E11" s="41">
        <f>D11-C11</f>
        <v>8</v>
      </c>
      <c r="F11" s="42"/>
    </row>
    <row r="12" spans="1:6" x14ac:dyDescent="0.3">
      <c r="A12" s="37">
        <v>28</v>
      </c>
      <c r="B12" s="38" t="s">
        <v>73</v>
      </c>
      <c r="C12" s="39">
        <v>6300</v>
      </c>
      <c r="D12" s="40">
        <f>Mass!F67</f>
        <v>6364</v>
      </c>
      <c r="E12" s="41">
        <f>D12-C12</f>
        <v>64</v>
      </c>
      <c r="F12" s="42"/>
    </row>
    <row r="13" spans="1:6" x14ac:dyDescent="0.3">
      <c r="A13" s="37">
        <v>29</v>
      </c>
      <c r="B13" s="38" t="s">
        <v>81</v>
      </c>
      <c r="C13" s="39">
        <v>52</v>
      </c>
      <c r="D13" s="40">
        <f>Mass!F73</f>
        <v>54</v>
      </c>
      <c r="E13" s="41">
        <f>D13-C13</f>
        <v>2</v>
      </c>
      <c r="F13" s="42"/>
    </row>
    <row r="14" spans="1:6" x14ac:dyDescent="0.3">
      <c r="A14" s="37">
        <v>30</v>
      </c>
      <c r="B14" s="38" t="s">
        <v>88</v>
      </c>
      <c r="C14" s="39">
        <v>48</v>
      </c>
      <c r="D14" s="40">
        <f>Mass!F78</f>
        <v>49</v>
      </c>
      <c r="E14" s="41">
        <f>D14-C14</f>
        <v>1</v>
      </c>
      <c r="F14" s="42"/>
    </row>
    <row r="15" spans="1:6" x14ac:dyDescent="0.3">
      <c r="A15" s="37">
        <v>31</v>
      </c>
      <c r="B15" s="38" t="s">
        <v>94</v>
      </c>
      <c r="C15" s="39">
        <v>46</v>
      </c>
      <c r="D15" s="40">
        <f>Mass!F82</f>
        <v>48</v>
      </c>
      <c r="E15" s="41">
        <f>D15-C15</f>
        <v>2</v>
      </c>
      <c r="F15" s="42"/>
    </row>
    <row r="16" spans="1:6" x14ac:dyDescent="0.3">
      <c r="A16" s="37">
        <v>32</v>
      </c>
      <c r="B16" s="38" t="s">
        <v>99</v>
      </c>
      <c r="C16" s="39">
        <v>1100</v>
      </c>
      <c r="D16" s="40">
        <f>Mass!F89</f>
        <v>1130</v>
      </c>
      <c r="E16" s="41">
        <f>D16-C16</f>
        <v>30</v>
      </c>
      <c r="F16" s="42"/>
    </row>
    <row r="17" spans="1:6" x14ac:dyDescent="0.3">
      <c r="A17" s="37">
        <v>33</v>
      </c>
      <c r="B17" s="38" t="s">
        <v>107</v>
      </c>
      <c r="C17" s="39">
        <v>34</v>
      </c>
      <c r="D17" s="40">
        <f>Mass!F94</f>
        <v>35</v>
      </c>
      <c r="E17" s="41">
        <f>D17-C17</f>
        <v>1</v>
      </c>
      <c r="F17" s="42"/>
    </row>
    <row r="18" spans="1:6" x14ac:dyDescent="0.3">
      <c r="A18" s="37">
        <v>34</v>
      </c>
      <c r="B18" s="38" t="s">
        <v>113</v>
      </c>
      <c r="C18" s="39">
        <v>63</v>
      </c>
      <c r="D18" s="40">
        <f>Mass!F101</f>
        <v>65</v>
      </c>
      <c r="E18" s="41">
        <f>D18-C18</f>
        <v>2</v>
      </c>
      <c r="F18" s="42"/>
    </row>
    <row r="19" spans="1:6" x14ac:dyDescent="0.3">
      <c r="A19" s="37">
        <v>35</v>
      </c>
      <c r="B19" s="38" t="s">
        <v>121</v>
      </c>
      <c r="C19" s="39">
        <v>60</v>
      </c>
      <c r="D19" s="40">
        <f>Mass!F105</f>
        <v>63</v>
      </c>
      <c r="E19" s="41">
        <f>D19-C19</f>
        <v>3</v>
      </c>
      <c r="F19" s="42"/>
    </row>
    <row r="20" spans="1:6" x14ac:dyDescent="0.3">
      <c r="A20" s="37">
        <v>36</v>
      </c>
      <c r="B20" s="38" t="s">
        <v>126</v>
      </c>
      <c r="C20" s="39">
        <v>95</v>
      </c>
      <c r="D20" s="40">
        <f>Mass!F109</f>
        <v>100</v>
      </c>
      <c r="E20" s="41">
        <f>D20-C20</f>
        <v>5</v>
      </c>
      <c r="F20" s="42"/>
    </row>
    <row r="21" spans="1:6" x14ac:dyDescent="0.3">
      <c r="A21" s="37">
        <v>38</v>
      </c>
      <c r="B21" s="38" t="s">
        <v>131</v>
      </c>
      <c r="C21" s="39">
        <v>140</v>
      </c>
      <c r="D21" s="40">
        <f>Mass!F113</f>
        <v>145</v>
      </c>
      <c r="E21" s="41">
        <f>D21-C21</f>
        <v>5</v>
      </c>
      <c r="F21" s="42"/>
    </row>
    <row r="22" spans="1:6" x14ac:dyDescent="0.3">
      <c r="A22" s="37">
        <v>49</v>
      </c>
      <c r="B22" s="38" t="s">
        <v>136</v>
      </c>
      <c r="C22" s="39">
        <v>180</v>
      </c>
      <c r="D22" s="40">
        <f>Mass!F118</f>
        <v>185</v>
      </c>
      <c r="E22" s="41">
        <f>D22-C22</f>
        <v>5</v>
      </c>
      <c r="F22" s="42"/>
    </row>
    <row r="23" spans="1:6" x14ac:dyDescent="0.3">
      <c r="A23" s="37">
        <v>52</v>
      </c>
      <c r="B23" s="38" t="s">
        <v>142</v>
      </c>
      <c r="C23" s="39">
        <v>270</v>
      </c>
      <c r="D23" s="40">
        <f>Mass!F126</f>
        <v>280</v>
      </c>
      <c r="E23" s="41">
        <f>D23-C23</f>
        <v>10</v>
      </c>
      <c r="F23" s="42"/>
    </row>
    <row r="24" spans="1:6" x14ac:dyDescent="0.3">
      <c r="A24" s="37">
        <v>53</v>
      </c>
      <c r="B24" s="38" t="s">
        <v>151</v>
      </c>
      <c r="C24" s="39">
        <v>2240</v>
      </c>
      <c r="D24" s="40">
        <f>Mass!F132</f>
        <v>2240</v>
      </c>
      <c r="E24" s="41">
        <f>D24-C24</f>
        <v>0</v>
      </c>
      <c r="F24" s="42"/>
    </row>
    <row r="25" spans="1:6" x14ac:dyDescent="0.3">
      <c r="A25" s="37">
        <v>54</v>
      </c>
      <c r="B25" s="38" t="s">
        <v>158</v>
      </c>
      <c r="C25" s="39">
        <v>565</v>
      </c>
      <c r="D25" s="40">
        <f>Mass!F138</f>
        <v>580</v>
      </c>
      <c r="E25" s="41">
        <f>D25-C25</f>
        <v>15</v>
      </c>
      <c r="F25" s="42"/>
    </row>
    <row r="26" spans="1:6" x14ac:dyDescent="0.3">
      <c r="A26" s="37">
        <v>55</v>
      </c>
      <c r="B26" s="38" t="s">
        <v>165</v>
      </c>
      <c r="C26" s="39">
        <v>590</v>
      </c>
      <c r="D26" s="40">
        <f>Mass!F142</f>
        <v>600</v>
      </c>
      <c r="E26" s="41">
        <f>D26-C26</f>
        <v>10</v>
      </c>
      <c r="F26" s="42"/>
    </row>
    <row r="27" spans="1:6" x14ac:dyDescent="0.3">
      <c r="A27" s="37">
        <v>56</v>
      </c>
      <c r="B27" s="38" t="s">
        <v>170</v>
      </c>
      <c r="C27" s="39">
        <v>220</v>
      </c>
      <c r="D27" s="40">
        <f>Mass!F146</f>
        <v>225</v>
      </c>
      <c r="E27" s="41">
        <f>D27-C27</f>
        <v>5</v>
      </c>
      <c r="F27" s="42"/>
    </row>
    <row r="28" spans="1:6" x14ac:dyDescent="0.3">
      <c r="A28" s="37">
        <v>57</v>
      </c>
      <c r="B28" s="38" t="s">
        <v>175</v>
      </c>
      <c r="C28" s="39">
        <v>1640</v>
      </c>
      <c r="D28" s="40">
        <f>Mass!F154</f>
        <v>1640</v>
      </c>
      <c r="E28" s="41">
        <f>D28-C28</f>
        <v>0</v>
      </c>
      <c r="F28" s="42"/>
    </row>
    <row r="29" spans="1:6" x14ac:dyDescent="0.3">
      <c r="A29" s="37">
        <v>71</v>
      </c>
      <c r="B29" s="38" t="s">
        <v>184</v>
      </c>
      <c r="C29" s="39">
        <v>1580</v>
      </c>
      <c r="D29" s="40">
        <f>Mass!F160</f>
        <v>1580</v>
      </c>
      <c r="E29" s="41">
        <f>D29-C29</f>
        <v>0</v>
      </c>
      <c r="F29" s="42"/>
    </row>
    <row r="30" spans="1:6" x14ac:dyDescent="0.3">
      <c r="A30" s="37">
        <v>73</v>
      </c>
      <c r="B30" s="38" t="s">
        <v>191</v>
      </c>
      <c r="C30" s="39">
        <v>39</v>
      </c>
      <c r="D30" s="40">
        <f>Mass!F166</f>
        <v>40</v>
      </c>
      <c r="E30" s="41">
        <f>D30-C30</f>
        <v>1</v>
      </c>
      <c r="F30" s="42"/>
    </row>
    <row r="31" spans="1:6" x14ac:dyDescent="0.3">
      <c r="A31" s="37">
        <v>75</v>
      </c>
      <c r="B31" s="38" t="s">
        <v>198</v>
      </c>
      <c r="C31" s="39">
        <v>27</v>
      </c>
      <c r="D31" s="40">
        <f>Mass!F170</f>
        <v>28</v>
      </c>
      <c r="E31" s="41">
        <f>D31-C31</f>
        <v>1</v>
      </c>
      <c r="F31" s="42"/>
    </row>
    <row r="32" spans="1:6" x14ac:dyDescent="0.3">
      <c r="A32" s="37">
        <v>78</v>
      </c>
      <c r="B32" s="38" t="s">
        <v>203</v>
      </c>
      <c r="C32" s="39">
        <v>245</v>
      </c>
      <c r="D32" s="40">
        <f>Mass!F176</f>
        <v>250</v>
      </c>
      <c r="E32" s="41">
        <f>D32-C32</f>
        <v>5</v>
      </c>
      <c r="F32" s="42"/>
    </row>
    <row r="33" spans="1:6" x14ac:dyDescent="0.3">
      <c r="A33" s="37">
        <v>79</v>
      </c>
      <c r="B33" s="38" t="s">
        <v>210</v>
      </c>
      <c r="C33" s="39">
        <v>39</v>
      </c>
      <c r="D33" s="40">
        <f>Mass!F181</f>
        <v>40</v>
      </c>
      <c r="E33" s="41">
        <f>D33-C33</f>
        <v>1</v>
      </c>
      <c r="F33" s="42"/>
    </row>
    <row r="34" spans="1:6" x14ac:dyDescent="0.3">
      <c r="A34" s="43">
        <v>80</v>
      </c>
      <c r="B34" s="44" t="s">
        <v>216</v>
      </c>
      <c r="C34" s="45">
        <v>20</v>
      </c>
      <c r="D34" s="46">
        <f>Mass!F185</f>
        <v>20</v>
      </c>
      <c r="E34" s="47">
        <f>D34-C34</f>
        <v>0</v>
      </c>
      <c r="F34" s="48"/>
    </row>
    <row r="36" spans="1:6" ht="15.6" x14ac:dyDescent="0.3">
      <c r="A36" s="32" t="s">
        <v>317</v>
      </c>
    </row>
    <row r="37" spans="1:6" x14ac:dyDescent="0.3">
      <c r="A37" s="33" t="s">
        <v>318</v>
      </c>
      <c r="B37" s="34" t="s">
        <v>313</v>
      </c>
      <c r="C37" s="35" t="s">
        <v>314</v>
      </c>
      <c r="D37" s="35" t="s">
        <v>315</v>
      </c>
      <c r="E37" s="35" t="s">
        <v>316</v>
      </c>
      <c r="F37" s="36" t="s">
        <v>14</v>
      </c>
    </row>
    <row r="38" spans="1:6" x14ac:dyDescent="0.3">
      <c r="A38" s="49" t="s">
        <v>319</v>
      </c>
      <c r="B38" s="38" t="s">
        <v>320</v>
      </c>
      <c r="C38" s="39">
        <v>10700</v>
      </c>
      <c r="D38" s="40">
        <f>Mass!F189-Mass!F67</f>
        <v>10928</v>
      </c>
      <c r="E38" s="50">
        <f>IF(C38="","",D38-C38)</f>
        <v>228</v>
      </c>
      <c r="F38" s="42" t="s">
        <v>321</v>
      </c>
    </row>
    <row r="39" spans="1:6" x14ac:dyDescent="0.3">
      <c r="A39" s="49" t="s">
        <v>322</v>
      </c>
      <c r="B39" s="38" t="s">
        <v>323</v>
      </c>
      <c r="C39" s="39">
        <v>10900</v>
      </c>
      <c r="D39" s="41">
        <f>D38</f>
        <v>10928</v>
      </c>
      <c r="E39" s="50">
        <f>IF(C39="","",D39-C39)</f>
        <v>28</v>
      </c>
      <c r="F39" s="42" t="s">
        <v>324</v>
      </c>
    </row>
    <row r="40" spans="1:6" x14ac:dyDescent="0.3">
      <c r="A40" s="49" t="s">
        <v>325</v>
      </c>
      <c r="B40" s="38" t="s">
        <v>326</v>
      </c>
      <c r="C40" s="39">
        <v>13000</v>
      </c>
      <c r="D40" s="41">
        <f>D39</f>
        <v>10928</v>
      </c>
      <c r="E40" s="50">
        <f>IF(C40="","",D40-C40)</f>
        <v>-2072</v>
      </c>
      <c r="F40" s="42" t="s">
        <v>327</v>
      </c>
    </row>
    <row r="41" spans="1:6" x14ac:dyDescent="0.3">
      <c r="A41" s="49" t="s">
        <v>328</v>
      </c>
      <c r="B41" s="38" t="s">
        <v>329</v>
      </c>
      <c r="C41" s="39">
        <v>13200</v>
      </c>
      <c r="D41" s="50"/>
      <c r="E41" s="50" t="str">
        <f>IF(OR(C41="",D41=""),"",D41-C41)</f>
        <v/>
      </c>
      <c r="F41" s="42" t="s">
        <v>330</v>
      </c>
    </row>
    <row r="42" spans="1:6" x14ac:dyDescent="0.3">
      <c r="A42" s="49" t="s">
        <v>331</v>
      </c>
      <c r="B42" s="38" t="s">
        <v>332</v>
      </c>
      <c r="C42" s="39">
        <v>17100</v>
      </c>
      <c r="D42" s="50"/>
      <c r="E42" s="50" t="str">
        <f>IF(OR(C42="",D42=""),"",D42-C42)</f>
        <v/>
      </c>
      <c r="F42" s="42" t="s">
        <v>333</v>
      </c>
    </row>
    <row r="43" spans="1:6" x14ac:dyDescent="0.3">
      <c r="A43" s="49" t="s">
        <v>334</v>
      </c>
      <c r="B43" s="38" t="s">
        <v>335</v>
      </c>
      <c r="C43" s="39">
        <v>18400</v>
      </c>
      <c r="D43" s="40">
        <f>Mass!F189</f>
        <v>17292</v>
      </c>
      <c r="E43" s="50">
        <f>IF(C43="","",D43-C43)</f>
        <v>-1108</v>
      </c>
      <c r="F43" s="42" t="s">
        <v>336</v>
      </c>
    </row>
    <row r="44" spans="1:6" x14ac:dyDescent="0.3">
      <c r="A44" s="51" t="s">
        <v>337</v>
      </c>
      <c r="B44" s="44" t="s">
        <v>338</v>
      </c>
      <c r="C44" s="45">
        <v>18500</v>
      </c>
      <c r="D44" s="52"/>
      <c r="E44" s="52" t="str">
        <f>IF(OR(C44="",D44=""),"",D44-C44)</f>
        <v/>
      </c>
      <c r="F44" s="48" t="s">
        <v>339</v>
      </c>
    </row>
  </sheetData>
  <conditionalFormatting sqref="E5:E34">
    <cfRule type="cellIs" dxfId="5" priority="1" operator="greaterThan">
      <formula>0</formula>
    </cfRule>
  </conditionalFormatting>
  <conditionalFormatting sqref="E5:E34">
    <cfRule type="cellIs" dxfId="4" priority="2" operator="lessThan">
      <formula>0</formula>
    </cfRule>
  </conditionalFormatting>
  <conditionalFormatting sqref="E38:E44">
    <cfRule type="cellIs" dxfId="3" priority="3" operator="greaterThan">
      <formula>0</formula>
    </cfRule>
  </conditionalFormatting>
  <conditionalFormatting sqref="E38:E44">
    <cfRule type="cellIs" dxfId="2" priority="4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90C41-30EA-4B04-BDCA-934660595470}">
  <sheetPr codeName="Sheet2"/>
  <dimension ref="A1:T116"/>
  <sheetViews>
    <sheetView workbookViewId="0">
      <pane ySplit="1" topLeftCell="A2" activePane="bottomLeft" state="frozen"/>
      <selection pane="bottomLeft" activeCell="R14" sqref="R14"/>
    </sheetView>
  </sheetViews>
  <sheetFormatPr defaultRowHeight="14.4" x14ac:dyDescent="0.3"/>
  <cols>
    <col min="1" max="4" width="16.6640625" customWidth="1"/>
    <col min="5" max="5" width="37" customWidth="1"/>
    <col min="6" max="6" width="16.6640625" customWidth="1"/>
    <col min="7" max="7" width="33.33203125" customWidth="1"/>
    <col min="8" max="17" width="16.6640625" customWidth="1"/>
    <col min="18" max="18" width="37" customWidth="1"/>
    <col min="20" max="20" width="74.109375" customWidth="1"/>
  </cols>
  <sheetData>
    <row r="1" spans="1:20" x14ac:dyDescent="0.3">
      <c r="A1" s="2" t="s">
        <v>286</v>
      </c>
      <c r="B1" s="2" t="s">
        <v>287</v>
      </c>
      <c r="C1" s="2" t="s">
        <v>288</v>
      </c>
      <c r="D1" s="2" t="s">
        <v>289</v>
      </c>
      <c r="E1" s="2" t="s">
        <v>290</v>
      </c>
      <c r="F1" s="2" t="s">
        <v>291</v>
      </c>
      <c r="G1" s="2" t="s">
        <v>292</v>
      </c>
      <c r="H1" s="2" t="s">
        <v>293</v>
      </c>
      <c r="I1" s="2" t="s">
        <v>294</v>
      </c>
      <c r="J1" s="2" t="s">
        <v>295</v>
      </c>
      <c r="K1" s="2" t="s">
        <v>296</v>
      </c>
      <c r="L1" s="2" t="s">
        <v>297</v>
      </c>
      <c r="M1" s="2" t="s">
        <v>298</v>
      </c>
      <c r="N1" s="2" t="s">
        <v>299</v>
      </c>
      <c r="O1" s="2" t="s">
        <v>300</v>
      </c>
      <c r="P1" s="2" t="s">
        <v>301</v>
      </c>
      <c r="Q1" s="2" t="s">
        <v>302</v>
      </c>
      <c r="R1" s="2" t="s">
        <v>303</v>
      </c>
      <c r="T1" s="25" t="s">
        <v>304</v>
      </c>
    </row>
    <row r="2" spans="1:20" x14ac:dyDescent="0.3">
      <c r="A2" t="str">
        <f>Mass!$B$1</f>
        <v>0.1.2</v>
      </c>
      <c r="B2" t="str">
        <f>Mass!$B$2</f>
        <v>Draft</v>
      </c>
      <c r="C2" t="str">
        <f>TEXT(Mass!$B$3,"yyyy-mm-dd")</f>
        <v>2026-05-16</v>
      </c>
      <c r="D2">
        <f>Mass!$B$4</f>
        <v>0</v>
      </c>
      <c r="E2" t="str">
        <f>Mass!$B$5</f>
        <v>Initial business jet baseline (Challenger 350 / Praetor 500 class)</v>
      </c>
      <c r="F2">
        <f>Mass!A12</f>
        <v>21</v>
      </c>
      <c r="G2" t="str">
        <f>Mass!B12</f>
        <v>Pack 1</v>
      </c>
      <c r="H2">
        <f>Mass!C12</f>
        <v>0</v>
      </c>
      <c r="I2">
        <f>Mass!D12</f>
        <v>1</v>
      </c>
      <c r="J2">
        <f>Mass!E12</f>
        <v>35</v>
      </c>
      <c r="K2">
        <f>Mass!F12</f>
        <v>35</v>
      </c>
      <c r="L2">
        <f>Mass!G12</f>
        <v>11.5</v>
      </c>
      <c r="M2">
        <f>Mass!H12</f>
        <v>-0.4</v>
      </c>
      <c r="N2">
        <f>Mass!I12</f>
        <v>1.8</v>
      </c>
      <c r="O2">
        <f>Mass!J12</f>
        <v>402.5</v>
      </c>
      <c r="P2">
        <f>Mass!K12</f>
        <v>-14</v>
      </c>
      <c r="Q2">
        <f>Mass!L12</f>
        <v>63</v>
      </c>
      <c r="R2" t="str">
        <f>Mass!M12</f>
        <v>Aft of wing, LH</v>
      </c>
      <c r="T2" t="s">
        <v>305</v>
      </c>
    </row>
    <row r="3" spans="1:20" x14ac:dyDescent="0.3">
      <c r="A3" t="str">
        <f>Mass!$B$1</f>
        <v>0.1.2</v>
      </c>
      <c r="B3" t="str">
        <f>Mass!$B$2</f>
        <v>Draft</v>
      </c>
      <c r="C3" t="str">
        <f>TEXT(Mass!$B$3,"yyyy-mm-dd")</f>
        <v>2026-05-16</v>
      </c>
      <c r="D3">
        <f>Mass!$B$4</f>
        <v>0</v>
      </c>
      <c r="E3" t="str">
        <f>Mass!$B$5</f>
        <v>Initial business jet baseline (Challenger 350 / Praetor 500 class)</v>
      </c>
      <c r="F3">
        <f>Mass!A13</f>
        <v>21</v>
      </c>
      <c r="G3" t="str">
        <f>Mass!B13</f>
        <v>Pack 2</v>
      </c>
      <c r="H3">
        <f>Mass!C13</f>
        <v>0</v>
      </c>
      <c r="I3">
        <f>Mass!D13</f>
        <v>1</v>
      </c>
      <c r="J3">
        <f>Mass!E13</f>
        <v>35</v>
      </c>
      <c r="K3">
        <f>Mass!F13</f>
        <v>35</v>
      </c>
      <c r="L3">
        <f>Mass!G13</f>
        <v>11.5</v>
      </c>
      <c r="M3">
        <f>Mass!H13</f>
        <v>0.4</v>
      </c>
      <c r="N3">
        <f>Mass!I13</f>
        <v>1.8</v>
      </c>
      <c r="O3">
        <f>Mass!J13</f>
        <v>402.5</v>
      </c>
      <c r="P3">
        <f>Mass!K13</f>
        <v>14</v>
      </c>
      <c r="Q3">
        <f>Mass!L13</f>
        <v>63</v>
      </c>
      <c r="R3" t="str">
        <f>Mass!M13</f>
        <v>Aft of wing, RH</v>
      </c>
      <c r="T3" t="s">
        <v>306</v>
      </c>
    </row>
    <row r="4" spans="1:20" x14ac:dyDescent="0.3">
      <c r="A4" t="str">
        <f>Mass!$B$1</f>
        <v>0.1.2</v>
      </c>
      <c r="B4" t="str">
        <f>Mass!$B$2</f>
        <v>Draft</v>
      </c>
      <c r="C4" t="str">
        <f>TEXT(Mass!$B$3,"yyyy-mm-dd")</f>
        <v>2026-05-16</v>
      </c>
      <c r="D4">
        <f>Mass!$B$4</f>
        <v>0</v>
      </c>
      <c r="E4" t="str">
        <f>Mass!$B$5</f>
        <v>Initial business jet baseline (Challenger 350 / Praetor 500 class)</v>
      </c>
      <c r="F4">
        <f>Mass!A14</f>
        <v>21</v>
      </c>
      <c r="G4" t="str">
        <f>Mass!B14</f>
        <v>Mix Manifold</v>
      </c>
      <c r="H4">
        <f>Mass!C14</f>
        <v>0</v>
      </c>
      <c r="I4">
        <f>Mass!D14</f>
        <v>1</v>
      </c>
      <c r="J4">
        <f>Mass!E14</f>
        <v>18</v>
      </c>
      <c r="K4">
        <f>Mass!F14</f>
        <v>18</v>
      </c>
      <c r="L4">
        <f>Mass!G14</f>
        <v>10.5</v>
      </c>
      <c r="M4">
        <f>Mass!H14</f>
        <v>0</v>
      </c>
      <c r="N4">
        <f>Mass!I14</f>
        <v>1.5</v>
      </c>
      <c r="O4">
        <f>Mass!J14</f>
        <v>189</v>
      </c>
      <c r="P4">
        <f>Mass!K14</f>
        <v>0</v>
      </c>
      <c r="Q4">
        <f>Mass!L14</f>
        <v>27</v>
      </c>
      <c r="R4">
        <f>Mass!M14</f>
        <v>0</v>
      </c>
      <c r="T4" t="s">
        <v>307</v>
      </c>
    </row>
    <row r="5" spans="1:20" x14ac:dyDescent="0.3">
      <c r="A5" t="str">
        <f>Mass!$B$1</f>
        <v>0.1.2</v>
      </c>
      <c r="B5" t="str">
        <f>Mass!$B$2</f>
        <v>Draft</v>
      </c>
      <c r="C5" t="str">
        <f>TEXT(Mass!$B$3,"yyyy-mm-dd")</f>
        <v>2026-05-16</v>
      </c>
      <c r="D5">
        <f>Mass!$B$4</f>
        <v>0</v>
      </c>
      <c r="E5" t="str">
        <f>Mass!$B$5</f>
        <v>Initial business jet baseline (Challenger 350 / Praetor 500 class)</v>
      </c>
      <c r="F5">
        <f>Mass!A17</f>
        <v>22</v>
      </c>
      <c r="G5" t="str">
        <f>Mass!B17</f>
        <v>FCC 1</v>
      </c>
      <c r="H5">
        <f>Mass!C17</f>
        <v>0</v>
      </c>
      <c r="I5">
        <f>Mass!D17</f>
        <v>1</v>
      </c>
      <c r="J5">
        <f>Mass!E17</f>
        <v>8</v>
      </c>
      <c r="K5">
        <f>Mass!F17</f>
        <v>8</v>
      </c>
      <c r="L5">
        <f>Mass!G17</f>
        <v>3.5</v>
      </c>
      <c r="M5">
        <f>Mass!H17</f>
        <v>-0.2</v>
      </c>
      <c r="N5">
        <f>Mass!I17</f>
        <v>1.8</v>
      </c>
      <c r="O5">
        <f>Mass!J17</f>
        <v>28</v>
      </c>
      <c r="P5">
        <f>Mass!K17</f>
        <v>-1.6</v>
      </c>
      <c r="Q5">
        <f>Mass!L17</f>
        <v>14.4</v>
      </c>
      <c r="R5" t="str">
        <f>Mass!M17</f>
        <v>Avionics bay fwd</v>
      </c>
      <c r="T5" t="s">
        <v>308</v>
      </c>
    </row>
    <row r="6" spans="1:20" x14ac:dyDescent="0.3">
      <c r="A6" t="str">
        <f>Mass!$B$1</f>
        <v>0.1.2</v>
      </c>
      <c r="B6" t="str">
        <f>Mass!$B$2</f>
        <v>Draft</v>
      </c>
      <c r="C6" t="str">
        <f>TEXT(Mass!$B$3,"yyyy-mm-dd")</f>
        <v>2026-05-16</v>
      </c>
      <c r="D6">
        <f>Mass!$B$4</f>
        <v>0</v>
      </c>
      <c r="E6" t="str">
        <f>Mass!$B$5</f>
        <v>Initial business jet baseline (Challenger 350 / Praetor 500 class)</v>
      </c>
      <c r="F6">
        <f>Mass!A18</f>
        <v>22</v>
      </c>
      <c r="G6" t="str">
        <f>Mass!B18</f>
        <v>FCC 2</v>
      </c>
      <c r="H6">
        <f>Mass!C18</f>
        <v>0</v>
      </c>
      <c r="I6">
        <f>Mass!D18</f>
        <v>1</v>
      </c>
      <c r="J6">
        <f>Mass!E18</f>
        <v>8</v>
      </c>
      <c r="K6">
        <f>Mass!F18</f>
        <v>8</v>
      </c>
      <c r="L6">
        <f>Mass!G18</f>
        <v>3.5</v>
      </c>
      <c r="M6">
        <f>Mass!H18</f>
        <v>0.2</v>
      </c>
      <c r="N6">
        <f>Mass!I18</f>
        <v>1.8</v>
      </c>
      <c r="O6">
        <f>Mass!J18</f>
        <v>28</v>
      </c>
      <c r="P6">
        <f>Mass!K18</f>
        <v>1.6</v>
      </c>
      <c r="Q6">
        <f>Mass!L18</f>
        <v>14.4</v>
      </c>
      <c r="R6" t="str">
        <f>Mass!M18</f>
        <v>Avionics bay fwd</v>
      </c>
    </row>
    <row r="7" spans="1:20" x14ac:dyDescent="0.3">
      <c r="A7" t="str">
        <f>Mass!$B$1</f>
        <v>0.1.2</v>
      </c>
      <c r="B7" t="str">
        <f>Mass!$B$2</f>
        <v>Draft</v>
      </c>
      <c r="C7" t="str">
        <f>TEXT(Mass!$B$3,"yyyy-mm-dd")</f>
        <v>2026-05-16</v>
      </c>
      <c r="D7">
        <f>Mass!$B$4</f>
        <v>0</v>
      </c>
      <c r="E7" t="str">
        <f>Mass!$B$5</f>
        <v>Initial business jet baseline (Challenger 350 / Praetor 500 class)</v>
      </c>
      <c r="F7">
        <f>Mass!A19</f>
        <v>22</v>
      </c>
      <c r="G7" t="str">
        <f>Mass!B19</f>
        <v>Autothrottle Servo</v>
      </c>
      <c r="H7">
        <f>Mass!C19</f>
        <v>0</v>
      </c>
      <c r="I7">
        <f>Mass!D19</f>
        <v>1</v>
      </c>
      <c r="J7">
        <f>Mass!E19</f>
        <v>3</v>
      </c>
      <c r="K7">
        <f>Mass!F19</f>
        <v>3</v>
      </c>
      <c r="L7">
        <f>Mass!G19</f>
        <v>4</v>
      </c>
      <c r="M7">
        <f>Mass!H19</f>
        <v>0</v>
      </c>
      <c r="N7">
        <f>Mass!I19</f>
        <v>1.5</v>
      </c>
      <c r="O7">
        <f>Mass!J19</f>
        <v>12</v>
      </c>
      <c r="P7">
        <f>Mass!K19</f>
        <v>0</v>
      </c>
      <c r="Q7">
        <f>Mass!L19</f>
        <v>4.5</v>
      </c>
      <c r="R7" t="str">
        <f>Mass!M19</f>
        <v>Throttle quadrant</v>
      </c>
    </row>
    <row r="8" spans="1:20" x14ac:dyDescent="0.3">
      <c r="A8" t="str">
        <f>Mass!$B$1</f>
        <v>0.1.2</v>
      </c>
      <c r="B8" t="str">
        <f>Mass!$B$2</f>
        <v>Draft</v>
      </c>
      <c r="C8" t="str">
        <f>TEXT(Mass!$B$3,"yyyy-mm-dd")</f>
        <v>2026-05-16</v>
      </c>
      <c r="D8">
        <f>Mass!$B$4</f>
        <v>0</v>
      </c>
      <c r="E8" t="str">
        <f>Mass!$B$5</f>
        <v>Initial business jet baseline (Challenger 350 / Praetor 500 class)</v>
      </c>
      <c r="F8">
        <f>Mass!A22</f>
        <v>23</v>
      </c>
      <c r="G8" t="str">
        <f>Mass!B22</f>
        <v>VHF Comm 1</v>
      </c>
      <c r="H8">
        <f>Mass!C22</f>
        <v>0</v>
      </c>
      <c r="I8">
        <f>Mass!D22</f>
        <v>1</v>
      </c>
      <c r="J8">
        <f>Mass!E22</f>
        <v>4</v>
      </c>
      <c r="K8">
        <f>Mass!F22</f>
        <v>4</v>
      </c>
      <c r="L8">
        <f>Mass!G22</f>
        <v>3.2</v>
      </c>
      <c r="M8">
        <f>Mass!H22</f>
        <v>-0.2</v>
      </c>
      <c r="N8">
        <f>Mass!I22</f>
        <v>1.9</v>
      </c>
      <c r="O8">
        <f>Mass!J22</f>
        <v>12.8</v>
      </c>
      <c r="P8">
        <f>Mass!K22</f>
        <v>-0.8</v>
      </c>
      <c r="Q8">
        <f>Mass!L22</f>
        <v>7.6</v>
      </c>
      <c r="R8">
        <f>Mass!M22</f>
        <v>0</v>
      </c>
    </row>
    <row r="9" spans="1:20" x14ac:dyDescent="0.3">
      <c r="A9" t="str">
        <f>Mass!$B$1</f>
        <v>0.1.2</v>
      </c>
      <c r="B9" t="str">
        <f>Mass!$B$2</f>
        <v>Draft</v>
      </c>
      <c r="C9" t="str">
        <f>TEXT(Mass!$B$3,"yyyy-mm-dd")</f>
        <v>2026-05-16</v>
      </c>
      <c r="D9">
        <f>Mass!$B$4</f>
        <v>0</v>
      </c>
      <c r="E9" t="str">
        <f>Mass!$B$5</f>
        <v>Initial business jet baseline (Challenger 350 / Praetor 500 class)</v>
      </c>
      <c r="F9">
        <f>Mass!A23</f>
        <v>23</v>
      </c>
      <c r="G9" t="str">
        <f>Mass!B23</f>
        <v>VHF Comm 2</v>
      </c>
      <c r="H9">
        <f>Mass!C23</f>
        <v>0</v>
      </c>
      <c r="I9">
        <f>Mass!D23</f>
        <v>1</v>
      </c>
      <c r="J9">
        <f>Mass!E23</f>
        <v>4</v>
      </c>
      <c r="K9">
        <f>Mass!F23</f>
        <v>4</v>
      </c>
      <c r="L9">
        <f>Mass!G23</f>
        <v>3.2</v>
      </c>
      <c r="M9">
        <f>Mass!H23</f>
        <v>0.2</v>
      </c>
      <c r="N9">
        <f>Mass!I23</f>
        <v>1.9</v>
      </c>
      <c r="O9">
        <f>Mass!J23</f>
        <v>12.8</v>
      </c>
      <c r="P9">
        <f>Mass!K23</f>
        <v>0.8</v>
      </c>
      <c r="Q9">
        <f>Mass!L23</f>
        <v>7.6</v>
      </c>
      <c r="R9">
        <f>Mass!M23</f>
        <v>0</v>
      </c>
    </row>
    <row r="10" spans="1:20" x14ac:dyDescent="0.3">
      <c r="A10" t="str">
        <f>Mass!$B$1</f>
        <v>0.1.2</v>
      </c>
      <c r="B10" t="str">
        <f>Mass!$B$2</f>
        <v>Draft</v>
      </c>
      <c r="C10" t="str">
        <f>TEXT(Mass!$B$3,"yyyy-mm-dd")</f>
        <v>2026-05-16</v>
      </c>
      <c r="D10">
        <f>Mass!$B$4</f>
        <v>0</v>
      </c>
      <c r="E10" t="str">
        <f>Mass!$B$5</f>
        <v>Initial business jet baseline (Challenger 350 / Praetor 500 class)</v>
      </c>
      <c r="F10">
        <f>Mass!A24</f>
        <v>23</v>
      </c>
      <c r="G10" t="str">
        <f>Mass!B24</f>
        <v>SATCOM</v>
      </c>
      <c r="H10">
        <f>Mass!C24</f>
        <v>0</v>
      </c>
      <c r="I10">
        <f>Mass!D24</f>
        <v>1</v>
      </c>
      <c r="J10">
        <f>Mass!E24</f>
        <v>12</v>
      </c>
      <c r="K10">
        <f>Mass!F24</f>
        <v>12</v>
      </c>
      <c r="L10">
        <f>Mass!G24</f>
        <v>14</v>
      </c>
      <c r="M10">
        <f>Mass!H24</f>
        <v>0</v>
      </c>
      <c r="N10">
        <f>Mass!I24</f>
        <v>2.6</v>
      </c>
      <c r="O10">
        <f>Mass!J24</f>
        <v>168</v>
      </c>
      <c r="P10">
        <f>Mass!K24</f>
        <v>0</v>
      </c>
      <c r="Q10">
        <f>Mass!L24</f>
        <v>31.200000000000003</v>
      </c>
      <c r="R10" t="str">
        <f>Mass!M24</f>
        <v>Upper aft fuselage</v>
      </c>
    </row>
    <row r="11" spans="1:20" x14ac:dyDescent="0.3">
      <c r="A11" t="str">
        <f>Mass!$B$1</f>
        <v>0.1.2</v>
      </c>
      <c r="B11" t="str">
        <f>Mass!$B$2</f>
        <v>Draft</v>
      </c>
      <c r="C11" t="str">
        <f>TEXT(Mass!$B$3,"yyyy-mm-dd")</f>
        <v>2026-05-16</v>
      </c>
      <c r="D11">
        <f>Mass!$B$4</f>
        <v>0</v>
      </c>
      <c r="E11" t="str">
        <f>Mass!$B$5</f>
        <v>Initial business jet baseline (Challenger 350 / Praetor 500 class)</v>
      </c>
      <c r="F11">
        <f>Mass!A25</f>
        <v>23</v>
      </c>
      <c r="G11" t="str">
        <f>Mass!B25</f>
        <v>CVR</v>
      </c>
      <c r="H11">
        <f>Mass!C25</f>
        <v>0</v>
      </c>
      <c r="I11">
        <f>Mass!D25</f>
        <v>1</v>
      </c>
      <c r="J11">
        <f>Mass!E25</f>
        <v>5</v>
      </c>
      <c r="K11">
        <f>Mass!F25</f>
        <v>5</v>
      </c>
      <c r="L11">
        <f>Mass!G25</f>
        <v>17</v>
      </c>
      <c r="M11">
        <f>Mass!H25</f>
        <v>0</v>
      </c>
      <c r="N11">
        <f>Mass!I25</f>
        <v>2</v>
      </c>
      <c r="O11">
        <f>Mass!J25</f>
        <v>85</v>
      </c>
      <c r="P11">
        <f>Mass!K25</f>
        <v>0</v>
      </c>
      <c r="Q11">
        <f>Mass!L25</f>
        <v>10</v>
      </c>
      <c r="R11" t="str">
        <f>Mass!M25</f>
        <v>Aft fuselage (crashworthy)</v>
      </c>
    </row>
    <row r="12" spans="1:20" x14ac:dyDescent="0.3">
      <c r="A12" t="str">
        <f>Mass!$B$1</f>
        <v>0.1.2</v>
      </c>
      <c r="B12" t="str">
        <f>Mass!$B$2</f>
        <v>Draft</v>
      </c>
      <c r="C12" t="str">
        <f>TEXT(Mass!$B$3,"yyyy-mm-dd")</f>
        <v>2026-05-16</v>
      </c>
      <c r="D12">
        <f>Mass!$B$4</f>
        <v>0</v>
      </c>
      <c r="E12" t="str">
        <f>Mass!$B$5</f>
        <v>Initial business jet baseline (Challenger 350 / Praetor 500 class)</v>
      </c>
      <c r="F12">
        <f>Mass!A28</f>
        <v>24</v>
      </c>
      <c r="G12" t="str">
        <f>Mass!B28</f>
        <v>IDG 1</v>
      </c>
      <c r="H12">
        <f>Mass!C28</f>
        <v>0</v>
      </c>
      <c r="I12">
        <f>Mass!D28</f>
        <v>1</v>
      </c>
      <c r="J12">
        <f>Mass!E28</f>
        <v>35</v>
      </c>
      <c r="K12">
        <f>Mass!F28</f>
        <v>35</v>
      </c>
      <c r="L12">
        <f>Mass!G28</f>
        <v>12.5</v>
      </c>
      <c r="M12">
        <f>Mass!H28</f>
        <v>-0.5</v>
      </c>
      <c r="N12">
        <f>Mass!I28</f>
        <v>2.2000000000000002</v>
      </c>
      <c r="O12">
        <f>Mass!J28</f>
        <v>437.5</v>
      </c>
      <c r="P12">
        <f>Mass!K28</f>
        <v>-17.5</v>
      </c>
      <c r="Q12">
        <f>Mass!L28</f>
        <v>77</v>
      </c>
      <c r="R12" t="str">
        <f>Mass!M28</f>
        <v>Engine accessory gearbox LH</v>
      </c>
    </row>
    <row r="13" spans="1:20" x14ac:dyDescent="0.3">
      <c r="A13" t="str">
        <f>Mass!$B$1</f>
        <v>0.1.2</v>
      </c>
      <c r="B13" t="str">
        <f>Mass!$B$2</f>
        <v>Draft</v>
      </c>
      <c r="C13" t="str">
        <f>TEXT(Mass!$B$3,"yyyy-mm-dd")</f>
        <v>2026-05-16</v>
      </c>
      <c r="D13">
        <f>Mass!$B$4</f>
        <v>0</v>
      </c>
      <c r="E13" t="str">
        <f>Mass!$B$5</f>
        <v>Initial business jet baseline (Challenger 350 / Praetor 500 class)</v>
      </c>
      <c r="F13">
        <f>Mass!A29</f>
        <v>24</v>
      </c>
      <c r="G13" t="str">
        <f>Mass!B29</f>
        <v>IDG 2</v>
      </c>
      <c r="H13">
        <f>Mass!C29</f>
        <v>0</v>
      </c>
      <c r="I13">
        <f>Mass!D29</f>
        <v>1</v>
      </c>
      <c r="J13">
        <f>Mass!E29</f>
        <v>35</v>
      </c>
      <c r="K13">
        <f>Mass!F29</f>
        <v>35</v>
      </c>
      <c r="L13">
        <f>Mass!G29</f>
        <v>12.5</v>
      </c>
      <c r="M13">
        <f>Mass!H29</f>
        <v>0.5</v>
      </c>
      <c r="N13">
        <f>Mass!I29</f>
        <v>2.2000000000000002</v>
      </c>
      <c r="O13">
        <f>Mass!J29</f>
        <v>437.5</v>
      </c>
      <c r="P13">
        <f>Mass!K29</f>
        <v>17.5</v>
      </c>
      <c r="Q13">
        <f>Mass!L29</f>
        <v>77</v>
      </c>
      <c r="R13" t="str">
        <f>Mass!M29</f>
        <v>Engine accessory gearbox RH</v>
      </c>
    </row>
    <row r="14" spans="1:20" x14ac:dyDescent="0.3">
      <c r="A14" t="str">
        <f>Mass!$B$1</f>
        <v>0.1.2</v>
      </c>
      <c r="B14" t="str">
        <f>Mass!$B$2</f>
        <v>Draft</v>
      </c>
      <c r="C14" t="str">
        <f>TEXT(Mass!$B$3,"yyyy-mm-dd")</f>
        <v>2026-05-16</v>
      </c>
      <c r="D14">
        <f>Mass!$B$4</f>
        <v>0</v>
      </c>
      <c r="E14" t="str">
        <f>Mass!$B$5</f>
        <v>Initial business jet baseline (Challenger 350 / Praetor 500 class)</v>
      </c>
      <c r="F14">
        <f>Mass!A30</f>
        <v>24</v>
      </c>
      <c r="G14" t="str">
        <f>Mass!B30</f>
        <v>APU Generator</v>
      </c>
      <c r="H14">
        <f>Mass!C30</f>
        <v>0</v>
      </c>
      <c r="I14">
        <f>Mass!D30</f>
        <v>1</v>
      </c>
      <c r="J14">
        <f>Mass!E30</f>
        <v>25</v>
      </c>
      <c r="K14">
        <f>Mass!F30</f>
        <v>25</v>
      </c>
      <c r="L14">
        <f>Mass!G30</f>
        <v>19.5</v>
      </c>
      <c r="M14">
        <f>Mass!H30</f>
        <v>0</v>
      </c>
      <c r="N14">
        <f>Mass!I30</f>
        <v>2.4</v>
      </c>
      <c r="O14">
        <f>Mass!J30</f>
        <v>487.5</v>
      </c>
      <c r="P14">
        <f>Mass!K30</f>
        <v>0</v>
      </c>
      <c r="Q14">
        <f>Mass!L30</f>
        <v>60</v>
      </c>
      <c r="R14" t="str">
        <f>Mass!M30</f>
        <v>On APU</v>
      </c>
    </row>
    <row r="15" spans="1:20" x14ac:dyDescent="0.3">
      <c r="A15" t="str">
        <f>Mass!$B$1</f>
        <v>0.1.2</v>
      </c>
      <c r="B15" t="str">
        <f>Mass!$B$2</f>
        <v>Draft</v>
      </c>
      <c r="C15" t="str">
        <f>TEXT(Mass!$B$3,"yyyy-mm-dd")</f>
        <v>2026-05-16</v>
      </c>
      <c r="D15">
        <f>Mass!$B$4</f>
        <v>0</v>
      </c>
      <c r="E15" t="str">
        <f>Mass!$B$5</f>
        <v>Initial business jet baseline (Challenger 350 / Praetor 500 class)</v>
      </c>
      <c r="F15">
        <f>Mass!A31</f>
        <v>24</v>
      </c>
      <c r="G15" t="str">
        <f>Mass!B31</f>
        <v>Main Battery</v>
      </c>
      <c r="H15">
        <f>Mass!C31</f>
        <v>0</v>
      </c>
      <c r="I15">
        <f>Mass!D31</f>
        <v>2</v>
      </c>
      <c r="J15">
        <f>Mass!E31</f>
        <v>22</v>
      </c>
      <c r="K15">
        <f>Mass!F31</f>
        <v>44</v>
      </c>
      <c r="L15">
        <f>Mass!G31</f>
        <v>2.8</v>
      </c>
      <c r="M15">
        <f>Mass!H31</f>
        <v>0</v>
      </c>
      <c r="N15">
        <f>Mass!I31</f>
        <v>0.9</v>
      </c>
      <c r="O15">
        <f>Mass!J31</f>
        <v>123.19999999999999</v>
      </c>
      <c r="P15">
        <f>Mass!K31</f>
        <v>0</v>
      </c>
      <c r="Q15">
        <f>Mass!L31</f>
        <v>39.6</v>
      </c>
      <c r="R15" t="str">
        <f>Mass!M31</f>
        <v>Fwd equipment bay, 2x NiCd</v>
      </c>
    </row>
    <row r="16" spans="1:20" x14ac:dyDescent="0.3">
      <c r="A16" t="str">
        <f>Mass!$B$1</f>
        <v>0.1.2</v>
      </c>
      <c r="B16" t="str">
        <f>Mass!$B$2</f>
        <v>Draft</v>
      </c>
      <c r="C16" t="str">
        <f>TEXT(Mass!$B$3,"yyyy-mm-dd")</f>
        <v>2026-05-16</v>
      </c>
      <c r="D16">
        <f>Mass!$B$4</f>
        <v>0</v>
      </c>
      <c r="E16" t="str">
        <f>Mass!$B$5</f>
        <v>Initial business jet baseline (Challenger 350 / Praetor 500 class)</v>
      </c>
      <c r="F16">
        <f>Mass!A32</f>
        <v>24</v>
      </c>
      <c r="G16" t="str">
        <f>Mass!B32</f>
        <v>TRU 1</v>
      </c>
      <c r="H16">
        <f>Mass!C32</f>
        <v>0</v>
      </c>
      <c r="I16">
        <f>Mass!D32</f>
        <v>1</v>
      </c>
      <c r="J16">
        <f>Mass!E32</f>
        <v>18</v>
      </c>
      <c r="K16">
        <f>Mass!F32</f>
        <v>18</v>
      </c>
      <c r="L16">
        <f>Mass!G32</f>
        <v>3</v>
      </c>
      <c r="M16">
        <f>Mass!H32</f>
        <v>-0.3</v>
      </c>
      <c r="N16">
        <f>Mass!I32</f>
        <v>1.4</v>
      </c>
      <c r="O16">
        <f>Mass!J32</f>
        <v>54</v>
      </c>
      <c r="P16">
        <f>Mass!K32</f>
        <v>-5.3999999999999995</v>
      </c>
      <c r="Q16">
        <f>Mass!L32</f>
        <v>25.2</v>
      </c>
      <c r="R16">
        <f>Mass!M32</f>
        <v>0</v>
      </c>
    </row>
    <row r="17" spans="1:18" x14ac:dyDescent="0.3">
      <c r="A17" t="str">
        <f>Mass!$B$1</f>
        <v>0.1.2</v>
      </c>
      <c r="B17" t="str">
        <f>Mass!$B$2</f>
        <v>Draft</v>
      </c>
      <c r="C17" t="str">
        <f>TEXT(Mass!$B$3,"yyyy-mm-dd")</f>
        <v>2026-05-16</v>
      </c>
      <c r="D17">
        <f>Mass!$B$4</f>
        <v>0</v>
      </c>
      <c r="E17" t="str">
        <f>Mass!$B$5</f>
        <v>Initial business jet baseline (Challenger 350 / Praetor 500 class)</v>
      </c>
      <c r="F17">
        <f>Mass!A33</f>
        <v>24</v>
      </c>
      <c r="G17" t="str">
        <f>Mass!B33</f>
        <v>TRU 2</v>
      </c>
      <c r="H17">
        <f>Mass!C33</f>
        <v>0</v>
      </c>
      <c r="I17">
        <f>Mass!D33</f>
        <v>1</v>
      </c>
      <c r="J17">
        <f>Mass!E33</f>
        <v>18</v>
      </c>
      <c r="K17">
        <f>Mass!F33</f>
        <v>18</v>
      </c>
      <c r="L17">
        <f>Mass!G33</f>
        <v>3</v>
      </c>
      <c r="M17">
        <f>Mass!H33</f>
        <v>0.3</v>
      </c>
      <c r="N17">
        <f>Mass!I33</f>
        <v>1.4</v>
      </c>
      <c r="O17">
        <f>Mass!J33</f>
        <v>54</v>
      </c>
      <c r="P17">
        <f>Mass!K33</f>
        <v>5.3999999999999995</v>
      </c>
      <c r="Q17">
        <f>Mass!L33</f>
        <v>25.2</v>
      </c>
      <c r="R17">
        <f>Mass!M33</f>
        <v>0</v>
      </c>
    </row>
    <row r="18" spans="1:18" x14ac:dyDescent="0.3">
      <c r="A18" t="str">
        <f>Mass!$B$1</f>
        <v>0.1.2</v>
      </c>
      <c r="B18" t="str">
        <f>Mass!$B$2</f>
        <v>Draft</v>
      </c>
      <c r="C18" t="str">
        <f>TEXT(Mass!$B$3,"yyyy-mm-dd")</f>
        <v>2026-05-16</v>
      </c>
      <c r="D18">
        <f>Mass!$B$4</f>
        <v>0</v>
      </c>
      <c r="E18" t="str">
        <f>Mass!$B$5</f>
        <v>Initial business jet baseline (Challenger 350 / Praetor 500 class)</v>
      </c>
      <c r="F18">
        <f>Mass!A36</f>
        <v>25</v>
      </c>
      <c r="G18" t="str">
        <f>Mass!B36</f>
        <v>Flight Deck Seats</v>
      </c>
      <c r="H18">
        <f>Mass!C36</f>
        <v>0</v>
      </c>
      <c r="I18">
        <f>Mass!D36</f>
        <v>2</v>
      </c>
      <c r="J18">
        <f>Mass!E36</f>
        <v>35</v>
      </c>
      <c r="K18">
        <f>Mass!F36</f>
        <v>70</v>
      </c>
      <c r="L18">
        <f>Mass!G36</f>
        <v>3.2</v>
      </c>
      <c r="M18">
        <f>Mass!H36</f>
        <v>0</v>
      </c>
      <c r="N18">
        <f>Mass!I36</f>
        <v>1.6</v>
      </c>
      <c r="O18">
        <f>Mass!J36</f>
        <v>224</v>
      </c>
      <c r="P18">
        <f>Mass!K36</f>
        <v>0</v>
      </c>
      <c r="Q18">
        <f>Mass!L36</f>
        <v>112</v>
      </c>
      <c r="R18" t="str">
        <f>Mass!M36</f>
        <v>2 crew</v>
      </c>
    </row>
    <row r="19" spans="1:18" x14ac:dyDescent="0.3">
      <c r="A19" t="str">
        <f>Mass!$B$1</f>
        <v>0.1.2</v>
      </c>
      <c r="B19" t="str">
        <f>Mass!$B$2</f>
        <v>Draft</v>
      </c>
      <c r="C19" t="str">
        <f>TEXT(Mass!$B$3,"yyyy-mm-dd")</f>
        <v>2026-05-16</v>
      </c>
      <c r="D19">
        <f>Mass!$B$4</f>
        <v>0</v>
      </c>
      <c r="E19" t="str">
        <f>Mass!$B$5</f>
        <v>Initial business jet baseline (Challenger 350 / Praetor 500 class)</v>
      </c>
      <c r="F19">
        <f>Mass!A37</f>
        <v>25</v>
      </c>
      <c r="G19" t="str">
        <f>Mass!B37</f>
        <v>Cabin Seats</v>
      </c>
      <c r="H19">
        <f>Mass!C37</f>
        <v>0</v>
      </c>
      <c r="I19">
        <f>Mass!D37</f>
        <v>9</v>
      </c>
      <c r="J19">
        <f>Mass!E37</f>
        <v>45</v>
      </c>
      <c r="K19">
        <f>Mass!F37</f>
        <v>405</v>
      </c>
      <c r="L19">
        <f>Mass!G37</f>
        <v>8.5</v>
      </c>
      <c r="M19">
        <f>Mass!H37</f>
        <v>0</v>
      </c>
      <c r="N19">
        <f>Mass!I37</f>
        <v>1.6</v>
      </c>
      <c r="O19">
        <f>Mass!J37</f>
        <v>3442.5</v>
      </c>
      <c r="P19">
        <f>Mass!K37</f>
        <v>0</v>
      </c>
      <c r="Q19">
        <f>Mass!L37</f>
        <v>648</v>
      </c>
      <c r="R19" t="str">
        <f>Mass!M37</f>
        <v>9 pax club + divan avg position</v>
      </c>
    </row>
    <row r="20" spans="1:18" x14ac:dyDescent="0.3">
      <c r="A20" t="str">
        <f>Mass!$B$1</f>
        <v>0.1.2</v>
      </c>
      <c r="B20" t="str">
        <f>Mass!$B$2</f>
        <v>Draft</v>
      </c>
      <c r="C20" t="str">
        <f>TEXT(Mass!$B$3,"yyyy-mm-dd")</f>
        <v>2026-05-16</v>
      </c>
      <c r="D20">
        <f>Mass!$B$4</f>
        <v>0</v>
      </c>
      <c r="E20" t="str">
        <f>Mass!$B$5</f>
        <v>Initial business jet baseline (Challenger 350 / Praetor 500 class)</v>
      </c>
      <c r="F20">
        <f>Mass!A38</f>
        <v>25</v>
      </c>
      <c r="G20" t="str">
        <f>Mass!B38</f>
        <v>Galley Fwd</v>
      </c>
      <c r="H20">
        <f>Mass!C38</f>
        <v>0</v>
      </c>
      <c r="I20">
        <f>Mass!D38</f>
        <v>1</v>
      </c>
      <c r="J20">
        <f>Mass!E38</f>
        <v>90</v>
      </c>
      <c r="K20">
        <f>Mass!F38</f>
        <v>90</v>
      </c>
      <c r="L20">
        <f>Mass!G38</f>
        <v>5</v>
      </c>
      <c r="M20">
        <f>Mass!H38</f>
        <v>-0.4</v>
      </c>
      <c r="N20">
        <f>Mass!I38</f>
        <v>1.7</v>
      </c>
      <c r="O20">
        <f>Mass!J38</f>
        <v>450</v>
      </c>
      <c r="P20">
        <f>Mass!K38</f>
        <v>-36</v>
      </c>
      <c r="Q20">
        <f>Mass!L38</f>
        <v>153</v>
      </c>
      <c r="R20">
        <f>Mass!M38</f>
        <v>0</v>
      </c>
    </row>
    <row r="21" spans="1:18" x14ac:dyDescent="0.3">
      <c r="A21" t="str">
        <f>Mass!$B$1</f>
        <v>0.1.2</v>
      </c>
      <c r="B21" t="str">
        <f>Mass!$B$2</f>
        <v>Draft</v>
      </c>
      <c r="C21" t="str">
        <f>TEXT(Mass!$B$3,"yyyy-mm-dd")</f>
        <v>2026-05-16</v>
      </c>
      <c r="D21">
        <f>Mass!$B$4</f>
        <v>0</v>
      </c>
      <c r="E21" t="str">
        <f>Mass!$B$5</f>
        <v>Initial business jet baseline (Challenger 350 / Praetor 500 class)</v>
      </c>
      <c r="F21">
        <f>Mass!A39</f>
        <v>25</v>
      </c>
      <c r="G21" t="str">
        <f>Mass!B39</f>
        <v>Galley Aft</v>
      </c>
      <c r="H21">
        <f>Mass!C39</f>
        <v>0</v>
      </c>
      <c r="I21">
        <f>Mass!D39</f>
        <v>1</v>
      </c>
      <c r="J21">
        <f>Mass!E39</f>
        <v>60</v>
      </c>
      <c r="K21">
        <f>Mass!F39</f>
        <v>60</v>
      </c>
      <c r="L21">
        <f>Mass!G39</f>
        <v>14</v>
      </c>
      <c r="M21">
        <f>Mass!H39</f>
        <v>0.4</v>
      </c>
      <c r="N21">
        <f>Mass!I39</f>
        <v>1.7</v>
      </c>
      <c r="O21">
        <f>Mass!J39</f>
        <v>840</v>
      </c>
      <c r="P21">
        <f>Mass!K39</f>
        <v>24</v>
      </c>
      <c r="Q21">
        <f>Mass!L39</f>
        <v>102</v>
      </c>
      <c r="R21">
        <f>Mass!M39</f>
        <v>0</v>
      </c>
    </row>
    <row r="22" spans="1:18" x14ac:dyDescent="0.3">
      <c r="A22" t="str">
        <f>Mass!$B$1</f>
        <v>0.1.2</v>
      </c>
      <c r="B22" t="str">
        <f>Mass!$B$2</f>
        <v>Draft</v>
      </c>
      <c r="C22" t="str">
        <f>TEXT(Mass!$B$3,"yyyy-mm-dd")</f>
        <v>2026-05-16</v>
      </c>
      <c r="D22">
        <f>Mass!$B$4</f>
        <v>0</v>
      </c>
      <c r="E22" t="str">
        <f>Mass!$B$5</f>
        <v>Initial business jet baseline (Challenger 350 / Praetor 500 class)</v>
      </c>
      <c r="F22">
        <f>Mass!A40</f>
        <v>25</v>
      </c>
      <c r="G22" t="str">
        <f>Mass!B40</f>
        <v>Lavatory Fwd</v>
      </c>
      <c r="H22">
        <f>Mass!C40</f>
        <v>0</v>
      </c>
      <c r="I22">
        <f>Mass!D40</f>
        <v>1</v>
      </c>
      <c r="J22">
        <f>Mass!E40</f>
        <v>40</v>
      </c>
      <c r="K22">
        <f>Mass!F40</f>
        <v>40</v>
      </c>
      <c r="L22">
        <f>Mass!G40</f>
        <v>5.5</v>
      </c>
      <c r="M22">
        <f>Mass!H40</f>
        <v>0.4</v>
      </c>
      <c r="N22">
        <f>Mass!I40</f>
        <v>1.7</v>
      </c>
      <c r="O22">
        <f>Mass!J40</f>
        <v>220</v>
      </c>
      <c r="P22">
        <f>Mass!K40</f>
        <v>16</v>
      </c>
      <c r="Q22">
        <f>Mass!L40</f>
        <v>68</v>
      </c>
      <c r="R22">
        <f>Mass!M40</f>
        <v>0</v>
      </c>
    </row>
    <row r="23" spans="1:18" x14ac:dyDescent="0.3">
      <c r="A23" t="str">
        <f>Mass!$B$1</f>
        <v>0.1.2</v>
      </c>
      <c r="B23" t="str">
        <f>Mass!$B$2</f>
        <v>Draft</v>
      </c>
      <c r="C23" t="str">
        <f>TEXT(Mass!$B$3,"yyyy-mm-dd")</f>
        <v>2026-05-16</v>
      </c>
      <c r="D23">
        <f>Mass!$B$4</f>
        <v>0</v>
      </c>
      <c r="E23" t="str">
        <f>Mass!$B$5</f>
        <v>Initial business jet baseline (Challenger 350 / Praetor 500 class)</v>
      </c>
      <c r="F23">
        <f>Mass!A41</f>
        <v>25</v>
      </c>
      <c r="G23" t="str">
        <f>Mass!B41</f>
        <v>Lavatory Aft</v>
      </c>
      <c r="H23">
        <f>Mass!C41</f>
        <v>0</v>
      </c>
      <c r="I23">
        <f>Mass!D41</f>
        <v>1</v>
      </c>
      <c r="J23">
        <f>Mass!E41</f>
        <v>55</v>
      </c>
      <c r="K23">
        <f>Mass!F41</f>
        <v>55</v>
      </c>
      <c r="L23">
        <f>Mass!G41</f>
        <v>15.5</v>
      </c>
      <c r="M23">
        <f>Mass!H41</f>
        <v>0</v>
      </c>
      <c r="N23">
        <f>Mass!I41</f>
        <v>1.7</v>
      </c>
      <c r="O23">
        <f>Mass!J41</f>
        <v>852.5</v>
      </c>
      <c r="P23">
        <f>Mass!K41</f>
        <v>0</v>
      </c>
      <c r="Q23">
        <f>Mass!L41</f>
        <v>93.5</v>
      </c>
      <c r="R23">
        <f>Mass!M41</f>
        <v>0</v>
      </c>
    </row>
    <row r="24" spans="1:18" x14ac:dyDescent="0.3">
      <c r="A24" t="str">
        <f>Mass!$B$1</f>
        <v>0.1.2</v>
      </c>
      <c r="B24" t="str">
        <f>Mass!$B$2</f>
        <v>Draft</v>
      </c>
      <c r="C24" t="str">
        <f>TEXT(Mass!$B$3,"yyyy-mm-dd")</f>
        <v>2026-05-16</v>
      </c>
      <c r="D24">
        <f>Mass!$B$4</f>
        <v>0</v>
      </c>
      <c r="E24" t="str">
        <f>Mass!$B$5</f>
        <v>Initial business jet baseline (Challenger 350 / Praetor 500 class)</v>
      </c>
      <c r="F24">
        <f>Mass!A42</f>
        <v>25</v>
      </c>
      <c r="G24" t="str">
        <f>Mass!B42</f>
        <v>Overhead Bins</v>
      </c>
      <c r="H24">
        <f>Mass!C42</f>
        <v>0</v>
      </c>
      <c r="I24">
        <f>Mass!D42</f>
        <v>1</v>
      </c>
      <c r="J24">
        <f>Mass!E42</f>
        <v>120</v>
      </c>
      <c r="K24">
        <f>Mass!F42</f>
        <v>120</v>
      </c>
      <c r="L24">
        <f>Mass!G42</f>
        <v>8.5</v>
      </c>
      <c r="M24">
        <f>Mass!H42</f>
        <v>0</v>
      </c>
      <c r="N24">
        <f>Mass!I42</f>
        <v>2.4</v>
      </c>
      <c r="O24">
        <f>Mass!J42</f>
        <v>1020</v>
      </c>
      <c r="P24">
        <f>Mass!K42</f>
        <v>0</v>
      </c>
      <c r="Q24">
        <f>Mass!L42</f>
        <v>288</v>
      </c>
      <c r="R24" t="str">
        <f>Mass!M42</f>
        <v>Distributed, lumped at cabin centroid</v>
      </c>
    </row>
    <row r="25" spans="1:18" x14ac:dyDescent="0.3">
      <c r="A25" t="str">
        <f>Mass!$B$1</f>
        <v>0.1.2</v>
      </c>
      <c r="B25" t="str">
        <f>Mass!$B$2</f>
        <v>Draft</v>
      </c>
      <c r="C25" t="str">
        <f>TEXT(Mass!$B$3,"yyyy-mm-dd")</f>
        <v>2026-05-16</v>
      </c>
      <c r="D25">
        <f>Mass!$B$4</f>
        <v>0</v>
      </c>
      <c r="E25" t="str">
        <f>Mass!$B$5</f>
        <v>Initial business jet baseline (Challenger 350 / Praetor 500 class)</v>
      </c>
      <c r="F25">
        <f>Mass!A45</f>
        <v>26</v>
      </c>
      <c r="G25" t="str">
        <f>Mass!B45</f>
        <v>Engine 1 Fire Bottle</v>
      </c>
      <c r="H25">
        <f>Mass!C45</f>
        <v>0</v>
      </c>
      <c r="I25">
        <f>Mass!D45</f>
        <v>1</v>
      </c>
      <c r="J25">
        <f>Mass!E45</f>
        <v>8</v>
      </c>
      <c r="K25">
        <f>Mass!F45</f>
        <v>8</v>
      </c>
      <c r="L25">
        <f>Mass!G45</f>
        <v>12</v>
      </c>
      <c r="M25">
        <f>Mass!H45</f>
        <v>-0.6</v>
      </c>
      <c r="N25">
        <f>Mass!I45</f>
        <v>2.2999999999999998</v>
      </c>
      <c r="O25">
        <f>Mass!J45</f>
        <v>96</v>
      </c>
      <c r="P25">
        <f>Mass!K45</f>
        <v>-4.8</v>
      </c>
      <c r="Q25">
        <f>Mass!L45</f>
        <v>18.399999999999999</v>
      </c>
      <c r="R25">
        <f>Mass!M45</f>
        <v>0</v>
      </c>
    </row>
    <row r="26" spans="1:18" x14ac:dyDescent="0.3">
      <c r="A26" t="str">
        <f>Mass!$B$1</f>
        <v>0.1.2</v>
      </c>
      <c r="B26" t="str">
        <f>Mass!$B$2</f>
        <v>Draft</v>
      </c>
      <c r="C26" t="str">
        <f>TEXT(Mass!$B$3,"yyyy-mm-dd")</f>
        <v>2026-05-16</v>
      </c>
      <c r="D26">
        <f>Mass!$B$4</f>
        <v>0</v>
      </c>
      <c r="E26" t="str">
        <f>Mass!$B$5</f>
        <v>Initial business jet baseline (Challenger 350 / Praetor 500 class)</v>
      </c>
      <c r="F26">
        <f>Mass!A46</f>
        <v>26</v>
      </c>
      <c r="G26" t="str">
        <f>Mass!B46</f>
        <v>Engine 2 Fire Bottle</v>
      </c>
      <c r="H26">
        <f>Mass!C46</f>
        <v>0</v>
      </c>
      <c r="I26">
        <f>Mass!D46</f>
        <v>1</v>
      </c>
      <c r="J26">
        <f>Mass!E46</f>
        <v>8</v>
      </c>
      <c r="K26">
        <f>Mass!F46</f>
        <v>8</v>
      </c>
      <c r="L26">
        <f>Mass!G46</f>
        <v>12</v>
      </c>
      <c r="M26">
        <f>Mass!H46</f>
        <v>0.6</v>
      </c>
      <c r="N26">
        <f>Mass!I46</f>
        <v>2.2999999999999998</v>
      </c>
      <c r="O26">
        <f>Mass!J46</f>
        <v>96</v>
      </c>
      <c r="P26">
        <f>Mass!K46</f>
        <v>4.8</v>
      </c>
      <c r="Q26">
        <f>Mass!L46</f>
        <v>18.399999999999999</v>
      </c>
      <c r="R26">
        <f>Mass!M46</f>
        <v>0</v>
      </c>
    </row>
    <row r="27" spans="1:18" x14ac:dyDescent="0.3">
      <c r="A27" t="str">
        <f>Mass!$B$1</f>
        <v>0.1.2</v>
      </c>
      <c r="B27" t="str">
        <f>Mass!$B$2</f>
        <v>Draft</v>
      </c>
      <c r="C27" t="str">
        <f>TEXT(Mass!$B$3,"yyyy-mm-dd")</f>
        <v>2026-05-16</v>
      </c>
      <c r="D27">
        <f>Mass!$B$4</f>
        <v>0</v>
      </c>
      <c r="E27" t="str">
        <f>Mass!$B$5</f>
        <v>Initial business jet baseline (Challenger 350 / Praetor 500 class)</v>
      </c>
      <c r="F27">
        <f>Mass!A47</f>
        <v>26</v>
      </c>
      <c r="G27" t="str">
        <f>Mass!B47</f>
        <v>APU Fire Bottle</v>
      </c>
      <c r="H27">
        <f>Mass!C47</f>
        <v>0</v>
      </c>
      <c r="I27">
        <f>Mass!D47</f>
        <v>1</v>
      </c>
      <c r="J27">
        <f>Mass!E47</f>
        <v>6</v>
      </c>
      <c r="K27">
        <f>Mass!F47</f>
        <v>6</v>
      </c>
      <c r="L27">
        <f>Mass!G47</f>
        <v>19</v>
      </c>
      <c r="M27">
        <f>Mass!H47</f>
        <v>0</v>
      </c>
      <c r="N27">
        <f>Mass!I47</f>
        <v>2.2999999999999998</v>
      </c>
      <c r="O27">
        <f>Mass!J47</f>
        <v>114</v>
      </c>
      <c r="P27">
        <f>Mass!K47</f>
        <v>0</v>
      </c>
      <c r="Q27">
        <f>Mass!L47</f>
        <v>13.799999999999999</v>
      </c>
      <c r="R27">
        <f>Mass!M47</f>
        <v>0</v>
      </c>
    </row>
    <row r="28" spans="1:18" x14ac:dyDescent="0.3">
      <c r="A28" t="str">
        <f>Mass!$B$1</f>
        <v>0.1.2</v>
      </c>
      <c r="B28" t="str">
        <f>Mass!$B$2</f>
        <v>Draft</v>
      </c>
      <c r="C28" t="str">
        <f>TEXT(Mass!$B$3,"yyyy-mm-dd")</f>
        <v>2026-05-16</v>
      </c>
      <c r="D28">
        <f>Mass!$B$4</f>
        <v>0</v>
      </c>
      <c r="E28" t="str">
        <f>Mass!$B$5</f>
        <v>Initial business jet baseline (Challenger 350 / Praetor 500 class)</v>
      </c>
      <c r="F28">
        <f>Mass!A48</f>
        <v>26</v>
      </c>
      <c r="G28" t="str">
        <f>Mass!B48</f>
        <v>Cargo Fire Bottles</v>
      </c>
      <c r="H28">
        <f>Mass!C48</f>
        <v>0</v>
      </c>
      <c r="I28">
        <f>Mass!D48</f>
        <v>2</v>
      </c>
      <c r="J28">
        <f>Mass!E48</f>
        <v>7</v>
      </c>
      <c r="K28">
        <f>Mass!F48</f>
        <v>14</v>
      </c>
      <c r="L28">
        <f>Mass!G48</f>
        <v>16.5</v>
      </c>
      <c r="M28">
        <f>Mass!H48</f>
        <v>0</v>
      </c>
      <c r="N28">
        <f>Mass!I48</f>
        <v>1</v>
      </c>
      <c r="O28">
        <f>Mass!J48</f>
        <v>231</v>
      </c>
      <c r="P28">
        <f>Mass!K48</f>
        <v>0</v>
      </c>
      <c r="Q28">
        <f>Mass!L48</f>
        <v>14</v>
      </c>
      <c r="R28">
        <f>Mass!M48</f>
        <v>0</v>
      </c>
    </row>
    <row r="29" spans="1:18" x14ac:dyDescent="0.3">
      <c r="A29" t="str">
        <f>Mass!$B$1</f>
        <v>0.1.2</v>
      </c>
      <c r="B29" t="str">
        <f>Mass!$B$2</f>
        <v>Draft</v>
      </c>
      <c r="C29" t="str">
        <f>TEXT(Mass!$B$3,"yyyy-mm-dd")</f>
        <v>2026-05-16</v>
      </c>
      <c r="D29">
        <f>Mass!$B$4</f>
        <v>0</v>
      </c>
      <c r="E29" t="str">
        <f>Mass!$B$5</f>
        <v>Initial business jet baseline (Challenger 350 / Praetor 500 class)</v>
      </c>
      <c r="F29">
        <f>Mass!A51</f>
        <v>27</v>
      </c>
      <c r="G29" t="str">
        <f>Mass!B51</f>
        <v>Aileron LH</v>
      </c>
      <c r="H29">
        <f>Mass!C51</f>
        <v>0</v>
      </c>
      <c r="I29">
        <f>Mass!D51</f>
        <v>1</v>
      </c>
      <c r="J29">
        <f>Mass!E51</f>
        <v>18</v>
      </c>
      <c r="K29">
        <f>Mass!F51</f>
        <v>18</v>
      </c>
      <c r="L29">
        <f>Mass!G51</f>
        <v>11</v>
      </c>
      <c r="M29">
        <f>Mass!H51</f>
        <v>-7.5</v>
      </c>
      <c r="N29">
        <f>Mass!I51</f>
        <v>2.2000000000000002</v>
      </c>
      <c r="O29">
        <f>Mass!J51</f>
        <v>198</v>
      </c>
      <c r="P29">
        <f>Mass!K51</f>
        <v>-135</v>
      </c>
      <c r="Q29">
        <f>Mass!L51</f>
        <v>39.6</v>
      </c>
      <c r="R29">
        <f>Mass!M51</f>
        <v>0</v>
      </c>
    </row>
    <row r="30" spans="1:18" x14ac:dyDescent="0.3">
      <c r="A30" t="str">
        <f>Mass!$B$1</f>
        <v>0.1.2</v>
      </c>
      <c r="B30" t="str">
        <f>Mass!$B$2</f>
        <v>Draft</v>
      </c>
      <c r="C30" t="str">
        <f>TEXT(Mass!$B$3,"yyyy-mm-dd")</f>
        <v>2026-05-16</v>
      </c>
      <c r="D30">
        <f>Mass!$B$4</f>
        <v>0</v>
      </c>
      <c r="E30" t="str">
        <f>Mass!$B$5</f>
        <v>Initial business jet baseline (Challenger 350 / Praetor 500 class)</v>
      </c>
      <c r="F30">
        <f>Mass!A52</f>
        <v>27</v>
      </c>
      <c r="G30" t="str">
        <f>Mass!B52</f>
        <v>Aileron RH</v>
      </c>
      <c r="H30">
        <f>Mass!C52</f>
        <v>0</v>
      </c>
      <c r="I30">
        <f>Mass!D52</f>
        <v>1</v>
      </c>
      <c r="J30">
        <f>Mass!E52</f>
        <v>18</v>
      </c>
      <c r="K30">
        <f>Mass!F52</f>
        <v>18</v>
      </c>
      <c r="L30">
        <f>Mass!G52</f>
        <v>11</v>
      </c>
      <c r="M30">
        <f>Mass!H52</f>
        <v>7.5</v>
      </c>
      <c r="N30">
        <f>Mass!I52</f>
        <v>2.2000000000000002</v>
      </c>
      <c r="O30">
        <f>Mass!J52</f>
        <v>198</v>
      </c>
      <c r="P30">
        <f>Mass!K52</f>
        <v>135</v>
      </c>
      <c r="Q30">
        <f>Mass!L52</f>
        <v>39.6</v>
      </c>
      <c r="R30">
        <f>Mass!M52</f>
        <v>0</v>
      </c>
    </row>
    <row r="31" spans="1:18" x14ac:dyDescent="0.3">
      <c r="A31" t="str">
        <f>Mass!$B$1</f>
        <v>0.1.2</v>
      </c>
      <c r="B31" t="str">
        <f>Mass!$B$2</f>
        <v>Draft</v>
      </c>
      <c r="C31" t="str">
        <f>TEXT(Mass!$B$3,"yyyy-mm-dd")</f>
        <v>2026-05-16</v>
      </c>
      <c r="D31">
        <f>Mass!$B$4</f>
        <v>0</v>
      </c>
      <c r="E31" t="str">
        <f>Mass!$B$5</f>
        <v>Initial business jet baseline (Challenger 350 / Praetor 500 class)</v>
      </c>
      <c r="F31">
        <f>Mass!A53</f>
        <v>27</v>
      </c>
      <c r="G31" t="str">
        <f>Mass!B53</f>
        <v>Elevator LH</v>
      </c>
      <c r="H31">
        <f>Mass!C53</f>
        <v>0</v>
      </c>
      <c r="I31">
        <f>Mass!D53</f>
        <v>1</v>
      </c>
      <c r="J31">
        <f>Mass!E53</f>
        <v>22</v>
      </c>
      <c r="K31">
        <f>Mass!F53</f>
        <v>22</v>
      </c>
      <c r="L31">
        <f>Mass!G53</f>
        <v>19.5</v>
      </c>
      <c r="M31">
        <f>Mass!H53</f>
        <v>-2</v>
      </c>
      <c r="N31">
        <f>Mass!I53</f>
        <v>5</v>
      </c>
      <c r="O31">
        <f>Mass!J53</f>
        <v>429</v>
      </c>
      <c r="P31">
        <f>Mass!K53</f>
        <v>-44</v>
      </c>
      <c r="Q31">
        <f>Mass!L53</f>
        <v>110</v>
      </c>
      <c r="R31" t="str">
        <f>Mass!M53</f>
        <v>T-tail</v>
      </c>
    </row>
    <row r="32" spans="1:18" x14ac:dyDescent="0.3">
      <c r="A32" t="str">
        <f>Mass!$B$1</f>
        <v>0.1.2</v>
      </c>
      <c r="B32" t="str">
        <f>Mass!$B$2</f>
        <v>Draft</v>
      </c>
      <c r="C32" t="str">
        <f>TEXT(Mass!$B$3,"yyyy-mm-dd")</f>
        <v>2026-05-16</v>
      </c>
      <c r="D32">
        <f>Mass!$B$4</f>
        <v>0</v>
      </c>
      <c r="E32" t="str">
        <f>Mass!$B$5</f>
        <v>Initial business jet baseline (Challenger 350 / Praetor 500 class)</v>
      </c>
      <c r="F32">
        <f>Mass!A54</f>
        <v>27</v>
      </c>
      <c r="G32" t="str">
        <f>Mass!B54</f>
        <v>Elevator RH</v>
      </c>
      <c r="H32">
        <f>Mass!C54</f>
        <v>0</v>
      </c>
      <c r="I32">
        <f>Mass!D54</f>
        <v>1</v>
      </c>
      <c r="J32">
        <f>Mass!E54</f>
        <v>22</v>
      </c>
      <c r="K32">
        <f>Mass!F54</f>
        <v>22</v>
      </c>
      <c r="L32">
        <f>Mass!G54</f>
        <v>19.5</v>
      </c>
      <c r="M32">
        <f>Mass!H54</f>
        <v>2</v>
      </c>
      <c r="N32">
        <f>Mass!I54</f>
        <v>5</v>
      </c>
      <c r="O32">
        <f>Mass!J54</f>
        <v>429</v>
      </c>
      <c r="P32">
        <f>Mass!K54</f>
        <v>44</v>
      </c>
      <c r="Q32">
        <f>Mass!L54</f>
        <v>110</v>
      </c>
      <c r="R32" t="str">
        <f>Mass!M54</f>
        <v>T-tail</v>
      </c>
    </row>
    <row r="33" spans="1:18" x14ac:dyDescent="0.3">
      <c r="A33" t="str">
        <f>Mass!$B$1</f>
        <v>0.1.2</v>
      </c>
      <c r="B33" t="str">
        <f>Mass!$B$2</f>
        <v>Draft</v>
      </c>
      <c r="C33" t="str">
        <f>TEXT(Mass!$B$3,"yyyy-mm-dd")</f>
        <v>2026-05-16</v>
      </c>
      <c r="D33">
        <f>Mass!$B$4</f>
        <v>0</v>
      </c>
      <c r="E33" t="str">
        <f>Mass!$B$5</f>
        <v>Initial business jet baseline (Challenger 350 / Praetor 500 class)</v>
      </c>
      <c r="F33">
        <f>Mass!A55</f>
        <v>27</v>
      </c>
      <c r="G33" t="str">
        <f>Mass!B55</f>
        <v>Rudder</v>
      </c>
      <c r="H33">
        <f>Mass!C55</f>
        <v>0</v>
      </c>
      <c r="I33">
        <f>Mass!D55</f>
        <v>1</v>
      </c>
      <c r="J33">
        <f>Mass!E55</f>
        <v>30</v>
      </c>
      <c r="K33">
        <f>Mass!F55</f>
        <v>30</v>
      </c>
      <c r="L33">
        <f>Mass!G55</f>
        <v>19.5</v>
      </c>
      <c r="M33">
        <f>Mass!H55</f>
        <v>0</v>
      </c>
      <c r="N33">
        <f>Mass!I55</f>
        <v>4.2</v>
      </c>
      <c r="O33">
        <f>Mass!J55</f>
        <v>585</v>
      </c>
      <c r="P33">
        <f>Mass!K55</f>
        <v>0</v>
      </c>
      <c r="Q33">
        <f>Mass!L55</f>
        <v>126</v>
      </c>
      <c r="R33">
        <f>Mass!M55</f>
        <v>0</v>
      </c>
    </row>
    <row r="34" spans="1:18" x14ac:dyDescent="0.3">
      <c r="A34" t="str">
        <f>Mass!$B$1</f>
        <v>0.1.2</v>
      </c>
      <c r="B34" t="str">
        <f>Mass!$B$2</f>
        <v>Draft</v>
      </c>
      <c r="C34" t="str">
        <f>TEXT(Mass!$B$3,"yyyy-mm-dd")</f>
        <v>2026-05-16</v>
      </c>
      <c r="D34">
        <f>Mass!$B$4</f>
        <v>0</v>
      </c>
      <c r="E34" t="str">
        <f>Mass!$B$5</f>
        <v>Initial business jet baseline (Challenger 350 / Praetor 500 class)</v>
      </c>
      <c r="F34">
        <f>Mass!A56</f>
        <v>27</v>
      </c>
      <c r="G34" t="str">
        <f>Mass!B56</f>
        <v>Flap LH</v>
      </c>
      <c r="H34">
        <f>Mass!C56</f>
        <v>0</v>
      </c>
      <c r="I34">
        <f>Mass!D56</f>
        <v>1</v>
      </c>
      <c r="J34">
        <f>Mass!E56</f>
        <v>55</v>
      </c>
      <c r="K34">
        <f>Mass!F56</f>
        <v>55</v>
      </c>
      <c r="L34">
        <f>Mass!G56</f>
        <v>10.5</v>
      </c>
      <c r="M34">
        <f>Mass!H56</f>
        <v>-4</v>
      </c>
      <c r="N34">
        <f>Mass!I56</f>
        <v>2</v>
      </c>
      <c r="O34">
        <f>Mass!J56</f>
        <v>577.5</v>
      </c>
      <c r="P34">
        <f>Mass!K56</f>
        <v>-220</v>
      </c>
      <c r="Q34">
        <f>Mass!L56</f>
        <v>110</v>
      </c>
      <c r="R34">
        <f>Mass!M56</f>
        <v>0</v>
      </c>
    </row>
    <row r="35" spans="1:18" x14ac:dyDescent="0.3">
      <c r="A35" t="str">
        <f>Mass!$B$1</f>
        <v>0.1.2</v>
      </c>
      <c r="B35" t="str">
        <f>Mass!$B$2</f>
        <v>Draft</v>
      </c>
      <c r="C35" t="str">
        <f>TEXT(Mass!$B$3,"yyyy-mm-dd")</f>
        <v>2026-05-16</v>
      </c>
      <c r="D35">
        <f>Mass!$B$4</f>
        <v>0</v>
      </c>
      <c r="E35" t="str">
        <f>Mass!$B$5</f>
        <v>Initial business jet baseline (Challenger 350 / Praetor 500 class)</v>
      </c>
      <c r="F35">
        <f>Mass!A57</f>
        <v>27</v>
      </c>
      <c r="G35" t="str">
        <f>Mass!B57</f>
        <v>Flap RH</v>
      </c>
      <c r="H35">
        <f>Mass!C57</f>
        <v>0</v>
      </c>
      <c r="I35">
        <f>Mass!D57</f>
        <v>1</v>
      </c>
      <c r="J35">
        <f>Mass!E57</f>
        <v>55</v>
      </c>
      <c r="K35">
        <f>Mass!F57</f>
        <v>55</v>
      </c>
      <c r="L35">
        <f>Mass!G57</f>
        <v>10.5</v>
      </c>
      <c r="M35">
        <f>Mass!H57</f>
        <v>4</v>
      </c>
      <c r="N35">
        <f>Mass!I57</f>
        <v>2</v>
      </c>
      <c r="O35">
        <f>Mass!J57</f>
        <v>577.5</v>
      </c>
      <c r="P35">
        <f>Mass!K57</f>
        <v>220</v>
      </c>
      <c r="Q35">
        <f>Mass!L57</f>
        <v>110</v>
      </c>
      <c r="R35">
        <f>Mass!M57</f>
        <v>0</v>
      </c>
    </row>
    <row r="36" spans="1:18" x14ac:dyDescent="0.3">
      <c r="A36" t="str">
        <f>Mass!$B$1</f>
        <v>0.1.2</v>
      </c>
      <c r="B36" t="str">
        <f>Mass!$B$2</f>
        <v>Draft</v>
      </c>
      <c r="C36" t="str">
        <f>TEXT(Mass!$B$3,"yyyy-mm-dd")</f>
        <v>2026-05-16</v>
      </c>
      <c r="D36">
        <f>Mass!$B$4</f>
        <v>0</v>
      </c>
      <c r="E36" t="str">
        <f>Mass!$B$5</f>
        <v>Initial business jet baseline (Challenger 350 / Praetor 500 class)</v>
      </c>
      <c r="F36">
        <f>Mass!A58</f>
        <v>27</v>
      </c>
      <c r="G36" t="str">
        <f>Mass!B58</f>
        <v>Spoilers</v>
      </c>
      <c r="H36">
        <f>Mass!C58</f>
        <v>0</v>
      </c>
      <c r="I36">
        <f>Mass!D58</f>
        <v>4</v>
      </c>
      <c r="J36">
        <f>Mass!E58</f>
        <v>12</v>
      </c>
      <c r="K36">
        <f>Mass!F58</f>
        <v>48</v>
      </c>
      <c r="L36">
        <f>Mass!G58</f>
        <v>10.8</v>
      </c>
      <c r="M36">
        <f>Mass!H58</f>
        <v>0</v>
      </c>
      <c r="N36">
        <f>Mass!I58</f>
        <v>2.1</v>
      </c>
      <c r="O36">
        <f>Mass!J58</f>
        <v>518.40000000000009</v>
      </c>
      <c r="P36">
        <f>Mass!K58</f>
        <v>0</v>
      </c>
      <c r="Q36">
        <f>Mass!L58</f>
        <v>100.80000000000001</v>
      </c>
      <c r="R36" t="str">
        <f>Mass!M58</f>
        <v>2 per wing</v>
      </c>
    </row>
    <row r="37" spans="1:18" x14ac:dyDescent="0.3">
      <c r="A37" t="str">
        <f>Mass!$B$1</f>
        <v>0.1.2</v>
      </c>
      <c r="B37" t="str">
        <f>Mass!$B$2</f>
        <v>Draft</v>
      </c>
      <c r="C37" t="str">
        <f>TEXT(Mass!$B$3,"yyyy-mm-dd")</f>
        <v>2026-05-16</v>
      </c>
      <c r="D37">
        <f>Mass!$B$4</f>
        <v>0</v>
      </c>
      <c r="E37" t="str">
        <f>Mass!$B$5</f>
        <v>Initial business jet baseline (Challenger 350 / Praetor 500 class)</v>
      </c>
      <c r="F37">
        <f>Mass!A59</f>
        <v>27</v>
      </c>
      <c r="G37" t="str">
        <f>Mass!B59</f>
        <v>PCU Assemblies</v>
      </c>
      <c r="H37">
        <f>Mass!C59</f>
        <v>0</v>
      </c>
      <c r="I37">
        <f>Mass!D59</f>
        <v>8</v>
      </c>
      <c r="J37">
        <f>Mass!E59</f>
        <v>10</v>
      </c>
      <c r="K37">
        <f>Mass!F59</f>
        <v>80</v>
      </c>
      <c r="L37">
        <f>Mass!G59</f>
        <v>12</v>
      </c>
      <c r="M37">
        <f>Mass!H59</f>
        <v>0</v>
      </c>
      <c r="N37">
        <f>Mass!I59</f>
        <v>2.5</v>
      </c>
      <c r="O37">
        <f>Mass!J59</f>
        <v>960</v>
      </c>
      <c r="P37">
        <f>Mass!K59</f>
        <v>0</v>
      </c>
      <c r="Q37">
        <f>Mass!L59</f>
        <v>200</v>
      </c>
      <c r="R37" t="str">
        <f>Mass!M59</f>
        <v>Distributed</v>
      </c>
    </row>
    <row r="38" spans="1:18" x14ac:dyDescent="0.3">
      <c r="A38" t="str">
        <f>Mass!$B$1</f>
        <v>0.1.2</v>
      </c>
      <c r="B38" t="str">
        <f>Mass!$B$2</f>
        <v>Draft</v>
      </c>
      <c r="C38" t="str">
        <f>TEXT(Mass!$B$3,"yyyy-mm-dd")</f>
        <v>2026-05-16</v>
      </c>
      <c r="D38">
        <f>Mass!$B$4</f>
        <v>0</v>
      </c>
      <c r="E38" t="str">
        <f>Mass!$B$5</f>
        <v>Initial business jet baseline (Challenger 350 / Praetor 500 class)</v>
      </c>
      <c r="F38">
        <f>Mass!A62</f>
        <v>28</v>
      </c>
      <c r="G38" t="str">
        <f>Mass!B62</f>
        <v>Fuel Tank LH (full)</v>
      </c>
      <c r="H38">
        <f>Mass!C62</f>
        <v>0</v>
      </c>
      <c r="I38">
        <f>Mass!D62</f>
        <v>1</v>
      </c>
      <c r="J38">
        <f>Mass!E62</f>
        <v>2500</v>
      </c>
      <c r="K38">
        <f>Mass!F62</f>
        <v>2500</v>
      </c>
      <c r="L38">
        <f>Mass!G62</f>
        <v>10.5</v>
      </c>
      <c r="M38">
        <f>Mass!H62</f>
        <v>-3</v>
      </c>
      <c r="N38">
        <f>Mass!I62</f>
        <v>2</v>
      </c>
      <c r="O38">
        <f>Mass!J62</f>
        <v>26250</v>
      </c>
      <c r="P38">
        <f>Mass!K62</f>
        <v>-7500</v>
      </c>
      <c r="Q38">
        <f>Mass!L62</f>
        <v>5000</v>
      </c>
      <c r="R38" t="str">
        <f>Mass!M62</f>
        <v>Integral wing tank, ~3100 L Jet A</v>
      </c>
    </row>
    <row r="39" spans="1:18" x14ac:dyDescent="0.3">
      <c r="A39" t="str">
        <f>Mass!$B$1</f>
        <v>0.1.2</v>
      </c>
      <c r="B39" t="str">
        <f>Mass!$B$2</f>
        <v>Draft</v>
      </c>
      <c r="C39" t="str">
        <f>TEXT(Mass!$B$3,"yyyy-mm-dd")</f>
        <v>2026-05-16</v>
      </c>
      <c r="D39">
        <f>Mass!$B$4</f>
        <v>0</v>
      </c>
      <c r="E39" t="str">
        <f>Mass!$B$5</f>
        <v>Initial business jet baseline (Challenger 350 / Praetor 500 class)</v>
      </c>
      <c r="F39">
        <f>Mass!A63</f>
        <v>28</v>
      </c>
      <c r="G39" t="str">
        <f>Mass!B63</f>
        <v>Fuel Tank RH (full)</v>
      </c>
      <c r="H39">
        <f>Mass!C63</f>
        <v>0</v>
      </c>
      <c r="I39">
        <f>Mass!D63</f>
        <v>1</v>
      </c>
      <c r="J39">
        <f>Mass!E63</f>
        <v>2500</v>
      </c>
      <c r="K39">
        <f>Mass!F63</f>
        <v>2500</v>
      </c>
      <c r="L39">
        <f>Mass!G63</f>
        <v>10.5</v>
      </c>
      <c r="M39">
        <f>Mass!H63</f>
        <v>3</v>
      </c>
      <c r="N39">
        <f>Mass!I63</f>
        <v>2</v>
      </c>
      <c r="O39">
        <f>Mass!J63</f>
        <v>26250</v>
      </c>
      <c r="P39">
        <f>Mass!K63</f>
        <v>7500</v>
      </c>
      <c r="Q39">
        <f>Mass!L63</f>
        <v>5000</v>
      </c>
      <c r="R39" t="str">
        <f>Mass!M63</f>
        <v>Integral wing tank, ~3100 L Jet A</v>
      </c>
    </row>
    <row r="40" spans="1:18" x14ac:dyDescent="0.3">
      <c r="A40" t="str">
        <f>Mass!$B$1</f>
        <v>0.1.2</v>
      </c>
      <c r="B40" t="str">
        <f>Mass!$B$2</f>
        <v>Draft</v>
      </c>
      <c r="C40" t="str">
        <f>TEXT(Mass!$B$3,"yyyy-mm-dd")</f>
        <v>2026-05-16</v>
      </c>
      <c r="D40">
        <f>Mass!$B$4</f>
        <v>0</v>
      </c>
      <c r="E40" t="str">
        <f>Mass!$B$5</f>
        <v>Initial business jet baseline (Challenger 350 / Praetor 500 class)</v>
      </c>
      <c r="F40">
        <f>Mass!A64</f>
        <v>28</v>
      </c>
      <c r="G40" t="str">
        <f>Mass!B64</f>
        <v>Center Tank (full)</v>
      </c>
      <c r="H40">
        <f>Mass!C64</f>
        <v>0</v>
      </c>
      <c r="I40">
        <f>Mass!D64</f>
        <v>1</v>
      </c>
      <c r="J40">
        <f>Mass!E64</f>
        <v>1300</v>
      </c>
      <c r="K40">
        <f>Mass!F64</f>
        <v>1300</v>
      </c>
      <c r="L40">
        <f>Mass!G64</f>
        <v>10</v>
      </c>
      <c r="M40">
        <f>Mass!H64</f>
        <v>0</v>
      </c>
      <c r="N40">
        <f>Mass!I64</f>
        <v>1.6</v>
      </c>
      <c r="O40">
        <f>Mass!J64</f>
        <v>13000</v>
      </c>
      <c r="P40">
        <f>Mass!K64</f>
        <v>0</v>
      </c>
      <c r="Q40">
        <f>Mass!L64</f>
        <v>2080</v>
      </c>
      <c r="R40" t="str">
        <f>Mass!M64</f>
        <v>Wing center section</v>
      </c>
    </row>
    <row r="41" spans="1:18" x14ac:dyDescent="0.3">
      <c r="A41" t="str">
        <f>Mass!$B$1</f>
        <v>0.1.2</v>
      </c>
      <c r="B41" t="str">
        <f>Mass!$B$2</f>
        <v>Draft</v>
      </c>
      <c r="C41" t="str">
        <f>TEXT(Mass!$B$3,"yyyy-mm-dd")</f>
        <v>2026-05-16</v>
      </c>
      <c r="D41">
        <f>Mass!$B$4</f>
        <v>0</v>
      </c>
      <c r="E41" t="str">
        <f>Mass!$B$5</f>
        <v>Initial business jet baseline (Challenger 350 / Praetor 500 class)</v>
      </c>
      <c r="F41">
        <f>Mass!A65</f>
        <v>28</v>
      </c>
      <c r="G41" t="str">
        <f>Mass!B65</f>
        <v>Boost Pumps</v>
      </c>
      <c r="H41">
        <f>Mass!C65</f>
        <v>0</v>
      </c>
      <c r="I41">
        <f>Mass!D65</f>
        <v>4</v>
      </c>
      <c r="J41">
        <f>Mass!E65</f>
        <v>6</v>
      </c>
      <c r="K41">
        <f>Mass!F65</f>
        <v>24</v>
      </c>
      <c r="L41">
        <f>Mass!G65</f>
        <v>10.5</v>
      </c>
      <c r="M41">
        <f>Mass!H65</f>
        <v>0</v>
      </c>
      <c r="N41">
        <f>Mass!I65</f>
        <v>1.8</v>
      </c>
      <c r="O41">
        <f>Mass!J65</f>
        <v>252</v>
      </c>
      <c r="P41">
        <f>Mass!K65</f>
        <v>0</v>
      </c>
      <c r="Q41">
        <f>Mass!L65</f>
        <v>43.2</v>
      </c>
      <c r="R41">
        <f>Mass!M65</f>
        <v>0</v>
      </c>
    </row>
    <row r="42" spans="1:18" x14ac:dyDescent="0.3">
      <c r="A42" t="str">
        <f>Mass!$B$1</f>
        <v>0.1.2</v>
      </c>
      <c r="B42" t="str">
        <f>Mass!$B$2</f>
        <v>Draft</v>
      </c>
      <c r="C42" t="str">
        <f>TEXT(Mass!$B$3,"yyyy-mm-dd")</f>
        <v>2026-05-16</v>
      </c>
      <c r="D42">
        <f>Mass!$B$4</f>
        <v>0</v>
      </c>
      <c r="E42" t="str">
        <f>Mass!$B$5</f>
        <v>Initial business jet baseline (Challenger 350 / Praetor 500 class)</v>
      </c>
      <c r="F42">
        <f>Mass!A66</f>
        <v>28</v>
      </c>
      <c r="G42" t="str">
        <f>Mass!B66</f>
        <v>Fuel Lines</v>
      </c>
      <c r="H42">
        <f>Mass!C66</f>
        <v>0</v>
      </c>
      <c r="I42">
        <f>Mass!D66</f>
        <v>1</v>
      </c>
      <c r="J42">
        <f>Mass!E66</f>
        <v>40</v>
      </c>
      <c r="K42">
        <f>Mass!F66</f>
        <v>40</v>
      </c>
      <c r="L42">
        <f>Mass!G66</f>
        <v>11</v>
      </c>
      <c r="M42">
        <f>Mass!H66</f>
        <v>0</v>
      </c>
      <c r="N42">
        <f>Mass!I66</f>
        <v>1.8</v>
      </c>
      <c r="O42">
        <f>Mass!J66</f>
        <v>440</v>
      </c>
      <c r="P42">
        <f>Mass!K66</f>
        <v>0</v>
      </c>
      <c r="Q42">
        <f>Mass!L66</f>
        <v>72</v>
      </c>
      <c r="R42" t="str">
        <f>Mass!M66</f>
        <v>Lumped</v>
      </c>
    </row>
    <row r="43" spans="1:18" x14ac:dyDescent="0.3">
      <c r="A43" t="str">
        <f>Mass!$B$1</f>
        <v>0.1.2</v>
      </c>
      <c r="B43" t="str">
        <f>Mass!$B$2</f>
        <v>Draft</v>
      </c>
      <c r="C43" t="str">
        <f>TEXT(Mass!$B$3,"yyyy-mm-dd")</f>
        <v>2026-05-16</v>
      </c>
      <c r="D43">
        <f>Mass!$B$4</f>
        <v>0</v>
      </c>
      <c r="E43" t="str">
        <f>Mass!$B$5</f>
        <v>Initial business jet baseline (Challenger 350 / Praetor 500 class)</v>
      </c>
      <c r="F43">
        <f>Mass!A69</f>
        <v>29</v>
      </c>
      <c r="G43" t="str">
        <f>Mass!B69</f>
        <v>Hyd System A Pump</v>
      </c>
      <c r="H43">
        <f>Mass!C69</f>
        <v>0</v>
      </c>
      <c r="I43">
        <f>Mass!D69</f>
        <v>1</v>
      </c>
      <c r="J43">
        <f>Mass!E69</f>
        <v>12</v>
      </c>
      <c r="K43">
        <f>Mass!F69</f>
        <v>12</v>
      </c>
      <c r="L43">
        <f>Mass!G69</f>
        <v>12.5</v>
      </c>
      <c r="M43">
        <f>Mass!H69</f>
        <v>-0.5</v>
      </c>
      <c r="N43">
        <f>Mass!I69</f>
        <v>2</v>
      </c>
      <c r="O43">
        <f>Mass!J69</f>
        <v>150</v>
      </c>
      <c r="P43">
        <f>Mass!K69</f>
        <v>-6</v>
      </c>
      <c r="Q43">
        <f>Mass!L69</f>
        <v>24</v>
      </c>
      <c r="R43" t="str">
        <f>Mass!M69</f>
        <v>Engine-driven LH</v>
      </c>
    </row>
    <row r="44" spans="1:18" x14ac:dyDescent="0.3">
      <c r="A44" t="str">
        <f>Mass!$B$1</f>
        <v>0.1.2</v>
      </c>
      <c r="B44" t="str">
        <f>Mass!$B$2</f>
        <v>Draft</v>
      </c>
      <c r="C44" t="str">
        <f>TEXT(Mass!$B$3,"yyyy-mm-dd")</f>
        <v>2026-05-16</v>
      </c>
      <c r="D44">
        <f>Mass!$B$4</f>
        <v>0</v>
      </c>
      <c r="E44" t="str">
        <f>Mass!$B$5</f>
        <v>Initial business jet baseline (Challenger 350 / Praetor 500 class)</v>
      </c>
      <c r="F44">
        <f>Mass!A70</f>
        <v>29</v>
      </c>
      <c r="G44" t="str">
        <f>Mass!B70</f>
        <v>Hyd System B Pump</v>
      </c>
      <c r="H44">
        <f>Mass!C70</f>
        <v>0</v>
      </c>
      <c r="I44">
        <f>Mass!D70</f>
        <v>1</v>
      </c>
      <c r="J44">
        <f>Mass!E70</f>
        <v>12</v>
      </c>
      <c r="K44">
        <f>Mass!F70</f>
        <v>12</v>
      </c>
      <c r="L44">
        <f>Mass!G70</f>
        <v>12.5</v>
      </c>
      <c r="M44">
        <f>Mass!H70</f>
        <v>0.5</v>
      </c>
      <c r="N44">
        <f>Mass!I70</f>
        <v>2</v>
      </c>
      <c r="O44">
        <f>Mass!J70</f>
        <v>150</v>
      </c>
      <c r="P44">
        <f>Mass!K70</f>
        <v>6</v>
      </c>
      <c r="Q44">
        <f>Mass!L70</f>
        <v>24</v>
      </c>
      <c r="R44" t="str">
        <f>Mass!M70</f>
        <v>Engine-driven RH</v>
      </c>
    </row>
    <row r="45" spans="1:18" x14ac:dyDescent="0.3">
      <c r="A45" t="str">
        <f>Mass!$B$1</f>
        <v>0.1.2</v>
      </c>
      <c r="B45" t="str">
        <f>Mass!$B$2</f>
        <v>Draft</v>
      </c>
      <c r="C45" t="str">
        <f>TEXT(Mass!$B$3,"yyyy-mm-dd")</f>
        <v>2026-05-16</v>
      </c>
      <c r="D45">
        <f>Mass!$B$4</f>
        <v>0</v>
      </c>
      <c r="E45" t="str">
        <f>Mass!$B$5</f>
        <v>Initial business jet baseline (Challenger 350 / Praetor 500 class)</v>
      </c>
      <c r="F45">
        <f>Mass!A71</f>
        <v>29</v>
      </c>
      <c r="G45" t="str">
        <f>Mass!B71</f>
        <v>Hyd Reservoir A</v>
      </c>
      <c r="H45">
        <f>Mass!C71</f>
        <v>0</v>
      </c>
      <c r="I45">
        <f>Mass!D71</f>
        <v>1</v>
      </c>
      <c r="J45">
        <f>Mass!E71</f>
        <v>15</v>
      </c>
      <c r="K45">
        <f>Mass!F71</f>
        <v>15</v>
      </c>
      <c r="L45">
        <f>Mass!G71</f>
        <v>13.5</v>
      </c>
      <c r="M45">
        <f>Mass!H71</f>
        <v>-0.4</v>
      </c>
      <c r="N45">
        <f>Mass!I71</f>
        <v>1.9</v>
      </c>
      <c r="O45">
        <f>Mass!J71</f>
        <v>202.5</v>
      </c>
      <c r="P45">
        <f>Mass!K71</f>
        <v>-6</v>
      </c>
      <c r="Q45">
        <f>Mass!L71</f>
        <v>28.5</v>
      </c>
      <c r="R45">
        <f>Mass!M71</f>
        <v>0</v>
      </c>
    </row>
    <row r="46" spans="1:18" x14ac:dyDescent="0.3">
      <c r="A46" t="str">
        <f>Mass!$B$1</f>
        <v>0.1.2</v>
      </c>
      <c r="B46" t="str">
        <f>Mass!$B$2</f>
        <v>Draft</v>
      </c>
      <c r="C46" t="str">
        <f>TEXT(Mass!$B$3,"yyyy-mm-dd")</f>
        <v>2026-05-16</v>
      </c>
      <c r="D46">
        <f>Mass!$B$4</f>
        <v>0</v>
      </c>
      <c r="E46" t="str">
        <f>Mass!$B$5</f>
        <v>Initial business jet baseline (Challenger 350 / Praetor 500 class)</v>
      </c>
      <c r="F46">
        <f>Mass!A72</f>
        <v>29</v>
      </c>
      <c r="G46" t="str">
        <f>Mass!B72</f>
        <v>Hyd Reservoir B</v>
      </c>
      <c r="H46">
        <f>Mass!C72</f>
        <v>0</v>
      </c>
      <c r="I46">
        <f>Mass!D72</f>
        <v>1</v>
      </c>
      <c r="J46">
        <f>Mass!E72</f>
        <v>15</v>
      </c>
      <c r="K46">
        <f>Mass!F72</f>
        <v>15</v>
      </c>
      <c r="L46">
        <f>Mass!G72</f>
        <v>13.5</v>
      </c>
      <c r="M46">
        <f>Mass!H72</f>
        <v>0.4</v>
      </c>
      <c r="N46">
        <f>Mass!I72</f>
        <v>1.9</v>
      </c>
      <c r="O46">
        <f>Mass!J72</f>
        <v>202.5</v>
      </c>
      <c r="P46">
        <f>Mass!K72</f>
        <v>6</v>
      </c>
      <c r="Q46">
        <f>Mass!L72</f>
        <v>28.5</v>
      </c>
      <c r="R46">
        <f>Mass!M72</f>
        <v>0</v>
      </c>
    </row>
    <row r="47" spans="1:18" x14ac:dyDescent="0.3">
      <c r="A47" t="str">
        <f>Mass!$B$1</f>
        <v>0.1.2</v>
      </c>
      <c r="B47" t="str">
        <f>Mass!$B$2</f>
        <v>Draft</v>
      </c>
      <c r="C47" t="str">
        <f>TEXT(Mass!$B$3,"yyyy-mm-dd")</f>
        <v>2026-05-16</v>
      </c>
      <c r="D47">
        <f>Mass!$B$4</f>
        <v>0</v>
      </c>
      <c r="E47" t="str">
        <f>Mass!$B$5</f>
        <v>Initial business jet baseline (Challenger 350 / Praetor 500 class)</v>
      </c>
      <c r="F47">
        <f>Mass!A75</f>
        <v>30</v>
      </c>
      <c r="G47" t="str">
        <f>Mass!B75</f>
        <v>Wing Anti-Ice Ducting</v>
      </c>
      <c r="H47">
        <f>Mass!C75</f>
        <v>0</v>
      </c>
      <c r="I47">
        <f>Mass!D75</f>
        <v>1</v>
      </c>
      <c r="J47">
        <f>Mass!E75</f>
        <v>35</v>
      </c>
      <c r="K47">
        <f>Mass!F75</f>
        <v>35</v>
      </c>
      <c r="L47">
        <f>Mass!G75</f>
        <v>10.5</v>
      </c>
      <c r="M47">
        <f>Mass!H75</f>
        <v>0</v>
      </c>
      <c r="N47">
        <f>Mass!I75</f>
        <v>1.9</v>
      </c>
      <c r="O47">
        <f>Mass!J75</f>
        <v>367.5</v>
      </c>
      <c r="P47">
        <f>Mass!K75</f>
        <v>0</v>
      </c>
      <c r="Q47">
        <f>Mass!L75</f>
        <v>66.5</v>
      </c>
      <c r="R47" t="str">
        <f>Mass!M75</f>
        <v>Bleed-air leading edge</v>
      </c>
    </row>
    <row r="48" spans="1:18" x14ac:dyDescent="0.3">
      <c r="A48" t="str">
        <f>Mass!$B$1</f>
        <v>0.1.2</v>
      </c>
      <c r="B48" t="str">
        <f>Mass!$B$2</f>
        <v>Draft</v>
      </c>
      <c r="C48" t="str">
        <f>TEXT(Mass!$B$3,"yyyy-mm-dd")</f>
        <v>2026-05-16</v>
      </c>
      <c r="D48">
        <f>Mass!$B$4</f>
        <v>0</v>
      </c>
      <c r="E48" t="str">
        <f>Mass!$B$5</f>
        <v>Initial business jet baseline (Challenger 350 / Praetor 500 class)</v>
      </c>
      <c r="F48">
        <f>Mass!A76</f>
        <v>30</v>
      </c>
      <c r="G48" t="str">
        <f>Mass!B76</f>
        <v>Engine Anti-Ice Valves</v>
      </c>
      <c r="H48">
        <f>Mass!C76</f>
        <v>0</v>
      </c>
      <c r="I48">
        <f>Mass!D76</f>
        <v>2</v>
      </c>
      <c r="J48">
        <f>Mass!E76</f>
        <v>3</v>
      </c>
      <c r="K48">
        <f>Mass!F76</f>
        <v>6</v>
      </c>
      <c r="L48">
        <f>Mass!G76</f>
        <v>12</v>
      </c>
      <c r="M48">
        <f>Mass!H76</f>
        <v>0</v>
      </c>
      <c r="N48">
        <f>Mass!I76</f>
        <v>2.2000000000000002</v>
      </c>
      <c r="O48">
        <f>Mass!J76</f>
        <v>72</v>
      </c>
      <c r="P48">
        <f>Mass!K76</f>
        <v>0</v>
      </c>
      <c r="Q48">
        <f>Mass!L76</f>
        <v>13.200000000000001</v>
      </c>
      <c r="R48">
        <f>Mass!M76</f>
        <v>0</v>
      </c>
    </row>
    <row r="49" spans="1:18" x14ac:dyDescent="0.3">
      <c r="A49" t="str">
        <f>Mass!$B$1</f>
        <v>0.1.2</v>
      </c>
      <c r="B49" t="str">
        <f>Mass!$B$2</f>
        <v>Draft</v>
      </c>
      <c r="C49" t="str">
        <f>TEXT(Mass!$B$3,"yyyy-mm-dd")</f>
        <v>2026-05-16</v>
      </c>
      <c r="D49">
        <f>Mass!$B$4</f>
        <v>0</v>
      </c>
      <c r="E49" t="str">
        <f>Mass!$B$5</f>
        <v>Initial business jet baseline (Challenger 350 / Praetor 500 class)</v>
      </c>
      <c r="F49">
        <f>Mass!A77</f>
        <v>30</v>
      </c>
      <c r="G49" t="str">
        <f>Mass!B77</f>
        <v>Window Heat</v>
      </c>
      <c r="H49">
        <f>Mass!C77</f>
        <v>0</v>
      </c>
      <c r="I49">
        <f>Mass!D77</f>
        <v>1</v>
      </c>
      <c r="J49">
        <f>Mass!E77</f>
        <v>8</v>
      </c>
      <c r="K49">
        <f>Mass!F77</f>
        <v>8</v>
      </c>
      <c r="L49">
        <f>Mass!G77</f>
        <v>3</v>
      </c>
      <c r="M49">
        <f>Mass!H77</f>
        <v>0</v>
      </c>
      <c r="N49">
        <f>Mass!I77</f>
        <v>2</v>
      </c>
      <c r="O49">
        <f>Mass!J77</f>
        <v>24</v>
      </c>
      <c r="P49">
        <f>Mass!K77</f>
        <v>0</v>
      </c>
      <c r="Q49">
        <f>Mass!L77</f>
        <v>16</v>
      </c>
      <c r="R49">
        <f>Mass!M77</f>
        <v>0</v>
      </c>
    </row>
    <row r="50" spans="1:18" x14ac:dyDescent="0.3">
      <c r="A50" t="str">
        <f>Mass!$B$1</f>
        <v>0.1.2</v>
      </c>
      <c r="B50" t="str">
        <f>Mass!$B$2</f>
        <v>Draft</v>
      </c>
      <c r="C50" t="str">
        <f>TEXT(Mass!$B$3,"yyyy-mm-dd")</f>
        <v>2026-05-16</v>
      </c>
      <c r="D50">
        <f>Mass!$B$4</f>
        <v>0</v>
      </c>
      <c r="E50" t="str">
        <f>Mass!$B$5</f>
        <v>Initial business jet baseline (Challenger 350 / Praetor 500 class)</v>
      </c>
      <c r="F50">
        <f>Mass!A80</f>
        <v>31</v>
      </c>
      <c r="G50" t="str">
        <f>Mass!B80</f>
        <v>DFDR</v>
      </c>
      <c r="H50">
        <f>Mass!C80</f>
        <v>0</v>
      </c>
      <c r="I50">
        <f>Mass!D80</f>
        <v>1</v>
      </c>
      <c r="J50">
        <f>Mass!E80</f>
        <v>8</v>
      </c>
      <c r="K50">
        <f>Mass!F80</f>
        <v>8</v>
      </c>
      <c r="L50">
        <f>Mass!G80</f>
        <v>17</v>
      </c>
      <c r="M50">
        <f>Mass!H80</f>
        <v>0</v>
      </c>
      <c r="N50">
        <f>Mass!I80</f>
        <v>2</v>
      </c>
      <c r="O50">
        <f>Mass!J80</f>
        <v>136</v>
      </c>
      <c r="P50">
        <f>Mass!K80</f>
        <v>0</v>
      </c>
      <c r="Q50">
        <f>Mass!L80</f>
        <v>16</v>
      </c>
      <c r="R50" t="str">
        <f>Mass!M80</f>
        <v>Aft fuselage (crashworthy)</v>
      </c>
    </row>
    <row r="51" spans="1:18" x14ac:dyDescent="0.3">
      <c r="A51" t="str">
        <f>Mass!$B$1</f>
        <v>0.1.2</v>
      </c>
      <c r="B51" t="str">
        <f>Mass!$B$2</f>
        <v>Draft</v>
      </c>
      <c r="C51" t="str">
        <f>TEXT(Mass!$B$3,"yyyy-mm-dd")</f>
        <v>2026-05-16</v>
      </c>
      <c r="D51">
        <f>Mass!$B$4</f>
        <v>0</v>
      </c>
      <c r="E51" t="str">
        <f>Mass!$B$5</f>
        <v>Initial business jet baseline (Challenger 350 / Praetor 500 class)</v>
      </c>
      <c r="F51">
        <f>Mass!A81</f>
        <v>31</v>
      </c>
      <c r="G51" t="str">
        <f>Mass!B81</f>
        <v>Display Units</v>
      </c>
      <c r="H51">
        <f>Mass!C81</f>
        <v>0</v>
      </c>
      <c r="I51">
        <f>Mass!D81</f>
        <v>4</v>
      </c>
      <c r="J51">
        <f>Mass!E81</f>
        <v>10</v>
      </c>
      <c r="K51">
        <f>Mass!F81</f>
        <v>40</v>
      </c>
      <c r="L51">
        <f>Mass!G81</f>
        <v>3</v>
      </c>
      <c r="M51">
        <f>Mass!H81</f>
        <v>0</v>
      </c>
      <c r="N51">
        <f>Mass!I81</f>
        <v>1.8</v>
      </c>
      <c r="O51">
        <f>Mass!J81</f>
        <v>120</v>
      </c>
      <c r="P51">
        <f>Mass!K81</f>
        <v>0</v>
      </c>
      <c r="Q51">
        <f>Mass!L81</f>
        <v>72</v>
      </c>
      <c r="R51" t="str">
        <f>Mass!M81</f>
        <v>Cockpit</v>
      </c>
    </row>
    <row r="52" spans="1:18" x14ac:dyDescent="0.3">
      <c r="A52" t="str">
        <f>Mass!$B$1</f>
        <v>0.1.2</v>
      </c>
      <c r="B52" t="str">
        <f>Mass!$B$2</f>
        <v>Draft</v>
      </c>
      <c r="C52" t="str">
        <f>TEXT(Mass!$B$3,"yyyy-mm-dd")</f>
        <v>2026-05-16</v>
      </c>
      <c r="D52">
        <f>Mass!$B$4</f>
        <v>0</v>
      </c>
      <c r="E52" t="str">
        <f>Mass!$B$5</f>
        <v>Initial business jet baseline (Challenger 350 / Praetor 500 class)</v>
      </c>
      <c r="F52">
        <f>Mass!A84</f>
        <v>32</v>
      </c>
      <c r="G52" t="str">
        <f>Mass!B84</f>
        <v>Nose Gear Assy</v>
      </c>
      <c r="H52">
        <f>Mass!C84</f>
        <v>0</v>
      </c>
      <c r="I52">
        <f>Mass!D84</f>
        <v>1</v>
      </c>
      <c r="J52">
        <f>Mass!E84</f>
        <v>140</v>
      </c>
      <c r="K52">
        <f>Mass!F84</f>
        <v>140</v>
      </c>
      <c r="L52">
        <f>Mass!G84</f>
        <v>4.5</v>
      </c>
      <c r="M52">
        <f>Mass!H84</f>
        <v>0</v>
      </c>
      <c r="N52">
        <f>Mass!I84</f>
        <v>0.6</v>
      </c>
      <c r="O52">
        <f>Mass!J84</f>
        <v>630</v>
      </c>
      <c r="P52">
        <f>Mass!K84</f>
        <v>0</v>
      </c>
      <c r="Q52">
        <f>Mass!L84</f>
        <v>84</v>
      </c>
      <c r="R52" t="str">
        <f>Mass!M84</f>
        <v>Retracted position centroid</v>
      </c>
    </row>
    <row r="53" spans="1:18" x14ac:dyDescent="0.3">
      <c r="A53" t="str">
        <f>Mass!$B$1</f>
        <v>0.1.2</v>
      </c>
      <c r="B53" t="str">
        <f>Mass!$B$2</f>
        <v>Draft</v>
      </c>
      <c r="C53" t="str">
        <f>TEXT(Mass!$B$3,"yyyy-mm-dd")</f>
        <v>2026-05-16</v>
      </c>
      <c r="D53">
        <f>Mass!$B$4</f>
        <v>0</v>
      </c>
      <c r="E53" t="str">
        <f>Mass!$B$5</f>
        <v>Initial business jet baseline (Challenger 350 / Praetor 500 class)</v>
      </c>
      <c r="F53">
        <f>Mass!A85</f>
        <v>32</v>
      </c>
      <c r="G53" t="str">
        <f>Mass!B85</f>
        <v>MLG LH</v>
      </c>
      <c r="H53">
        <f>Mass!C85</f>
        <v>0</v>
      </c>
      <c r="I53">
        <f>Mass!D85</f>
        <v>1</v>
      </c>
      <c r="J53">
        <f>Mass!E85</f>
        <v>350</v>
      </c>
      <c r="K53">
        <f>Mass!F85</f>
        <v>350</v>
      </c>
      <c r="L53">
        <f>Mass!G85</f>
        <v>11.5</v>
      </c>
      <c r="M53">
        <f>Mass!H85</f>
        <v>-1.8</v>
      </c>
      <c r="N53">
        <f>Mass!I85</f>
        <v>0.8</v>
      </c>
      <c r="O53">
        <f>Mass!J85</f>
        <v>4025</v>
      </c>
      <c r="P53">
        <f>Mass!K85</f>
        <v>-630</v>
      </c>
      <c r="Q53">
        <f>Mass!L85</f>
        <v>280</v>
      </c>
      <c r="R53">
        <f>Mass!M85</f>
        <v>0</v>
      </c>
    </row>
    <row r="54" spans="1:18" x14ac:dyDescent="0.3">
      <c r="A54" t="str">
        <f>Mass!$B$1</f>
        <v>0.1.2</v>
      </c>
      <c r="B54" t="str">
        <f>Mass!$B$2</f>
        <v>Draft</v>
      </c>
      <c r="C54" t="str">
        <f>TEXT(Mass!$B$3,"yyyy-mm-dd")</f>
        <v>2026-05-16</v>
      </c>
      <c r="D54">
        <f>Mass!$B$4</f>
        <v>0</v>
      </c>
      <c r="E54" t="str">
        <f>Mass!$B$5</f>
        <v>Initial business jet baseline (Challenger 350 / Praetor 500 class)</v>
      </c>
      <c r="F54">
        <f>Mass!A86</f>
        <v>32</v>
      </c>
      <c r="G54" t="str">
        <f>Mass!B86</f>
        <v>MLG RH</v>
      </c>
      <c r="H54">
        <f>Mass!C86</f>
        <v>0</v>
      </c>
      <c r="I54">
        <f>Mass!D86</f>
        <v>1</v>
      </c>
      <c r="J54">
        <f>Mass!E86</f>
        <v>350</v>
      </c>
      <c r="K54">
        <f>Mass!F86</f>
        <v>350</v>
      </c>
      <c r="L54">
        <f>Mass!G86</f>
        <v>11.5</v>
      </c>
      <c r="M54">
        <f>Mass!H86</f>
        <v>1.8</v>
      </c>
      <c r="N54">
        <f>Mass!I86</f>
        <v>0.8</v>
      </c>
      <c r="O54">
        <f>Mass!J86</f>
        <v>4025</v>
      </c>
      <c r="P54">
        <f>Mass!K86</f>
        <v>630</v>
      </c>
      <c r="Q54">
        <f>Mass!L86</f>
        <v>280</v>
      </c>
      <c r="R54">
        <f>Mass!M86</f>
        <v>0</v>
      </c>
    </row>
    <row r="55" spans="1:18" x14ac:dyDescent="0.3">
      <c r="A55" t="str">
        <f>Mass!$B$1</f>
        <v>0.1.2</v>
      </c>
      <c r="B55" t="str">
        <f>Mass!$B$2</f>
        <v>Draft</v>
      </c>
      <c r="C55" t="str">
        <f>TEXT(Mass!$B$3,"yyyy-mm-dd")</f>
        <v>2026-05-16</v>
      </c>
      <c r="D55">
        <f>Mass!$B$4</f>
        <v>0</v>
      </c>
      <c r="E55" t="str">
        <f>Mass!$B$5</f>
        <v>Initial business jet baseline (Challenger 350 / Praetor 500 class)</v>
      </c>
      <c r="F55">
        <f>Mass!A87</f>
        <v>32</v>
      </c>
      <c r="G55" t="str">
        <f>Mass!B87</f>
        <v>Brakes</v>
      </c>
      <c r="H55">
        <f>Mass!C87</f>
        <v>0</v>
      </c>
      <c r="I55">
        <f>Mass!D87</f>
        <v>4</v>
      </c>
      <c r="J55">
        <f>Mass!E87</f>
        <v>35</v>
      </c>
      <c r="K55">
        <f>Mass!F87</f>
        <v>140</v>
      </c>
      <c r="L55">
        <f>Mass!G87</f>
        <v>11.5</v>
      </c>
      <c r="M55">
        <f>Mass!H87</f>
        <v>0</v>
      </c>
      <c r="N55">
        <f>Mass!I87</f>
        <v>0.6</v>
      </c>
      <c r="O55">
        <f>Mass!J87</f>
        <v>1610</v>
      </c>
      <c r="P55">
        <f>Mass!K87</f>
        <v>0</v>
      </c>
      <c r="Q55">
        <f>Mass!L87</f>
        <v>84</v>
      </c>
      <c r="R55" t="str">
        <f>Mass!M87</f>
        <v>4 wheels</v>
      </c>
    </row>
    <row r="56" spans="1:18" x14ac:dyDescent="0.3">
      <c r="A56" t="str">
        <f>Mass!$B$1</f>
        <v>0.1.2</v>
      </c>
      <c r="B56" t="str">
        <f>Mass!$B$2</f>
        <v>Draft</v>
      </c>
      <c r="C56" t="str">
        <f>TEXT(Mass!$B$3,"yyyy-mm-dd")</f>
        <v>2026-05-16</v>
      </c>
      <c r="D56">
        <f>Mass!$B$4</f>
        <v>0</v>
      </c>
      <c r="E56" t="str">
        <f>Mass!$B$5</f>
        <v>Initial business jet baseline (Challenger 350 / Praetor 500 class)</v>
      </c>
      <c r="F56">
        <f>Mass!A88</f>
        <v>32</v>
      </c>
      <c r="G56" t="str">
        <f>Mass!B88</f>
        <v>Wheels &amp; Tires</v>
      </c>
      <c r="H56">
        <f>Mass!C88</f>
        <v>0</v>
      </c>
      <c r="I56">
        <f>Mass!D88</f>
        <v>6</v>
      </c>
      <c r="J56">
        <f>Mass!E88</f>
        <v>25</v>
      </c>
      <c r="K56">
        <f>Mass!F88</f>
        <v>150</v>
      </c>
      <c r="L56">
        <f>Mass!G88</f>
        <v>10.5</v>
      </c>
      <c r="M56">
        <f>Mass!H88</f>
        <v>0</v>
      </c>
      <c r="N56">
        <f>Mass!I88</f>
        <v>0.6</v>
      </c>
      <c r="O56">
        <f>Mass!J88</f>
        <v>1575</v>
      </c>
      <c r="P56">
        <f>Mass!K88</f>
        <v>0</v>
      </c>
      <c r="Q56">
        <f>Mass!L88</f>
        <v>90</v>
      </c>
      <c r="R56" t="str">
        <f>Mass!M88</f>
        <v>4 MLG + 2 NLG</v>
      </c>
    </row>
    <row r="57" spans="1:18" x14ac:dyDescent="0.3">
      <c r="A57" t="str">
        <f>Mass!$B$1</f>
        <v>0.1.2</v>
      </c>
      <c r="B57" t="str">
        <f>Mass!$B$2</f>
        <v>Draft</v>
      </c>
      <c r="C57" t="str">
        <f>TEXT(Mass!$B$3,"yyyy-mm-dd")</f>
        <v>2026-05-16</v>
      </c>
      <c r="D57">
        <f>Mass!$B$4</f>
        <v>0</v>
      </c>
      <c r="E57" t="str">
        <f>Mass!$B$5</f>
        <v>Initial business jet baseline (Challenger 350 / Praetor 500 class)</v>
      </c>
      <c r="F57">
        <f>Mass!A91</f>
        <v>33</v>
      </c>
      <c r="G57" t="str">
        <f>Mass!B91</f>
        <v>Landing Lights</v>
      </c>
      <c r="H57">
        <f>Mass!C91</f>
        <v>0</v>
      </c>
      <c r="I57">
        <f>Mass!D91</f>
        <v>4</v>
      </c>
      <c r="J57">
        <f>Mass!E91</f>
        <v>3</v>
      </c>
      <c r="K57">
        <f>Mass!F91</f>
        <v>12</v>
      </c>
      <c r="L57">
        <f>Mass!G91</f>
        <v>10.5</v>
      </c>
      <c r="M57">
        <f>Mass!H91</f>
        <v>0</v>
      </c>
      <c r="N57">
        <f>Mass!I91</f>
        <v>1</v>
      </c>
      <c r="O57">
        <f>Mass!J91</f>
        <v>126</v>
      </c>
      <c r="P57">
        <f>Mass!K91</f>
        <v>0</v>
      </c>
      <c r="Q57">
        <f>Mass!L91</f>
        <v>12</v>
      </c>
      <c r="R57" t="str">
        <f>Mass!M91</f>
        <v>Wing root / MLG</v>
      </c>
    </row>
    <row r="58" spans="1:18" x14ac:dyDescent="0.3">
      <c r="A58" t="str">
        <f>Mass!$B$1</f>
        <v>0.1.2</v>
      </c>
      <c r="B58" t="str">
        <f>Mass!$B$2</f>
        <v>Draft</v>
      </c>
      <c r="C58" t="str">
        <f>TEXT(Mass!$B$3,"yyyy-mm-dd")</f>
        <v>2026-05-16</v>
      </c>
      <c r="D58">
        <f>Mass!$B$4</f>
        <v>0</v>
      </c>
      <c r="E58" t="str">
        <f>Mass!$B$5</f>
        <v>Initial business jet baseline (Challenger 350 / Praetor 500 class)</v>
      </c>
      <c r="F58">
        <f>Mass!A92</f>
        <v>33</v>
      </c>
      <c r="G58" t="str">
        <f>Mass!B92</f>
        <v>Nav Lights</v>
      </c>
      <c r="H58">
        <f>Mass!C92</f>
        <v>0</v>
      </c>
      <c r="I58">
        <f>Mass!D92</f>
        <v>3</v>
      </c>
      <c r="J58">
        <f>Mass!E92</f>
        <v>1</v>
      </c>
      <c r="K58">
        <f>Mass!F92</f>
        <v>3</v>
      </c>
      <c r="L58">
        <f>Mass!G92</f>
        <v>12</v>
      </c>
      <c r="M58">
        <f>Mass!H92</f>
        <v>0</v>
      </c>
      <c r="N58">
        <f>Mass!I92</f>
        <v>2.5</v>
      </c>
      <c r="O58">
        <f>Mass!J92</f>
        <v>36</v>
      </c>
      <c r="P58">
        <f>Mass!K92</f>
        <v>0</v>
      </c>
      <c r="Q58">
        <f>Mass!L92</f>
        <v>7.5</v>
      </c>
      <c r="R58" t="str">
        <f>Mass!M92</f>
        <v>Wingtips + tail</v>
      </c>
    </row>
    <row r="59" spans="1:18" x14ac:dyDescent="0.3">
      <c r="A59" t="str">
        <f>Mass!$B$1</f>
        <v>0.1.2</v>
      </c>
      <c r="B59" t="str">
        <f>Mass!$B$2</f>
        <v>Draft</v>
      </c>
      <c r="C59" t="str">
        <f>TEXT(Mass!$B$3,"yyyy-mm-dd")</f>
        <v>2026-05-16</v>
      </c>
      <c r="D59">
        <f>Mass!$B$4</f>
        <v>0</v>
      </c>
      <c r="E59" t="str">
        <f>Mass!$B$5</f>
        <v>Initial business jet baseline (Challenger 350 / Praetor 500 class)</v>
      </c>
      <c r="F59">
        <f>Mass!A93</f>
        <v>33</v>
      </c>
      <c r="G59" t="str">
        <f>Mass!B93</f>
        <v>Cabin Lighting</v>
      </c>
      <c r="H59">
        <f>Mass!C93</f>
        <v>0</v>
      </c>
      <c r="I59">
        <f>Mass!D93</f>
        <v>1</v>
      </c>
      <c r="J59">
        <f>Mass!E93</f>
        <v>20</v>
      </c>
      <c r="K59">
        <f>Mass!F93</f>
        <v>20</v>
      </c>
      <c r="L59">
        <f>Mass!G93</f>
        <v>8.5</v>
      </c>
      <c r="M59">
        <f>Mass!H93</f>
        <v>0</v>
      </c>
      <c r="N59">
        <f>Mass!I93</f>
        <v>2.2999999999999998</v>
      </c>
      <c r="O59">
        <f>Mass!J93</f>
        <v>170</v>
      </c>
      <c r="P59">
        <f>Mass!K93</f>
        <v>0</v>
      </c>
      <c r="Q59">
        <f>Mass!L93</f>
        <v>46</v>
      </c>
      <c r="R59" t="str">
        <f>Mass!M93</f>
        <v>Distributed</v>
      </c>
    </row>
    <row r="60" spans="1:18" x14ac:dyDescent="0.3">
      <c r="A60" t="str">
        <f>Mass!$B$1</f>
        <v>0.1.2</v>
      </c>
      <c r="B60" t="str">
        <f>Mass!$B$2</f>
        <v>Draft</v>
      </c>
      <c r="C60" t="str">
        <f>TEXT(Mass!$B$3,"yyyy-mm-dd")</f>
        <v>2026-05-16</v>
      </c>
      <c r="D60">
        <f>Mass!$B$4</f>
        <v>0</v>
      </c>
      <c r="E60" t="str">
        <f>Mass!$B$5</f>
        <v>Initial business jet baseline (Challenger 350 / Praetor 500 class)</v>
      </c>
      <c r="F60">
        <f>Mass!A96</f>
        <v>34</v>
      </c>
      <c r="G60" t="str">
        <f>Mass!B96</f>
        <v>IRS 1</v>
      </c>
      <c r="H60">
        <f>Mass!C96</f>
        <v>0</v>
      </c>
      <c r="I60">
        <f>Mass!D96</f>
        <v>1</v>
      </c>
      <c r="J60">
        <f>Mass!E96</f>
        <v>18</v>
      </c>
      <c r="K60">
        <f>Mass!F96</f>
        <v>18</v>
      </c>
      <c r="L60">
        <f>Mass!G96</f>
        <v>3.5</v>
      </c>
      <c r="M60">
        <f>Mass!H96</f>
        <v>-0.3</v>
      </c>
      <c r="N60">
        <f>Mass!I96</f>
        <v>1.7</v>
      </c>
      <c r="O60">
        <f>Mass!J96</f>
        <v>63</v>
      </c>
      <c r="P60">
        <f>Mass!K96</f>
        <v>-5.3999999999999995</v>
      </c>
      <c r="Q60">
        <f>Mass!L96</f>
        <v>30.599999999999998</v>
      </c>
      <c r="R60">
        <f>Mass!M96</f>
        <v>0</v>
      </c>
    </row>
    <row r="61" spans="1:18" x14ac:dyDescent="0.3">
      <c r="A61" t="str">
        <f>Mass!$B$1</f>
        <v>0.1.2</v>
      </c>
      <c r="B61" t="str">
        <f>Mass!$B$2</f>
        <v>Draft</v>
      </c>
      <c r="C61" t="str">
        <f>TEXT(Mass!$B$3,"yyyy-mm-dd")</f>
        <v>2026-05-16</v>
      </c>
      <c r="D61">
        <f>Mass!$B$4</f>
        <v>0</v>
      </c>
      <c r="E61" t="str">
        <f>Mass!$B$5</f>
        <v>Initial business jet baseline (Challenger 350 / Praetor 500 class)</v>
      </c>
      <c r="F61">
        <f>Mass!A97</f>
        <v>34</v>
      </c>
      <c r="G61" t="str">
        <f>Mass!B97</f>
        <v>IRS 2</v>
      </c>
      <c r="H61">
        <f>Mass!C97</f>
        <v>0</v>
      </c>
      <c r="I61">
        <f>Mass!D97</f>
        <v>1</v>
      </c>
      <c r="J61">
        <f>Mass!E97</f>
        <v>18</v>
      </c>
      <c r="K61">
        <f>Mass!F97</f>
        <v>18</v>
      </c>
      <c r="L61">
        <f>Mass!G97</f>
        <v>3.5</v>
      </c>
      <c r="M61">
        <f>Mass!H97</f>
        <v>0.3</v>
      </c>
      <c r="N61">
        <f>Mass!I97</f>
        <v>1.7</v>
      </c>
      <c r="O61">
        <f>Mass!J97</f>
        <v>63</v>
      </c>
      <c r="P61">
        <f>Mass!K97</f>
        <v>5.3999999999999995</v>
      </c>
      <c r="Q61">
        <f>Mass!L97</f>
        <v>30.599999999999998</v>
      </c>
      <c r="R61">
        <f>Mass!M97</f>
        <v>0</v>
      </c>
    </row>
    <row r="62" spans="1:18" x14ac:dyDescent="0.3">
      <c r="A62" t="str">
        <f>Mass!$B$1</f>
        <v>0.1.2</v>
      </c>
      <c r="B62" t="str">
        <f>Mass!$B$2</f>
        <v>Draft</v>
      </c>
      <c r="C62" t="str">
        <f>TEXT(Mass!$B$3,"yyyy-mm-dd")</f>
        <v>2026-05-16</v>
      </c>
      <c r="D62">
        <f>Mass!$B$4</f>
        <v>0</v>
      </c>
      <c r="E62" t="str">
        <f>Mass!$B$5</f>
        <v>Initial business jet baseline (Challenger 350 / Praetor 500 class)</v>
      </c>
      <c r="F62">
        <f>Mass!A98</f>
        <v>34</v>
      </c>
      <c r="G62" t="str">
        <f>Mass!B98</f>
        <v>GPS</v>
      </c>
      <c r="H62">
        <f>Mass!C98</f>
        <v>0</v>
      </c>
      <c r="I62">
        <f>Mass!D98</f>
        <v>2</v>
      </c>
      <c r="J62">
        <f>Mass!E98</f>
        <v>3</v>
      </c>
      <c r="K62">
        <f>Mass!F98</f>
        <v>6</v>
      </c>
      <c r="L62">
        <f>Mass!G98</f>
        <v>3.5</v>
      </c>
      <c r="M62">
        <f>Mass!H98</f>
        <v>0</v>
      </c>
      <c r="N62">
        <f>Mass!I98</f>
        <v>2.5</v>
      </c>
      <c r="O62">
        <f>Mass!J98</f>
        <v>21</v>
      </c>
      <c r="P62">
        <f>Mass!K98</f>
        <v>0</v>
      </c>
      <c r="Q62">
        <f>Mass!L98</f>
        <v>15</v>
      </c>
      <c r="R62" t="str">
        <f>Mass!M98</f>
        <v>Antennas on top fuselage</v>
      </c>
    </row>
    <row r="63" spans="1:18" x14ac:dyDescent="0.3">
      <c r="A63" t="str">
        <f>Mass!$B$1</f>
        <v>0.1.2</v>
      </c>
      <c r="B63" t="str">
        <f>Mass!$B$2</f>
        <v>Draft</v>
      </c>
      <c r="C63" t="str">
        <f>TEXT(Mass!$B$3,"yyyy-mm-dd")</f>
        <v>2026-05-16</v>
      </c>
      <c r="D63">
        <f>Mass!$B$4</f>
        <v>0</v>
      </c>
      <c r="E63" t="str">
        <f>Mass!$B$5</f>
        <v>Initial business jet baseline (Challenger 350 / Praetor 500 class)</v>
      </c>
      <c r="F63">
        <f>Mass!A99</f>
        <v>34</v>
      </c>
      <c r="G63" t="str">
        <f>Mass!B99</f>
        <v>Weather Radar</v>
      </c>
      <c r="H63">
        <f>Mass!C99</f>
        <v>0</v>
      </c>
      <c r="I63">
        <f>Mass!D99</f>
        <v>1</v>
      </c>
      <c r="J63">
        <f>Mass!E99</f>
        <v>15</v>
      </c>
      <c r="K63">
        <f>Mass!F99</f>
        <v>15</v>
      </c>
      <c r="L63">
        <f>Mass!G99</f>
        <v>1.5</v>
      </c>
      <c r="M63">
        <f>Mass!H99</f>
        <v>0</v>
      </c>
      <c r="N63">
        <f>Mass!I99</f>
        <v>1.5</v>
      </c>
      <c r="O63">
        <f>Mass!J99</f>
        <v>22.5</v>
      </c>
      <c r="P63">
        <f>Mass!K99</f>
        <v>0</v>
      </c>
      <c r="Q63">
        <f>Mass!L99</f>
        <v>22.5</v>
      </c>
      <c r="R63" t="str">
        <f>Mass!M99</f>
        <v>Nose radome</v>
      </c>
    </row>
    <row r="64" spans="1:18" x14ac:dyDescent="0.3">
      <c r="A64" t="str">
        <f>Mass!$B$1</f>
        <v>0.1.2</v>
      </c>
      <c r="B64" t="str">
        <f>Mass!$B$2</f>
        <v>Draft</v>
      </c>
      <c r="C64" t="str">
        <f>TEXT(Mass!$B$3,"yyyy-mm-dd")</f>
        <v>2026-05-16</v>
      </c>
      <c r="D64">
        <f>Mass!$B$4</f>
        <v>0</v>
      </c>
      <c r="E64" t="str">
        <f>Mass!$B$5</f>
        <v>Initial business jet baseline (Challenger 350 / Praetor 500 class)</v>
      </c>
      <c r="F64">
        <f>Mass!A100</f>
        <v>34</v>
      </c>
      <c r="G64" t="str">
        <f>Mass!B100</f>
        <v>Radio Altimeter</v>
      </c>
      <c r="H64">
        <f>Mass!C100</f>
        <v>0</v>
      </c>
      <c r="I64">
        <f>Mass!D100</f>
        <v>2</v>
      </c>
      <c r="J64">
        <f>Mass!E100</f>
        <v>4</v>
      </c>
      <c r="K64">
        <f>Mass!F100</f>
        <v>8</v>
      </c>
      <c r="L64">
        <f>Mass!G100</f>
        <v>11</v>
      </c>
      <c r="M64">
        <f>Mass!H100</f>
        <v>0</v>
      </c>
      <c r="N64">
        <f>Mass!I100</f>
        <v>0.7</v>
      </c>
      <c r="O64">
        <f>Mass!J100</f>
        <v>88</v>
      </c>
      <c r="P64">
        <f>Mass!K100</f>
        <v>0</v>
      </c>
      <c r="Q64">
        <f>Mass!L100</f>
        <v>5.6</v>
      </c>
      <c r="R64">
        <f>Mass!M100</f>
        <v>0</v>
      </c>
    </row>
    <row r="65" spans="1:18" x14ac:dyDescent="0.3">
      <c r="A65" t="str">
        <f>Mass!$B$1</f>
        <v>0.1.2</v>
      </c>
      <c r="B65" t="str">
        <f>Mass!$B$2</f>
        <v>Draft</v>
      </c>
      <c r="C65" t="str">
        <f>TEXT(Mass!$B$3,"yyyy-mm-dd")</f>
        <v>2026-05-16</v>
      </c>
      <c r="D65">
        <f>Mass!$B$4</f>
        <v>0</v>
      </c>
      <c r="E65" t="str">
        <f>Mass!$B$5</f>
        <v>Initial business jet baseline (Challenger 350 / Praetor 500 class)</v>
      </c>
      <c r="F65">
        <f>Mass!A103</f>
        <v>35</v>
      </c>
      <c r="G65" t="str">
        <f>Mass!B103</f>
        <v>Crew O2 Bottle</v>
      </c>
      <c r="H65">
        <f>Mass!C103</f>
        <v>0</v>
      </c>
      <c r="I65">
        <f>Mass!D103</f>
        <v>1</v>
      </c>
      <c r="J65">
        <f>Mass!E103</f>
        <v>18</v>
      </c>
      <c r="K65">
        <f>Mass!F103</f>
        <v>18</v>
      </c>
      <c r="L65">
        <f>Mass!G103</f>
        <v>3.5</v>
      </c>
      <c r="M65">
        <f>Mass!H103</f>
        <v>0.4</v>
      </c>
      <c r="N65">
        <f>Mass!I103</f>
        <v>0.9</v>
      </c>
      <c r="O65">
        <f>Mass!J103</f>
        <v>63</v>
      </c>
      <c r="P65">
        <f>Mass!K103</f>
        <v>7.2</v>
      </c>
      <c r="Q65">
        <f>Mass!L103</f>
        <v>16.2</v>
      </c>
      <c r="R65" t="str">
        <f>Mass!M103</f>
        <v>Fwd equipment bay</v>
      </c>
    </row>
    <row r="66" spans="1:18" x14ac:dyDescent="0.3">
      <c r="A66" t="str">
        <f>Mass!$B$1</f>
        <v>0.1.2</v>
      </c>
      <c r="B66" t="str">
        <f>Mass!$B$2</f>
        <v>Draft</v>
      </c>
      <c r="C66" t="str">
        <f>TEXT(Mass!$B$3,"yyyy-mm-dd")</f>
        <v>2026-05-16</v>
      </c>
      <c r="D66">
        <f>Mass!$B$4</f>
        <v>0</v>
      </c>
      <c r="E66" t="str">
        <f>Mass!$B$5</f>
        <v>Initial business jet baseline (Challenger 350 / Praetor 500 class)</v>
      </c>
      <c r="F66">
        <f>Mass!A104</f>
        <v>35</v>
      </c>
      <c r="G66" t="str">
        <f>Mass!B104</f>
        <v>Pax O2 Generators</v>
      </c>
      <c r="H66">
        <f>Mass!C104</f>
        <v>0</v>
      </c>
      <c r="I66">
        <f>Mass!D104</f>
        <v>1</v>
      </c>
      <c r="J66">
        <f>Mass!E104</f>
        <v>45</v>
      </c>
      <c r="K66">
        <f>Mass!F104</f>
        <v>45</v>
      </c>
      <c r="L66">
        <f>Mass!G104</f>
        <v>8.5</v>
      </c>
      <c r="M66">
        <f>Mass!H104</f>
        <v>0</v>
      </c>
      <c r="N66">
        <f>Mass!I104</f>
        <v>2.4</v>
      </c>
      <c r="O66">
        <f>Mass!J104</f>
        <v>382.5</v>
      </c>
      <c r="P66">
        <f>Mass!K104</f>
        <v>0</v>
      </c>
      <c r="Q66">
        <f>Mass!L104</f>
        <v>108</v>
      </c>
      <c r="R66" t="str">
        <f>Mass!M104</f>
        <v>Chemical generators in PSU</v>
      </c>
    </row>
    <row r="67" spans="1:18" x14ac:dyDescent="0.3">
      <c r="A67" t="str">
        <f>Mass!$B$1</f>
        <v>0.1.2</v>
      </c>
      <c r="B67" t="str">
        <f>Mass!$B$2</f>
        <v>Draft</v>
      </c>
      <c r="C67" t="str">
        <f>TEXT(Mass!$B$3,"yyyy-mm-dd")</f>
        <v>2026-05-16</v>
      </c>
      <c r="D67">
        <f>Mass!$B$4</f>
        <v>0</v>
      </c>
      <c r="E67" t="str">
        <f>Mass!$B$5</f>
        <v>Initial business jet baseline (Challenger 350 / Praetor 500 class)</v>
      </c>
      <c r="F67">
        <f>Mass!A107</f>
        <v>36</v>
      </c>
      <c r="G67" t="str">
        <f>Mass!B107</f>
        <v>Bleed Air Ducting</v>
      </c>
      <c r="H67">
        <f>Mass!C107</f>
        <v>0</v>
      </c>
      <c r="I67">
        <f>Mass!D107</f>
        <v>1</v>
      </c>
      <c r="J67">
        <f>Mass!E107</f>
        <v>60</v>
      </c>
      <c r="K67">
        <f>Mass!F107</f>
        <v>60</v>
      </c>
      <c r="L67">
        <f>Mass!G107</f>
        <v>11.5</v>
      </c>
      <c r="M67">
        <f>Mass!H107</f>
        <v>0</v>
      </c>
      <c r="N67">
        <f>Mass!I107</f>
        <v>1.9</v>
      </c>
      <c r="O67">
        <f>Mass!J107</f>
        <v>690</v>
      </c>
      <c r="P67">
        <f>Mass!K107</f>
        <v>0</v>
      </c>
      <c r="Q67">
        <f>Mass!L107</f>
        <v>114</v>
      </c>
      <c r="R67" t="str">
        <f>Mass!M107</f>
        <v>Engine to wing/pack</v>
      </c>
    </row>
    <row r="68" spans="1:18" x14ac:dyDescent="0.3">
      <c r="A68" t="str">
        <f>Mass!$B$1</f>
        <v>0.1.2</v>
      </c>
      <c r="B68" t="str">
        <f>Mass!$B$2</f>
        <v>Draft</v>
      </c>
      <c r="C68" t="str">
        <f>TEXT(Mass!$B$3,"yyyy-mm-dd")</f>
        <v>2026-05-16</v>
      </c>
      <c r="D68">
        <f>Mass!$B$4</f>
        <v>0</v>
      </c>
      <c r="E68" t="str">
        <f>Mass!$B$5</f>
        <v>Initial business jet baseline (Challenger 350 / Praetor 500 class)</v>
      </c>
      <c r="F68">
        <f>Mass!A108</f>
        <v>36</v>
      </c>
      <c r="G68" t="str">
        <f>Mass!B108</f>
        <v>Precoolers</v>
      </c>
      <c r="H68">
        <f>Mass!C108</f>
        <v>0</v>
      </c>
      <c r="I68">
        <f>Mass!D108</f>
        <v>2</v>
      </c>
      <c r="J68">
        <f>Mass!E108</f>
        <v>20</v>
      </c>
      <c r="K68">
        <f>Mass!F108</f>
        <v>40</v>
      </c>
      <c r="L68">
        <f>Mass!G108</f>
        <v>12</v>
      </c>
      <c r="M68">
        <f>Mass!H108</f>
        <v>0</v>
      </c>
      <c r="N68">
        <f>Mass!I108</f>
        <v>2</v>
      </c>
      <c r="O68">
        <f>Mass!J108</f>
        <v>480</v>
      </c>
      <c r="P68">
        <f>Mass!K108</f>
        <v>0</v>
      </c>
      <c r="Q68">
        <f>Mass!L108</f>
        <v>80</v>
      </c>
      <c r="R68">
        <f>Mass!M108</f>
        <v>0</v>
      </c>
    </row>
    <row r="69" spans="1:18" x14ac:dyDescent="0.3">
      <c r="A69" t="str">
        <f>Mass!$B$1</f>
        <v>0.1.2</v>
      </c>
      <c r="B69" t="str">
        <f>Mass!$B$2</f>
        <v>Draft</v>
      </c>
      <c r="C69" t="str">
        <f>TEXT(Mass!$B$3,"yyyy-mm-dd")</f>
        <v>2026-05-16</v>
      </c>
      <c r="D69">
        <f>Mass!$B$4</f>
        <v>0</v>
      </c>
      <c r="E69" t="str">
        <f>Mass!$B$5</f>
        <v>Initial business jet baseline (Challenger 350 / Praetor 500 class)</v>
      </c>
      <c r="F69">
        <f>Mass!A111</f>
        <v>38</v>
      </c>
      <c r="G69" t="str">
        <f>Mass!B111</f>
        <v>Potable Water Tank</v>
      </c>
      <c r="H69">
        <f>Mass!C111</f>
        <v>0</v>
      </c>
      <c r="I69">
        <f>Mass!D111</f>
        <v>1</v>
      </c>
      <c r="J69">
        <f>Mass!E111</f>
        <v>65</v>
      </c>
      <c r="K69">
        <f>Mass!F111</f>
        <v>65</v>
      </c>
      <c r="L69">
        <f>Mass!G111</f>
        <v>5</v>
      </c>
      <c r="M69">
        <f>Mass!H111</f>
        <v>0</v>
      </c>
      <c r="N69">
        <f>Mass!I111</f>
        <v>1</v>
      </c>
      <c r="O69">
        <f>Mass!J111</f>
        <v>325</v>
      </c>
      <c r="P69">
        <f>Mass!K111</f>
        <v>0</v>
      </c>
      <c r="Q69">
        <f>Mass!L111</f>
        <v>65</v>
      </c>
      <c r="R69" t="str">
        <f>Mass!M111</f>
        <v>~60 L at 100% fill</v>
      </c>
    </row>
    <row r="70" spans="1:18" x14ac:dyDescent="0.3">
      <c r="A70" t="str">
        <f>Mass!$B$1</f>
        <v>0.1.2</v>
      </c>
      <c r="B70" t="str">
        <f>Mass!$B$2</f>
        <v>Draft</v>
      </c>
      <c r="C70" t="str">
        <f>TEXT(Mass!$B$3,"yyyy-mm-dd")</f>
        <v>2026-05-16</v>
      </c>
      <c r="D70">
        <f>Mass!$B$4</f>
        <v>0</v>
      </c>
      <c r="E70" t="str">
        <f>Mass!$B$5</f>
        <v>Initial business jet baseline (Challenger 350 / Praetor 500 class)</v>
      </c>
      <c r="F70">
        <f>Mass!A112</f>
        <v>38</v>
      </c>
      <c r="G70" t="str">
        <f>Mass!B112</f>
        <v>Waste Tank</v>
      </c>
      <c r="H70">
        <f>Mass!C112</f>
        <v>0</v>
      </c>
      <c r="I70">
        <f>Mass!D112</f>
        <v>1</v>
      </c>
      <c r="J70">
        <f>Mass!E112</f>
        <v>80</v>
      </c>
      <c r="K70">
        <f>Mass!F112</f>
        <v>80</v>
      </c>
      <c r="L70">
        <f>Mass!G112</f>
        <v>15.5</v>
      </c>
      <c r="M70">
        <f>Mass!H112</f>
        <v>0</v>
      </c>
      <c r="N70">
        <f>Mass!I112</f>
        <v>1</v>
      </c>
      <c r="O70">
        <f>Mass!J112</f>
        <v>1240</v>
      </c>
      <c r="P70">
        <f>Mass!K112</f>
        <v>0</v>
      </c>
      <c r="Q70">
        <f>Mass!L112</f>
        <v>80</v>
      </c>
      <c r="R70" t="str">
        <f>Mass!M112</f>
        <v>Aft of aft lav</v>
      </c>
    </row>
    <row r="71" spans="1:18" x14ac:dyDescent="0.3">
      <c r="A71" t="str">
        <f>Mass!$B$1</f>
        <v>0.1.2</v>
      </c>
      <c r="B71" t="str">
        <f>Mass!$B$2</f>
        <v>Draft</v>
      </c>
      <c r="C71" t="str">
        <f>TEXT(Mass!$B$3,"yyyy-mm-dd")</f>
        <v>2026-05-16</v>
      </c>
      <c r="D71">
        <f>Mass!$B$4</f>
        <v>0</v>
      </c>
      <c r="E71" t="str">
        <f>Mass!$B$5</f>
        <v>Initial business jet baseline (Challenger 350 / Praetor 500 class)</v>
      </c>
      <c r="F71">
        <f>Mass!A115</f>
        <v>49</v>
      </c>
      <c r="G71" t="str">
        <f>Mass!B115</f>
        <v>APU Assembly</v>
      </c>
      <c r="H71">
        <f>Mass!C115</f>
        <v>0</v>
      </c>
      <c r="I71">
        <f>Mass!D115</f>
        <v>1</v>
      </c>
      <c r="J71">
        <f>Mass!E115</f>
        <v>145</v>
      </c>
      <c r="K71">
        <f>Mass!F115</f>
        <v>145</v>
      </c>
      <c r="L71">
        <f>Mass!G115</f>
        <v>19.5</v>
      </c>
      <c r="M71">
        <f>Mass!H115</f>
        <v>0</v>
      </c>
      <c r="N71">
        <f>Mass!I115</f>
        <v>2.2999999999999998</v>
      </c>
      <c r="O71">
        <f>Mass!J115</f>
        <v>2827.5</v>
      </c>
      <c r="P71">
        <f>Mass!K115</f>
        <v>0</v>
      </c>
      <c r="Q71">
        <f>Mass!L115</f>
        <v>333.5</v>
      </c>
      <c r="R71" t="str">
        <f>Mass!M115</f>
        <v>Aft fuselage, typ. P&amp;W 901 class</v>
      </c>
    </row>
    <row r="72" spans="1:18" x14ac:dyDescent="0.3">
      <c r="A72" t="str">
        <f>Mass!$B$1</f>
        <v>0.1.2</v>
      </c>
      <c r="B72" t="str">
        <f>Mass!$B$2</f>
        <v>Draft</v>
      </c>
      <c r="C72" t="str">
        <f>TEXT(Mass!$B$3,"yyyy-mm-dd")</f>
        <v>2026-05-16</v>
      </c>
      <c r="D72">
        <f>Mass!$B$4</f>
        <v>0</v>
      </c>
      <c r="E72" t="str">
        <f>Mass!$B$5</f>
        <v>Initial business jet baseline (Challenger 350 / Praetor 500 class)</v>
      </c>
      <c r="F72">
        <f>Mass!A116</f>
        <v>49</v>
      </c>
      <c r="G72" t="str">
        <f>Mass!B116</f>
        <v>APU Mounts</v>
      </c>
      <c r="H72">
        <f>Mass!C116</f>
        <v>0</v>
      </c>
      <c r="I72">
        <f>Mass!D116</f>
        <v>1</v>
      </c>
      <c r="J72">
        <f>Mass!E116</f>
        <v>18</v>
      </c>
      <c r="K72">
        <f>Mass!F116</f>
        <v>18</v>
      </c>
      <c r="L72">
        <f>Mass!G116</f>
        <v>19.5</v>
      </c>
      <c r="M72">
        <f>Mass!H116</f>
        <v>0</v>
      </c>
      <c r="N72">
        <f>Mass!I116</f>
        <v>2.2999999999999998</v>
      </c>
      <c r="O72">
        <f>Mass!J116</f>
        <v>351</v>
      </c>
      <c r="P72">
        <f>Mass!K116</f>
        <v>0</v>
      </c>
      <c r="Q72">
        <f>Mass!L116</f>
        <v>41.4</v>
      </c>
      <c r="R72">
        <f>Mass!M116</f>
        <v>0</v>
      </c>
    </row>
    <row r="73" spans="1:18" x14ac:dyDescent="0.3">
      <c r="A73" t="str">
        <f>Mass!$B$1</f>
        <v>0.1.2</v>
      </c>
      <c r="B73" t="str">
        <f>Mass!$B$2</f>
        <v>Draft</v>
      </c>
      <c r="C73" t="str">
        <f>TEXT(Mass!$B$3,"yyyy-mm-dd")</f>
        <v>2026-05-16</v>
      </c>
      <c r="D73">
        <f>Mass!$B$4</f>
        <v>0</v>
      </c>
      <c r="E73" t="str">
        <f>Mass!$B$5</f>
        <v>Initial business jet baseline (Challenger 350 / Praetor 500 class)</v>
      </c>
      <c r="F73">
        <f>Mass!A117</f>
        <v>49</v>
      </c>
      <c r="G73" t="str">
        <f>Mass!B117</f>
        <v>APU Inlet/Exhaust</v>
      </c>
      <c r="H73">
        <f>Mass!C117</f>
        <v>0</v>
      </c>
      <c r="I73">
        <f>Mass!D117</f>
        <v>1</v>
      </c>
      <c r="J73">
        <f>Mass!E117</f>
        <v>22</v>
      </c>
      <c r="K73">
        <f>Mass!F117</f>
        <v>22</v>
      </c>
      <c r="L73">
        <f>Mass!G117</f>
        <v>19.5</v>
      </c>
      <c r="M73">
        <f>Mass!H117</f>
        <v>0</v>
      </c>
      <c r="N73">
        <f>Mass!I117</f>
        <v>2.6</v>
      </c>
      <c r="O73">
        <f>Mass!J117</f>
        <v>429</v>
      </c>
      <c r="P73">
        <f>Mass!K117</f>
        <v>0</v>
      </c>
      <c r="Q73">
        <f>Mass!L117</f>
        <v>57.2</v>
      </c>
      <c r="R73">
        <f>Mass!M117</f>
        <v>0</v>
      </c>
    </row>
    <row r="74" spans="1:18" x14ac:dyDescent="0.3">
      <c r="A74" t="str">
        <f>Mass!$B$1</f>
        <v>0.1.2</v>
      </c>
      <c r="B74" t="str">
        <f>Mass!$B$2</f>
        <v>Draft</v>
      </c>
      <c r="C74" t="str">
        <f>TEXT(Mass!$B$3,"yyyy-mm-dd")</f>
        <v>2026-05-16</v>
      </c>
      <c r="D74">
        <f>Mass!$B$4</f>
        <v>0</v>
      </c>
      <c r="E74" t="str">
        <f>Mass!$B$5</f>
        <v>Initial business jet baseline (Challenger 350 / Praetor 500 class)</v>
      </c>
      <c r="F74">
        <f>Mass!A120</f>
        <v>52</v>
      </c>
      <c r="G74" t="str">
        <f>Mass!B120</f>
        <v>Fwd Pax Door LH</v>
      </c>
      <c r="H74">
        <f>Mass!C120</f>
        <v>0</v>
      </c>
      <c r="I74">
        <f>Mass!D120</f>
        <v>1</v>
      </c>
      <c r="J74">
        <f>Mass!E120</f>
        <v>85</v>
      </c>
      <c r="K74">
        <f>Mass!F120</f>
        <v>85</v>
      </c>
      <c r="L74">
        <f>Mass!G120</f>
        <v>4</v>
      </c>
      <c r="M74">
        <f>Mass!H120</f>
        <v>-0.9</v>
      </c>
      <c r="N74">
        <f>Mass!I120</f>
        <v>1.4</v>
      </c>
      <c r="O74">
        <f>Mass!J120</f>
        <v>340</v>
      </c>
      <c r="P74">
        <f>Mass!K120</f>
        <v>-76.5</v>
      </c>
      <c r="Q74">
        <f>Mass!L120</f>
        <v>118.99999999999999</v>
      </c>
      <c r="R74" t="str">
        <f>Mass!M120</f>
        <v>Main entry / airstair</v>
      </c>
    </row>
    <row r="75" spans="1:18" x14ac:dyDescent="0.3">
      <c r="A75" t="str">
        <f>Mass!$B$1</f>
        <v>0.1.2</v>
      </c>
      <c r="B75" t="str">
        <f>Mass!$B$2</f>
        <v>Draft</v>
      </c>
      <c r="C75" t="str">
        <f>TEXT(Mass!$B$3,"yyyy-mm-dd")</f>
        <v>2026-05-16</v>
      </c>
      <c r="D75">
        <f>Mass!$B$4</f>
        <v>0</v>
      </c>
      <c r="E75" t="str">
        <f>Mass!$B$5</f>
        <v>Initial business jet baseline (Challenger 350 / Praetor 500 class)</v>
      </c>
      <c r="F75">
        <f>Mass!A121</f>
        <v>52</v>
      </c>
      <c r="G75" t="str">
        <f>Mass!B121</f>
        <v>Fwd Pax Door RH</v>
      </c>
      <c r="H75">
        <f>Mass!C121</f>
        <v>0</v>
      </c>
      <c r="I75">
        <f>Mass!D121</f>
        <v>1</v>
      </c>
      <c r="J75">
        <f>Mass!E121</f>
        <v>35</v>
      </c>
      <c r="K75">
        <f>Mass!F121</f>
        <v>35</v>
      </c>
      <c r="L75">
        <f>Mass!G121</f>
        <v>4</v>
      </c>
      <c r="M75">
        <f>Mass!H121</f>
        <v>0.9</v>
      </c>
      <c r="N75">
        <f>Mass!I121</f>
        <v>1.4</v>
      </c>
      <c r="O75">
        <f>Mass!J121</f>
        <v>140</v>
      </c>
      <c r="P75">
        <f>Mass!K121</f>
        <v>31.5</v>
      </c>
      <c r="Q75">
        <f>Mass!L121</f>
        <v>49</v>
      </c>
      <c r="R75" t="str">
        <f>Mass!M121</f>
        <v>Service door</v>
      </c>
    </row>
    <row r="76" spans="1:18" x14ac:dyDescent="0.3">
      <c r="A76" t="str">
        <f>Mass!$B$1</f>
        <v>0.1.2</v>
      </c>
      <c r="B76" t="str">
        <f>Mass!$B$2</f>
        <v>Draft</v>
      </c>
      <c r="C76" t="str">
        <f>TEXT(Mass!$B$3,"yyyy-mm-dd")</f>
        <v>2026-05-16</v>
      </c>
      <c r="D76">
        <f>Mass!$B$4</f>
        <v>0</v>
      </c>
      <c r="E76" t="str">
        <f>Mass!$B$5</f>
        <v>Initial business jet baseline (Challenger 350 / Praetor 500 class)</v>
      </c>
      <c r="F76">
        <f>Mass!A122</f>
        <v>52</v>
      </c>
      <c r="G76" t="str">
        <f>Mass!B122</f>
        <v>Aft Pax Door LH</v>
      </c>
      <c r="H76">
        <f>Mass!C122</f>
        <v>0</v>
      </c>
      <c r="I76">
        <f>Mass!D122</f>
        <v>1</v>
      </c>
      <c r="J76">
        <f>Mass!E122</f>
        <v>30</v>
      </c>
      <c r="K76">
        <f>Mass!F122</f>
        <v>30</v>
      </c>
      <c r="L76">
        <f>Mass!G122</f>
        <v>15.5</v>
      </c>
      <c r="M76">
        <f>Mass!H122</f>
        <v>-0.9</v>
      </c>
      <c r="N76">
        <f>Mass!I122</f>
        <v>1.4</v>
      </c>
      <c r="O76">
        <f>Mass!J122</f>
        <v>465</v>
      </c>
      <c r="P76">
        <f>Mass!K122</f>
        <v>-27</v>
      </c>
      <c r="Q76">
        <f>Mass!L122</f>
        <v>42</v>
      </c>
      <c r="R76" t="str">
        <f>Mass!M122</f>
        <v>Emergency exit</v>
      </c>
    </row>
    <row r="77" spans="1:18" x14ac:dyDescent="0.3">
      <c r="A77" t="str">
        <f>Mass!$B$1</f>
        <v>0.1.2</v>
      </c>
      <c r="B77" t="str">
        <f>Mass!$B$2</f>
        <v>Draft</v>
      </c>
      <c r="C77" t="str">
        <f>TEXT(Mass!$B$3,"yyyy-mm-dd")</f>
        <v>2026-05-16</v>
      </c>
      <c r="D77">
        <f>Mass!$B$4</f>
        <v>0</v>
      </c>
      <c r="E77" t="str">
        <f>Mass!$B$5</f>
        <v>Initial business jet baseline (Challenger 350 / Praetor 500 class)</v>
      </c>
      <c r="F77">
        <f>Mass!A123</f>
        <v>52</v>
      </c>
      <c r="G77" t="str">
        <f>Mass!B123</f>
        <v>Aft Pax Door RH</v>
      </c>
      <c r="H77">
        <f>Mass!C123</f>
        <v>0</v>
      </c>
      <c r="I77">
        <f>Mass!D123</f>
        <v>1</v>
      </c>
      <c r="J77">
        <f>Mass!E123</f>
        <v>30</v>
      </c>
      <c r="K77">
        <f>Mass!F123</f>
        <v>30</v>
      </c>
      <c r="L77">
        <f>Mass!G123</f>
        <v>15.5</v>
      </c>
      <c r="M77">
        <f>Mass!H123</f>
        <v>0.9</v>
      </c>
      <c r="N77">
        <f>Mass!I123</f>
        <v>1.4</v>
      </c>
      <c r="O77">
        <f>Mass!J123</f>
        <v>465</v>
      </c>
      <c r="P77">
        <f>Mass!K123</f>
        <v>27</v>
      </c>
      <c r="Q77">
        <f>Mass!L123</f>
        <v>42</v>
      </c>
      <c r="R77" t="str">
        <f>Mass!M123</f>
        <v>Emergency exit</v>
      </c>
    </row>
    <row r="78" spans="1:18" x14ac:dyDescent="0.3">
      <c r="A78" t="str">
        <f>Mass!$B$1</f>
        <v>0.1.2</v>
      </c>
      <c r="B78" t="str">
        <f>Mass!$B$2</f>
        <v>Draft</v>
      </c>
      <c r="C78" t="str">
        <f>TEXT(Mass!$B$3,"yyyy-mm-dd")</f>
        <v>2026-05-16</v>
      </c>
      <c r="D78">
        <f>Mass!$B$4</f>
        <v>0</v>
      </c>
      <c r="E78" t="str">
        <f>Mass!$B$5</f>
        <v>Initial business jet baseline (Challenger 350 / Praetor 500 class)</v>
      </c>
      <c r="F78">
        <f>Mass!A124</f>
        <v>52</v>
      </c>
      <c r="G78" t="str">
        <f>Mass!B124</f>
        <v>Cargo Door Fwd</v>
      </c>
      <c r="H78">
        <f>Mass!C124</f>
        <v>0</v>
      </c>
      <c r="I78">
        <f>Mass!D124</f>
        <v>1</v>
      </c>
      <c r="J78">
        <f>Mass!E124</f>
        <v>45</v>
      </c>
      <c r="K78">
        <f>Mass!F124</f>
        <v>45</v>
      </c>
      <c r="L78">
        <f>Mass!G124</f>
        <v>4.5</v>
      </c>
      <c r="M78">
        <f>Mass!H124</f>
        <v>0</v>
      </c>
      <c r="N78">
        <f>Mass!I124</f>
        <v>0.5</v>
      </c>
      <c r="O78">
        <f>Mass!J124</f>
        <v>202.5</v>
      </c>
      <c r="P78">
        <f>Mass!K124</f>
        <v>0</v>
      </c>
      <c r="Q78">
        <f>Mass!L124</f>
        <v>22.5</v>
      </c>
      <c r="R78" t="str">
        <f>Mass!M124</f>
        <v>Belly nose baggage</v>
      </c>
    </row>
    <row r="79" spans="1:18" x14ac:dyDescent="0.3">
      <c r="A79" t="str">
        <f>Mass!$B$1</f>
        <v>0.1.2</v>
      </c>
      <c r="B79" t="str">
        <f>Mass!$B$2</f>
        <v>Draft</v>
      </c>
      <c r="C79" t="str">
        <f>TEXT(Mass!$B$3,"yyyy-mm-dd")</f>
        <v>2026-05-16</v>
      </c>
      <c r="D79">
        <f>Mass!$B$4</f>
        <v>0</v>
      </c>
      <c r="E79" t="str">
        <f>Mass!$B$5</f>
        <v>Initial business jet baseline (Challenger 350 / Praetor 500 class)</v>
      </c>
      <c r="F79">
        <f>Mass!A125</f>
        <v>52</v>
      </c>
      <c r="G79" t="str">
        <f>Mass!B125</f>
        <v>Cargo Door Aft</v>
      </c>
      <c r="H79">
        <f>Mass!C125</f>
        <v>0</v>
      </c>
      <c r="I79">
        <f>Mass!D125</f>
        <v>1</v>
      </c>
      <c r="J79">
        <f>Mass!E125</f>
        <v>55</v>
      </c>
      <c r="K79">
        <f>Mass!F125</f>
        <v>55</v>
      </c>
      <c r="L79">
        <f>Mass!G125</f>
        <v>16.5</v>
      </c>
      <c r="M79">
        <f>Mass!H125</f>
        <v>-0.9</v>
      </c>
      <c r="N79">
        <f>Mass!I125</f>
        <v>1.2</v>
      </c>
      <c r="O79">
        <f>Mass!J125</f>
        <v>907.5</v>
      </c>
      <c r="P79">
        <f>Mass!K125</f>
        <v>-49.5</v>
      </c>
      <c r="Q79">
        <f>Mass!L125</f>
        <v>66</v>
      </c>
      <c r="R79" t="str">
        <f>Mass!M125</f>
        <v>External aft baggage</v>
      </c>
    </row>
    <row r="80" spans="1:18" x14ac:dyDescent="0.3">
      <c r="A80" t="str">
        <f>Mass!$B$1</f>
        <v>0.1.2</v>
      </c>
      <c r="B80" t="str">
        <f>Mass!$B$2</f>
        <v>Draft</v>
      </c>
      <c r="C80" t="str">
        <f>TEXT(Mass!$B$3,"yyyy-mm-dd")</f>
        <v>2026-05-16</v>
      </c>
      <c r="D80">
        <f>Mass!$B$4</f>
        <v>0</v>
      </c>
      <c r="E80" t="str">
        <f>Mass!$B$5</f>
        <v>Initial business jet baseline (Challenger 350 / Praetor 500 class)</v>
      </c>
      <c r="F80">
        <f>Mass!A128</f>
        <v>53</v>
      </c>
      <c r="G80" t="str">
        <f>Mass!B128</f>
        <v>Fwd Fuselage Section</v>
      </c>
      <c r="H80">
        <f>Mass!C128</f>
        <v>0</v>
      </c>
      <c r="I80">
        <f>Mass!D128</f>
        <v>1</v>
      </c>
      <c r="J80">
        <f>Mass!E128</f>
        <v>550</v>
      </c>
      <c r="K80">
        <f>Mass!F128</f>
        <v>550</v>
      </c>
      <c r="L80">
        <f>Mass!G128</f>
        <v>3.5</v>
      </c>
      <c r="M80">
        <f>Mass!H128</f>
        <v>0</v>
      </c>
      <c r="N80">
        <f>Mass!I128</f>
        <v>1.5</v>
      </c>
      <c r="O80">
        <f>Mass!J128</f>
        <v>1925</v>
      </c>
      <c r="P80">
        <f>Mass!K128</f>
        <v>0</v>
      </c>
      <c r="Q80">
        <f>Mass!L128</f>
        <v>825</v>
      </c>
      <c r="R80" t="str">
        <f>Mass!M128</f>
        <v>Nose to fwd pressure bulkhead</v>
      </c>
    </row>
    <row r="81" spans="1:18" x14ac:dyDescent="0.3">
      <c r="A81" t="str">
        <f>Mass!$B$1</f>
        <v>0.1.2</v>
      </c>
      <c r="B81" t="str">
        <f>Mass!$B$2</f>
        <v>Draft</v>
      </c>
      <c r="C81" t="str">
        <f>TEXT(Mass!$B$3,"yyyy-mm-dd")</f>
        <v>2026-05-16</v>
      </c>
      <c r="D81">
        <f>Mass!$B$4</f>
        <v>0</v>
      </c>
      <c r="E81" t="str">
        <f>Mass!$B$5</f>
        <v>Initial business jet baseline (Challenger 350 / Praetor 500 class)</v>
      </c>
      <c r="F81">
        <f>Mass!A129</f>
        <v>53</v>
      </c>
      <c r="G81" t="str">
        <f>Mass!B129</f>
        <v>Center Fuselage Section</v>
      </c>
      <c r="H81">
        <f>Mass!C129</f>
        <v>0</v>
      </c>
      <c r="I81">
        <f>Mass!D129</f>
        <v>1</v>
      </c>
      <c r="J81">
        <f>Mass!E129</f>
        <v>950</v>
      </c>
      <c r="K81">
        <f>Mass!F129</f>
        <v>950</v>
      </c>
      <c r="L81">
        <f>Mass!G129</f>
        <v>10.5</v>
      </c>
      <c r="M81">
        <f>Mass!H129</f>
        <v>0</v>
      </c>
      <c r="N81">
        <f>Mass!I129</f>
        <v>1.7</v>
      </c>
      <c r="O81">
        <f>Mass!J129</f>
        <v>9975</v>
      </c>
      <c r="P81">
        <f>Mass!K129</f>
        <v>0</v>
      </c>
      <c r="Q81">
        <f>Mass!L129</f>
        <v>1615</v>
      </c>
      <c r="R81" t="str">
        <f>Mass!M129</f>
        <v>Wing carry-through</v>
      </c>
    </row>
    <row r="82" spans="1:18" x14ac:dyDescent="0.3">
      <c r="A82" t="str">
        <f>Mass!$B$1</f>
        <v>0.1.2</v>
      </c>
      <c r="B82" t="str">
        <f>Mass!$B$2</f>
        <v>Draft</v>
      </c>
      <c r="C82" t="str">
        <f>TEXT(Mass!$B$3,"yyyy-mm-dd")</f>
        <v>2026-05-16</v>
      </c>
      <c r="D82">
        <f>Mass!$B$4</f>
        <v>0</v>
      </c>
      <c r="E82" t="str">
        <f>Mass!$B$5</f>
        <v>Initial business jet baseline (Challenger 350 / Praetor 500 class)</v>
      </c>
      <c r="F82">
        <f>Mass!A130</f>
        <v>53</v>
      </c>
      <c r="G82" t="str">
        <f>Mass!B130</f>
        <v>Aft Fuselage Section</v>
      </c>
      <c r="H82">
        <f>Mass!C130</f>
        <v>0</v>
      </c>
      <c r="I82">
        <f>Mass!D130</f>
        <v>1</v>
      </c>
      <c r="J82">
        <f>Mass!E130</f>
        <v>650</v>
      </c>
      <c r="K82">
        <f>Mass!F130</f>
        <v>650</v>
      </c>
      <c r="L82">
        <f>Mass!G130</f>
        <v>16.5</v>
      </c>
      <c r="M82">
        <f>Mass!H130</f>
        <v>0</v>
      </c>
      <c r="N82">
        <f>Mass!I130</f>
        <v>1.8</v>
      </c>
      <c r="O82">
        <f>Mass!J130</f>
        <v>10725</v>
      </c>
      <c r="P82">
        <f>Mass!K130</f>
        <v>0</v>
      </c>
      <c r="Q82">
        <f>Mass!L130</f>
        <v>1170</v>
      </c>
      <c r="R82" t="str">
        <f>Mass!M130</f>
        <v>Pressurized aft + tailcone</v>
      </c>
    </row>
    <row r="83" spans="1:18" x14ac:dyDescent="0.3">
      <c r="A83" t="str">
        <f>Mass!$B$1</f>
        <v>0.1.2</v>
      </c>
      <c r="B83" t="str">
        <f>Mass!$B$2</f>
        <v>Draft</v>
      </c>
      <c r="C83" t="str">
        <f>TEXT(Mass!$B$3,"yyyy-mm-dd")</f>
        <v>2026-05-16</v>
      </c>
      <c r="D83">
        <f>Mass!$B$4</f>
        <v>0</v>
      </c>
      <c r="E83" t="str">
        <f>Mass!$B$5</f>
        <v>Initial business jet baseline (Challenger 350 / Praetor 500 class)</v>
      </c>
      <c r="F83">
        <f>Mass!A131</f>
        <v>53</v>
      </c>
      <c r="G83" t="str">
        <f>Mass!B131</f>
        <v>Pressure Bulkhead</v>
      </c>
      <c r="H83">
        <f>Mass!C131</f>
        <v>0</v>
      </c>
      <c r="I83">
        <f>Mass!D131</f>
        <v>1</v>
      </c>
      <c r="J83">
        <f>Mass!E131</f>
        <v>90</v>
      </c>
      <c r="K83">
        <f>Mass!F131</f>
        <v>90</v>
      </c>
      <c r="L83">
        <f>Mass!G131</f>
        <v>17.5</v>
      </c>
      <c r="M83">
        <f>Mass!H131</f>
        <v>0</v>
      </c>
      <c r="N83">
        <f>Mass!I131</f>
        <v>1.8</v>
      </c>
      <c r="O83">
        <f>Mass!J131</f>
        <v>1575</v>
      </c>
      <c r="P83">
        <f>Mass!K131</f>
        <v>0</v>
      </c>
      <c r="Q83">
        <f>Mass!L131</f>
        <v>162</v>
      </c>
      <c r="R83" t="str">
        <f>Mass!M131</f>
        <v>Aft pressure bulkhead</v>
      </c>
    </row>
    <row r="84" spans="1:18" x14ac:dyDescent="0.3">
      <c r="A84" t="str">
        <f>Mass!$B$1</f>
        <v>0.1.2</v>
      </c>
      <c r="B84" t="str">
        <f>Mass!$B$2</f>
        <v>Draft</v>
      </c>
      <c r="C84" t="str">
        <f>TEXT(Mass!$B$3,"yyyy-mm-dd")</f>
        <v>2026-05-16</v>
      </c>
      <c r="D84">
        <f>Mass!$B$4</f>
        <v>0</v>
      </c>
      <c r="E84" t="str">
        <f>Mass!$B$5</f>
        <v>Initial business jet baseline (Challenger 350 / Praetor 500 class)</v>
      </c>
      <c r="F84">
        <f>Mass!A134</f>
        <v>54</v>
      </c>
      <c r="G84" t="str">
        <f>Mass!B134</f>
        <v>Pylon LH</v>
      </c>
      <c r="H84">
        <f>Mass!C134</f>
        <v>0</v>
      </c>
      <c r="I84">
        <f>Mass!D134</f>
        <v>1</v>
      </c>
      <c r="J84">
        <f>Mass!E134</f>
        <v>110</v>
      </c>
      <c r="K84">
        <f>Mass!F134</f>
        <v>110</v>
      </c>
      <c r="L84">
        <f>Mass!G134</f>
        <v>13</v>
      </c>
      <c r="M84">
        <f>Mass!H134</f>
        <v>-1.2</v>
      </c>
      <c r="N84">
        <f>Mass!I134</f>
        <v>2.2000000000000002</v>
      </c>
      <c r="O84">
        <f>Mass!J134</f>
        <v>1430</v>
      </c>
      <c r="P84">
        <f>Mass!K134</f>
        <v>-132</v>
      </c>
      <c r="Q84">
        <f>Mass!L134</f>
        <v>242.00000000000003</v>
      </c>
      <c r="R84">
        <f>Mass!M134</f>
        <v>0</v>
      </c>
    </row>
    <row r="85" spans="1:18" x14ac:dyDescent="0.3">
      <c r="A85" t="str">
        <f>Mass!$B$1</f>
        <v>0.1.2</v>
      </c>
      <c r="B85" t="str">
        <f>Mass!$B$2</f>
        <v>Draft</v>
      </c>
      <c r="C85" t="str">
        <f>TEXT(Mass!$B$3,"yyyy-mm-dd")</f>
        <v>2026-05-16</v>
      </c>
      <c r="D85">
        <f>Mass!$B$4</f>
        <v>0</v>
      </c>
      <c r="E85" t="str">
        <f>Mass!$B$5</f>
        <v>Initial business jet baseline (Challenger 350 / Praetor 500 class)</v>
      </c>
      <c r="F85">
        <f>Mass!A135</f>
        <v>54</v>
      </c>
      <c r="G85" t="str">
        <f>Mass!B135</f>
        <v>Pylon RH</v>
      </c>
      <c r="H85">
        <f>Mass!C135</f>
        <v>0</v>
      </c>
      <c r="I85">
        <f>Mass!D135</f>
        <v>1</v>
      </c>
      <c r="J85">
        <f>Mass!E135</f>
        <v>110</v>
      </c>
      <c r="K85">
        <f>Mass!F135</f>
        <v>110</v>
      </c>
      <c r="L85">
        <f>Mass!G135</f>
        <v>13</v>
      </c>
      <c r="M85">
        <f>Mass!H135</f>
        <v>1.2</v>
      </c>
      <c r="N85">
        <f>Mass!I135</f>
        <v>2.2000000000000002</v>
      </c>
      <c r="O85">
        <f>Mass!J135</f>
        <v>1430</v>
      </c>
      <c r="P85">
        <f>Mass!K135</f>
        <v>132</v>
      </c>
      <c r="Q85">
        <f>Mass!L135</f>
        <v>242.00000000000003</v>
      </c>
      <c r="R85">
        <f>Mass!M135</f>
        <v>0</v>
      </c>
    </row>
    <row r="86" spans="1:18" x14ac:dyDescent="0.3">
      <c r="A86" t="str">
        <f>Mass!$B$1</f>
        <v>0.1.2</v>
      </c>
      <c r="B86" t="str">
        <f>Mass!$B$2</f>
        <v>Draft</v>
      </c>
      <c r="C86" t="str">
        <f>TEXT(Mass!$B$3,"yyyy-mm-dd")</f>
        <v>2026-05-16</v>
      </c>
      <c r="D86">
        <f>Mass!$B$4</f>
        <v>0</v>
      </c>
      <c r="E86" t="str">
        <f>Mass!$B$5</f>
        <v>Initial business jet baseline (Challenger 350 / Praetor 500 class)</v>
      </c>
      <c r="F86">
        <f>Mass!A136</f>
        <v>54</v>
      </c>
      <c r="G86" t="str">
        <f>Mass!B136</f>
        <v>Nacelle LH</v>
      </c>
      <c r="H86">
        <f>Mass!C136</f>
        <v>0</v>
      </c>
      <c r="I86">
        <f>Mass!D136</f>
        <v>1</v>
      </c>
      <c r="J86">
        <f>Mass!E136</f>
        <v>180</v>
      </c>
      <c r="K86">
        <f>Mass!F136</f>
        <v>180</v>
      </c>
      <c r="L86">
        <f>Mass!G136</f>
        <v>13.2</v>
      </c>
      <c r="M86">
        <f>Mass!H136</f>
        <v>-1.5</v>
      </c>
      <c r="N86">
        <f>Mass!I136</f>
        <v>2.2999999999999998</v>
      </c>
      <c r="O86">
        <f>Mass!J136</f>
        <v>2376</v>
      </c>
      <c r="P86">
        <f>Mass!K136</f>
        <v>-270</v>
      </c>
      <c r="Q86">
        <f>Mass!L136</f>
        <v>413.99999999999994</v>
      </c>
      <c r="R86">
        <f>Mass!M136</f>
        <v>0</v>
      </c>
    </row>
    <row r="87" spans="1:18" x14ac:dyDescent="0.3">
      <c r="A87" t="str">
        <f>Mass!$B$1</f>
        <v>0.1.2</v>
      </c>
      <c r="B87" t="str">
        <f>Mass!$B$2</f>
        <v>Draft</v>
      </c>
      <c r="C87" t="str">
        <f>TEXT(Mass!$B$3,"yyyy-mm-dd")</f>
        <v>2026-05-16</v>
      </c>
      <c r="D87">
        <f>Mass!$B$4</f>
        <v>0</v>
      </c>
      <c r="E87" t="str">
        <f>Mass!$B$5</f>
        <v>Initial business jet baseline (Challenger 350 / Praetor 500 class)</v>
      </c>
      <c r="F87">
        <f>Mass!A137</f>
        <v>54</v>
      </c>
      <c r="G87" t="str">
        <f>Mass!B137</f>
        <v>Nacelle RH</v>
      </c>
      <c r="H87">
        <f>Mass!C137</f>
        <v>0</v>
      </c>
      <c r="I87">
        <f>Mass!D137</f>
        <v>1</v>
      </c>
      <c r="J87">
        <f>Mass!E137</f>
        <v>180</v>
      </c>
      <c r="K87">
        <f>Mass!F137</f>
        <v>180</v>
      </c>
      <c r="L87">
        <f>Mass!G137</f>
        <v>13.2</v>
      </c>
      <c r="M87">
        <f>Mass!H137</f>
        <v>1.5</v>
      </c>
      <c r="N87">
        <f>Mass!I137</f>
        <v>2.2999999999999998</v>
      </c>
      <c r="O87">
        <f>Mass!J137</f>
        <v>2376</v>
      </c>
      <c r="P87">
        <f>Mass!K137</f>
        <v>270</v>
      </c>
      <c r="Q87">
        <f>Mass!L137</f>
        <v>413.99999999999994</v>
      </c>
      <c r="R87">
        <f>Mass!M137</f>
        <v>0</v>
      </c>
    </row>
    <row r="88" spans="1:18" x14ac:dyDescent="0.3">
      <c r="A88" t="str">
        <f>Mass!$B$1</f>
        <v>0.1.2</v>
      </c>
      <c r="B88" t="str">
        <f>Mass!$B$2</f>
        <v>Draft</v>
      </c>
      <c r="C88" t="str">
        <f>TEXT(Mass!$B$3,"yyyy-mm-dd")</f>
        <v>2026-05-16</v>
      </c>
      <c r="D88">
        <f>Mass!$B$4</f>
        <v>0</v>
      </c>
      <c r="E88" t="str">
        <f>Mass!$B$5</f>
        <v>Initial business jet baseline (Challenger 350 / Praetor 500 class)</v>
      </c>
      <c r="F88">
        <f>Mass!A140</f>
        <v>55</v>
      </c>
      <c r="G88" t="str">
        <f>Mass!B140</f>
        <v>Horizontal Stab</v>
      </c>
      <c r="H88">
        <f>Mass!C140</f>
        <v>0</v>
      </c>
      <c r="I88">
        <f>Mass!D140</f>
        <v>1</v>
      </c>
      <c r="J88">
        <f>Mass!E140</f>
        <v>280</v>
      </c>
      <c r="K88">
        <f>Mass!F140</f>
        <v>280</v>
      </c>
      <c r="L88">
        <f>Mass!G140</f>
        <v>19</v>
      </c>
      <c r="M88">
        <f>Mass!H140</f>
        <v>0</v>
      </c>
      <c r="N88">
        <f>Mass!I140</f>
        <v>5</v>
      </c>
      <c r="O88">
        <f>Mass!J140</f>
        <v>5320</v>
      </c>
      <c r="P88">
        <f>Mass!K140</f>
        <v>0</v>
      </c>
      <c r="Q88">
        <f>Mass!L140</f>
        <v>1400</v>
      </c>
      <c r="R88" t="str">
        <f>Mass!M140</f>
        <v>T-tail top of vertical</v>
      </c>
    </row>
    <row r="89" spans="1:18" x14ac:dyDescent="0.3">
      <c r="A89" t="str">
        <f>Mass!$B$1</f>
        <v>0.1.2</v>
      </c>
      <c r="B89" t="str">
        <f>Mass!$B$2</f>
        <v>Draft</v>
      </c>
      <c r="C89" t="str">
        <f>TEXT(Mass!$B$3,"yyyy-mm-dd")</f>
        <v>2026-05-16</v>
      </c>
      <c r="D89">
        <f>Mass!$B$4</f>
        <v>0</v>
      </c>
      <c r="E89" t="str">
        <f>Mass!$B$5</f>
        <v>Initial business jet baseline (Challenger 350 / Praetor 500 class)</v>
      </c>
      <c r="F89">
        <f>Mass!A141</f>
        <v>55</v>
      </c>
      <c r="G89" t="str">
        <f>Mass!B141</f>
        <v>Vertical Stab</v>
      </c>
      <c r="H89">
        <f>Mass!C141</f>
        <v>0</v>
      </c>
      <c r="I89">
        <f>Mass!D141</f>
        <v>1</v>
      </c>
      <c r="J89">
        <f>Mass!E141</f>
        <v>320</v>
      </c>
      <c r="K89">
        <f>Mass!F141</f>
        <v>320</v>
      </c>
      <c r="L89">
        <f>Mass!G141</f>
        <v>18.5</v>
      </c>
      <c r="M89">
        <f>Mass!H141</f>
        <v>0</v>
      </c>
      <c r="N89">
        <f>Mass!I141</f>
        <v>3.5</v>
      </c>
      <c r="O89">
        <f>Mass!J141</f>
        <v>5920</v>
      </c>
      <c r="P89">
        <f>Mass!K141</f>
        <v>0</v>
      </c>
      <c r="Q89">
        <f>Mass!L141</f>
        <v>1120</v>
      </c>
      <c r="R89">
        <f>Mass!M141</f>
        <v>0</v>
      </c>
    </row>
    <row r="90" spans="1:18" x14ac:dyDescent="0.3">
      <c r="A90" t="str">
        <f>Mass!$B$1</f>
        <v>0.1.2</v>
      </c>
      <c r="B90" t="str">
        <f>Mass!$B$2</f>
        <v>Draft</v>
      </c>
      <c r="C90" t="str">
        <f>TEXT(Mass!$B$3,"yyyy-mm-dd")</f>
        <v>2026-05-16</v>
      </c>
      <c r="D90">
        <f>Mass!$B$4</f>
        <v>0</v>
      </c>
      <c r="E90" t="str">
        <f>Mass!$B$5</f>
        <v>Initial business jet baseline (Challenger 350 / Praetor 500 class)</v>
      </c>
      <c r="F90">
        <f>Mass!A144</f>
        <v>56</v>
      </c>
      <c r="G90" t="str">
        <f>Mass!B144</f>
        <v>Flight Deck Windows</v>
      </c>
      <c r="H90">
        <f>Mass!C144</f>
        <v>0</v>
      </c>
      <c r="I90">
        <f>Mass!D144</f>
        <v>1</v>
      </c>
      <c r="J90">
        <f>Mass!E144</f>
        <v>85</v>
      </c>
      <c r="K90">
        <f>Mass!F144</f>
        <v>85</v>
      </c>
      <c r="L90">
        <f>Mass!G144</f>
        <v>3.2</v>
      </c>
      <c r="M90">
        <f>Mass!H144</f>
        <v>0</v>
      </c>
      <c r="N90">
        <f>Mass!I144</f>
        <v>2</v>
      </c>
      <c r="O90">
        <f>Mass!J144</f>
        <v>272</v>
      </c>
      <c r="P90">
        <f>Mass!K144</f>
        <v>0</v>
      </c>
      <c r="Q90">
        <f>Mass!L144</f>
        <v>170</v>
      </c>
      <c r="R90" t="str">
        <f>Mass!M144</f>
        <v>5-panel, lumped</v>
      </c>
    </row>
    <row r="91" spans="1:18" x14ac:dyDescent="0.3">
      <c r="A91" t="str">
        <f>Mass!$B$1</f>
        <v>0.1.2</v>
      </c>
      <c r="B91" t="str">
        <f>Mass!$B$2</f>
        <v>Draft</v>
      </c>
      <c r="C91" t="str">
        <f>TEXT(Mass!$B$3,"yyyy-mm-dd")</f>
        <v>2026-05-16</v>
      </c>
      <c r="D91">
        <f>Mass!$B$4</f>
        <v>0</v>
      </c>
      <c r="E91" t="str">
        <f>Mass!$B$5</f>
        <v>Initial business jet baseline (Challenger 350 / Praetor 500 class)</v>
      </c>
      <c r="F91">
        <f>Mass!A145</f>
        <v>56</v>
      </c>
      <c r="G91" t="str">
        <f>Mass!B145</f>
        <v>Cabin Windows</v>
      </c>
      <c r="H91">
        <f>Mass!C145</f>
        <v>0</v>
      </c>
      <c r="I91">
        <f>Mass!D145</f>
        <v>14</v>
      </c>
      <c r="J91">
        <f>Mass!E145</f>
        <v>10</v>
      </c>
      <c r="K91">
        <f>Mass!F145</f>
        <v>140</v>
      </c>
      <c r="L91">
        <f>Mass!G145</f>
        <v>8.5</v>
      </c>
      <c r="M91">
        <f>Mass!H145</f>
        <v>0</v>
      </c>
      <c r="N91">
        <f>Mass!I145</f>
        <v>2</v>
      </c>
      <c r="O91">
        <f>Mass!J145</f>
        <v>1190</v>
      </c>
      <c r="P91">
        <f>Mass!K145</f>
        <v>0</v>
      </c>
      <c r="Q91">
        <f>Mass!L145</f>
        <v>280</v>
      </c>
      <c r="R91" t="str">
        <f>Mass!M145</f>
        <v>7 per side</v>
      </c>
    </row>
    <row r="92" spans="1:18" x14ac:dyDescent="0.3">
      <c r="A92" t="str">
        <f>Mass!$B$1</f>
        <v>0.1.2</v>
      </c>
      <c r="B92" t="str">
        <f>Mass!$B$2</f>
        <v>Draft</v>
      </c>
      <c r="C92" t="str">
        <f>TEXT(Mass!$B$3,"yyyy-mm-dd")</f>
        <v>2026-05-16</v>
      </c>
      <c r="D92">
        <f>Mass!$B$4</f>
        <v>0</v>
      </c>
      <c r="E92" t="str">
        <f>Mass!$B$5</f>
        <v>Initial business jet baseline (Challenger 350 / Praetor 500 class)</v>
      </c>
      <c r="F92">
        <f>Mass!A148</f>
        <v>57</v>
      </c>
      <c r="G92" t="str">
        <f>Mass!B148</f>
        <v>Wing Box LH</v>
      </c>
      <c r="H92">
        <f>Mass!C148</f>
        <v>0</v>
      </c>
      <c r="I92">
        <f>Mass!D148</f>
        <v>1</v>
      </c>
      <c r="J92">
        <f>Mass!E148</f>
        <v>480</v>
      </c>
      <c r="K92">
        <f>Mass!F148</f>
        <v>480</v>
      </c>
      <c r="L92">
        <f>Mass!G148</f>
        <v>10.5</v>
      </c>
      <c r="M92">
        <f>Mass!H148</f>
        <v>-3</v>
      </c>
      <c r="N92">
        <f>Mass!I148</f>
        <v>1.9</v>
      </c>
      <c r="O92">
        <f>Mass!J148</f>
        <v>5040</v>
      </c>
      <c r="P92">
        <f>Mass!K148</f>
        <v>-1440</v>
      </c>
      <c r="Q92">
        <f>Mass!L148</f>
        <v>912</v>
      </c>
      <c r="R92">
        <f>Mass!M148</f>
        <v>0</v>
      </c>
    </row>
    <row r="93" spans="1:18" x14ac:dyDescent="0.3">
      <c r="A93" t="str">
        <f>Mass!$B$1</f>
        <v>0.1.2</v>
      </c>
      <c r="B93" t="str">
        <f>Mass!$B$2</f>
        <v>Draft</v>
      </c>
      <c r="C93" t="str">
        <f>TEXT(Mass!$B$3,"yyyy-mm-dd")</f>
        <v>2026-05-16</v>
      </c>
      <c r="D93">
        <f>Mass!$B$4</f>
        <v>0</v>
      </c>
      <c r="E93" t="str">
        <f>Mass!$B$5</f>
        <v>Initial business jet baseline (Challenger 350 / Praetor 500 class)</v>
      </c>
      <c r="F93">
        <f>Mass!A149</f>
        <v>57</v>
      </c>
      <c r="G93" t="str">
        <f>Mass!B149</f>
        <v>Wing Box RH</v>
      </c>
      <c r="H93">
        <f>Mass!C149</f>
        <v>0</v>
      </c>
      <c r="I93">
        <f>Mass!D149</f>
        <v>1</v>
      </c>
      <c r="J93">
        <f>Mass!E149</f>
        <v>480</v>
      </c>
      <c r="K93">
        <f>Mass!F149</f>
        <v>480</v>
      </c>
      <c r="L93">
        <f>Mass!G149</f>
        <v>10.5</v>
      </c>
      <c r="M93">
        <f>Mass!H149</f>
        <v>3</v>
      </c>
      <c r="N93">
        <f>Mass!I149</f>
        <v>1.9</v>
      </c>
      <c r="O93">
        <f>Mass!J149</f>
        <v>5040</v>
      </c>
      <c r="P93">
        <f>Mass!K149</f>
        <v>1440</v>
      </c>
      <c r="Q93">
        <f>Mass!L149</f>
        <v>912</v>
      </c>
      <c r="R93">
        <f>Mass!M149</f>
        <v>0</v>
      </c>
    </row>
    <row r="94" spans="1:18" x14ac:dyDescent="0.3">
      <c r="A94" t="str">
        <f>Mass!$B$1</f>
        <v>0.1.2</v>
      </c>
      <c r="B94" t="str">
        <f>Mass!$B$2</f>
        <v>Draft</v>
      </c>
      <c r="C94" t="str">
        <f>TEXT(Mass!$B$3,"yyyy-mm-dd")</f>
        <v>2026-05-16</v>
      </c>
      <c r="D94">
        <f>Mass!$B$4</f>
        <v>0</v>
      </c>
      <c r="E94" t="str">
        <f>Mass!$B$5</f>
        <v>Initial business jet baseline (Challenger 350 / Praetor 500 class)</v>
      </c>
      <c r="F94">
        <f>Mass!A150</f>
        <v>57</v>
      </c>
      <c r="G94" t="str">
        <f>Mass!B150</f>
        <v>Wing Skins LH</v>
      </c>
      <c r="H94">
        <f>Mass!C150</f>
        <v>0</v>
      </c>
      <c r="I94">
        <f>Mass!D150</f>
        <v>1</v>
      </c>
      <c r="J94">
        <f>Mass!E150</f>
        <v>220</v>
      </c>
      <c r="K94">
        <f>Mass!F150</f>
        <v>220</v>
      </c>
      <c r="L94">
        <f>Mass!G150</f>
        <v>10.5</v>
      </c>
      <c r="M94">
        <f>Mass!H150</f>
        <v>-5</v>
      </c>
      <c r="N94">
        <f>Mass!I150</f>
        <v>2</v>
      </c>
      <c r="O94">
        <f>Mass!J150</f>
        <v>2310</v>
      </c>
      <c r="P94">
        <f>Mass!K150</f>
        <v>-1100</v>
      </c>
      <c r="Q94">
        <f>Mass!L150</f>
        <v>440</v>
      </c>
      <c r="R94">
        <f>Mass!M150</f>
        <v>0</v>
      </c>
    </row>
    <row r="95" spans="1:18" x14ac:dyDescent="0.3">
      <c r="A95" t="str">
        <f>Mass!$B$1</f>
        <v>0.1.2</v>
      </c>
      <c r="B95" t="str">
        <f>Mass!$B$2</f>
        <v>Draft</v>
      </c>
      <c r="C95" t="str">
        <f>TEXT(Mass!$B$3,"yyyy-mm-dd")</f>
        <v>2026-05-16</v>
      </c>
      <c r="D95">
        <f>Mass!$B$4</f>
        <v>0</v>
      </c>
      <c r="E95" t="str">
        <f>Mass!$B$5</f>
        <v>Initial business jet baseline (Challenger 350 / Praetor 500 class)</v>
      </c>
      <c r="F95">
        <f>Mass!A151</f>
        <v>57</v>
      </c>
      <c r="G95" t="str">
        <f>Mass!B151</f>
        <v>Wing Skins RH</v>
      </c>
      <c r="H95">
        <f>Mass!C151</f>
        <v>0</v>
      </c>
      <c r="I95">
        <f>Mass!D151</f>
        <v>1</v>
      </c>
      <c r="J95">
        <f>Mass!E151</f>
        <v>220</v>
      </c>
      <c r="K95">
        <f>Mass!F151</f>
        <v>220</v>
      </c>
      <c r="L95">
        <f>Mass!G151</f>
        <v>10.5</v>
      </c>
      <c r="M95">
        <f>Mass!H151</f>
        <v>5</v>
      </c>
      <c r="N95">
        <f>Mass!I151</f>
        <v>2</v>
      </c>
      <c r="O95">
        <f>Mass!J151</f>
        <v>2310</v>
      </c>
      <c r="P95">
        <f>Mass!K151</f>
        <v>1100</v>
      </c>
      <c r="Q95">
        <f>Mass!L151</f>
        <v>440</v>
      </c>
      <c r="R95">
        <f>Mass!M151</f>
        <v>0</v>
      </c>
    </row>
    <row r="96" spans="1:18" x14ac:dyDescent="0.3">
      <c r="A96" t="str">
        <f>Mass!$B$1</f>
        <v>0.1.2</v>
      </c>
      <c r="B96" t="str">
        <f>Mass!$B$2</f>
        <v>Draft</v>
      </c>
      <c r="C96" t="str">
        <f>TEXT(Mass!$B$3,"yyyy-mm-dd")</f>
        <v>2026-05-16</v>
      </c>
      <c r="D96">
        <f>Mass!$B$4</f>
        <v>0</v>
      </c>
      <c r="E96" t="str">
        <f>Mass!$B$5</f>
        <v>Initial business jet baseline (Challenger 350 / Praetor 500 class)</v>
      </c>
      <c r="F96">
        <f>Mass!A152</f>
        <v>57</v>
      </c>
      <c r="G96" t="str">
        <f>Mass!B152</f>
        <v>Leading Edge</v>
      </c>
      <c r="H96">
        <f>Mass!C152</f>
        <v>0</v>
      </c>
      <c r="I96">
        <f>Mass!D152</f>
        <v>1</v>
      </c>
      <c r="J96">
        <f>Mass!E152</f>
        <v>110</v>
      </c>
      <c r="K96">
        <f>Mass!F152</f>
        <v>110</v>
      </c>
      <c r="L96">
        <f>Mass!G152</f>
        <v>10</v>
      </c>
      <c r="M96">
        <f>Mass!H152</f>
        <v>0</v>
      </c>
      <c r="N96">
        <f>Mass!I152</f>
        <v>2</v>
      </c>
      <c r="O96">
        <f>Mass!J152</f>
        <v>1100</v>
      </c>
      <c r="P96">
        <f>Mass!K152</f>
        <v>0</v>
      </c>
      <c r="Q96">
        <f>Mass!L152</f>
        <v>220</v>
      </c>
      <c r="R96" t="str">
        <f>Mass!M152</f>
        <v>Both wings, lumped</v>
      </c>
    </row>
    <row r="97" spans="1:18" x14ac:dyDescent="0.3">
      <c r="A97" t="str">
        <f>Mass!$B$1</f>
        <v>0.1.2</v>
      </c>
      <c r="B97" t="str">
        <f>Mass!$B$2</f>
        <v>Draft</v>
      </c>
      <c r="C97" t="str">
        <f>TEXT(Mass!$B$3,"yyyy-mm-dd")</f>
        <v>2026-05-16</v>
      </c>
      <c r="D97">
        <f>Mass!$B$4</f>
        <v>0</v>
      </c>
      <c r="E97" t="str">
        <f>Mass!$B$5</f>
        <v>Initial business jet baseline (Challenger 350 / Praetor 500 class)</v>
      </c>
      <c r="F97">
        <f>Mass!A153</f>
        <v>57</v>
      </c>
      <c r="G97" t="str">
        <f>Mass!B153</f>
        <v>Trailing Edge</v>
      </c>
      <c r="H97">
        <f>Mass!C153</f>
        <v>0</v>
      </c>
      <c r="I97">
        <f>Mass!D153</f>
        <v>1</v>
      </c>
      <c r="J97">
        <f>Mass!E153</f>
        <v>130</v>
      </c>
      <c r="K97">
        <f>Mass!F153</f>
        <v>130</v>
      </c>
      <c r="L97">
        <f>Mass!G153</f>
        <v>11.5</v>
      </c>
      <c r="M97">
        <f>Mass!H153</f>
        <v>0</v>
      </c>
      <c r="N97">
        <f>Mass!I153</f>
        <v>2</v>
      </c>
      <c r="O97">
        <f>Mass!J153</f>
        <v>1495</v>
      </c>
      <c r="P97">
        <f>Mass!K153</f>
        <v>0</v>
      </c>
      <c r="Q97">
        <f>Mass!L153</f>
        <v>260</v>
      </c>
      <c r="R97" t="str">
        <f>Mass!M153</f>
        <v>Both wings, lumped</v>
      </c>
    </row>
    <row r="98" spans="1:18" x14ac:dyDescent="0.3">
      <c r="A98" t="str">
        <f>Mass!$B$1</f>
        <v>0.1.2</v>
      </c>
      <c r="B98" t="str">
        <f>Mass!$B$2</f>
        <v>Draft</v>
      </c>
      <c r="C98" t="str">
        <f>TEXT(Mass!$B$3,"yyyy-mm-dd")</f>
        <v>2026-05-16</v>
      </c>
      <c r="D98">
        <f>Mass!$B$4</f>
        <v>0</v>
      </c>
      <c r="E98" t="str">
        <f>Mass!$B$5</f>
        <v>Initial business jet baseline (Challenger 350 / Praetor 500 class)</v>
      </c>
      <c r="F98">
        <f>Mass!A156</f>
        <v>71</v>
      </c>
      <c r="G98" t="str">
        <f>Mass!B156</f>
        <v>Engine 1 Core</v>
      </c>
      <c r="H98">
        <f>Mass!C156</f>
        <v>0</v>
      </c>
      <c r="I98">
        <f>Mass!D156</f>
        <v>1</v>
      </c>
      <c r="J98">
        <f>Mass!E156</f>
        <v>750</v>
      </c>
      <c r="K98">
        <f>Mass!F156</f>
        <v>750</v>
      </c>
      <c r="L98">
        <f>Mass!G156</f>
        <v>13.2</v>
      </c>
      <c r="M98">
        <f>Mass!H156</f>
        <v>-1.2</v>
      </c>
      <c r="N98">
        <f>Mass!I156</f>
        <v>2.2999999999999998</v>
      </c>
      <c r="O98">
        <f>Mass!J156</f>
        <v>9900</v>
      </c>
      <c r="P98">
        <f>Mass!K156</f>
        <v>-900</v>
      </c>
      <c r="Q98">
        <f>Mass!L156</f>
        <v>1724.9999999999998</v>
      </c>
      <c r="R98" t="str">
        <f>Mass!M156</f>
        <v>Dry weight, aft fuselage mount</v>
      </c>
    </row>
    <row r="99" spans="1:18" x14ac:dyDescent="0.3">
      <c r="A99" t="str">
        <f>Mass!$B$1</f>
        <v>0.1.2</v>
      </c>
      <c r="B99" t="str">
        <f>Mass!$B$2</f>
        <v>Draft</v>
      </c>
      <c r="C99" t="str">
        <f>TEXT(Mass!$B$3,"yyyy-mm-dd")</f>
        <v>2026-05-16</v>
      </c>
      <c r="D99">
        <f>Mass!$B$4</f>
        <v>0</v>
      </c>
      <c r="E99" t="str">
        <f>Mass!$B$5</f>
        <v>Initial business jet baseline (Challenger 350 / Praetor 500 class)</v>
      </c>
      <c r="F99">
        <f>Mass!A157</f>
        <v>71</v>
      </c>
      <c r="G99" t="str">
        <f>Mass!B157</f>
        <v>Engine 2 Core</v>
      </c>
      <c r="H99">
        <f>Mass!C157</f>
        <v>0</v>
      </c>
      <c r="I99">
        <f>Mass!D157</f>
        <v>1</v>
      </c>
      <c r="J99">
        <f>Mass!E157</f>
        <v>750</v>
      </c>
      <c r="K99">
        <f>Mass!F157</f>
        <v>750</v>
      </c>
      <c r="L99">
        <f>Mass!G157</f>
        <v>13.2</v>
      </c>
      <c r="M99">
        <f>Mass!H157</f>
        <v>1.2</v>
      </c>
      <c r="N99">
        <f>Mass!I157</f>
        <v>2.2999999999999998</v>
      </c>
      <c r="O99">
        <f>Mass!J157</f>
        <v>9900</v>
      </c>
      <c r="P99">
        <f>Mass!K157</f>
        <v>900</v>
      </c>
      <c r="Q99">
        <f>Mass!L157</f>
        <v>1724.9999999999998</v>
      </c>
      <c r="R99" t="str">
        <f>Mass!M157</f>
        <v>Dry weight, aft fuselage mount</v>
      </c>
    </row>
    <row r="100" spans="1:18" x14ac:dyDescent="0.3">
      <c r="A100" t="str">
        <f>Mass!$B$1</f>
        <v>0.1.2</v>
      </c>
      <c r="B100" t="str">
        <f>Mass!$B$2</f>
        <v>Draft</v>
      </c>
      <c r="C100" t="str">
        <f>TEXT(Mass!$B$3,"yyyy-mm-dd")</f>
        <v>2026-05-16</v>
      </c>
      <c r="D100">
        <f>Mass!$B$4</f>
        <v>0</v>
      </c>
      <c r="E100" t="str">
        <f>Mass!$B$5</f>
        <v>Initial business jet baseline (Challenger 350 / Praetor 500 class)</v>
      </c>
      <c r="F100">
        <f>Mass!A158</f>
        <v>71</v>
      </c>
      <c r="G100" t="str">
        <f>Mass!B158</f>
        <v>Engine Mounts LH</v>
      </c>
      <c r="H100">
        <f>Mass!C158</f>
        <v>0</v>
      </c>
      <c r="I100">
        <f>Mass!D158</f>
        <v>1</v>
      </c>
      <c r="J100">
        <f>Mass!E158</f>
        <v>40</v>
      </c>
      <c r="K100">
        <f>Mass!F158</f>
        <v>40</v>
      </c>
      <c r="L100">
        <f>Mass!G158</f>
        <v>13</v>
      </c>
      <c r="M100">
        <f>Mass!H158</f>
        <v>-1.2</v>
      </c>
      <c r="N100">
        <f>Mass!I158</f>
        <v>2.2999999999999998</v>
      </c>
      <c r="O100">
        <f>Mass!J158</f>
        <v>520</v>
      </c>
      <c r="P100">
        <f>Mass!K158</f>
        <v>-48</v>
      </c>
      <c r="Q100">
        <f>Mass!L158</f>
        <v>92</v>
      </c>
      <c r="R100">
        <f>Mass!M158</f>
        <v>0</v>
      </c>
    </row>
    <row r="101" spans="1:18" x14ac:dyDescent="0.3">
      <c r="A101" t="str">
        <f>Mass!$B$1</f>
        <v>0.1.2</v>
      </c>
      <c r="B101" t="str">
        <f>Mass!$B$2</f>
        <v>Draft</v>
      </c>
      <c r="C101" t="str">
        <f>TEXT(Mass!$B$3,"yyyy-mm-dd")</f>
        <v>2026-05-16</v>
      </c>
      <c r="D101">
        <f>Mass!$B$4</f>
        <v>0</v>
      </c>
      <c r="E101" t="str">
        <f>Mass!$B$5</f>
        <v>Initial business jet baseline (Challenger 350 / Praetor 500 class)</v>
      </c>
      <c r="F101">
        <f>Mass!A159</f>
        <v>71</v>
      </c>
      <c r="G101" t="str">
        <f>Mass!B159</f>
        <v>Engine Mounts RH</v>
      </c>
      <c r="H101">
        <f>Mass!C159</f>
        <v>0</v>
      </c>
      <c r="I101">
        <f>Mass!D159</f>
        <v>1</v>
      </c>
      <c r="J101">
        <f>Mass!E159</f>
        <v>40</v>
      </c>
      <c r="K101">
        <f>Mass!F159</f>
        <v>40</v>
      </c>
      <c r="L101">
        <f>Mass!G159</f>
        <v>13</v>
      </c>
      <c r="M101">
        <f>Mass!H159</f>
        <v>1.2</v>
      </c>
      <c r="N101">
        <f>Mass!I159</f>
        <v>2.2999999999999998</v>
      </c>
      <c r="O101">
        <f>Mass!J159</f>
        <v>520</v>
      </c>
      <c r="P101">
        <f>Mass!K159</f>
        <v>48</v>
      </c>
      <c r="Q101">
        <f>Mass!L159</f>
        <v>92</v>
      </c>
      <c r="R101">
        <f>Mass!M159</f>
        <v>0</v>
      </c>
    </row>
    <row r="102" spans="1:18" x14ac:dyDescent="0.3">
      <c r="A102" t="str">
        <f>Mass!$B$1</f>
        <v>0.1.2</v>
      </c>
      <c r="B102" t="str">
        <f>Mass!$B$2</f>
        <v>Draft</v>
      </c>
      <c r="C102" t="str">
        <f>TEXT(Mass!$B$3,"yyyy-mm-dd")</f>
        <v>2026-05-16</v>
      </c>
      <c r="D102">
        <f>Mass!$B$4</f>
        <v>0</v>
      </c>
      <c r="E102" t="str">
        <f>Mass!$B$5</f>
        <v>Initial business jet baseline (Challenger 350 / Praetor 500 class)</v>
      </c>
      <c r="F102">
        <f>Mass!A162</f>
        <v>73</v>
      </c>
      <c r="G102" t="str">
        <f>Mass!B162</f>
        <v>FADEC 1</v>
      </c>
      <c r="H102">
        <f>Mass!C162</f>
        <v>0</v>
      </c>
      <c r="I102">
        <f>Mass!D162</f>
        <v>1</v>
      </c>
      <c r="J102">
        <f>Mass!E162</f>
        <v>8</v>
      </c>
      <c r="K102">
        <f>Mass!F162</f>
        <v>8</v>
      </c>
      <c r="L102">
        <f>Mass!G162</f>
        <v>13</v>
      </c>
      <c r="M102">
        <f>Mass!H162</f>
        <v>-1.2</v>
      </c>
      <c r="N102">
        <f>Mass!I162</f>
        <v>2.2999999999999998</v>
      </c>
      <c r="O102">
        <f>Mass!J162</f>
        <v>104</v>
      </c>
      <c r="P102">
        <f>Mass!K162</f>
        <v>-9.6</v>
      </c>
      <c r="Q102">
        <f>Mass!L162</f>
        <v>18.399999999999999</v>
      </c>
      <c r="R102">
        <f>Mass!M162</f>
        <v>0</v>
      </c>
    </row>
    <row r="103" spans="1:18" x14ac:dyDescent="0.3">
      <c r="A103" t="str">
        <f>Mass!$B$1</f>
        <v>0.1.2</v>
      </c>
      <c r="B103" t="str">
        <f>Mass!$B$2</f>
        <v>Draft</v>
      </c>
      <c r="C103" t="str">
        <f>TEXT(Mass!$B$3,"yyyy-mm-dd")</f>
        <v>2026-05-16</v>
      </c>
      <c r="D103">
        <f>Mass!$B$4</f>
        <v>0</v>
      </c>
      <c r="E103" t="str">
        <f>Mass!$B$5</f>
        <v>Initial business jet baseline (Challenger 350 / Praetor 500 class)</v>
      </c>
      <c r="F103">
        <f>Mass!A163</f>
        <v>73</v>
      </c>
      <c r="G103" t="str">
        <f>Mass!B163</f>
        <v>FADEC 2</v>
      </c>
      <c r="H103">
        <f>Mass!C163</f>
        <v>0</v>
      </c>
      <c r="I103">
        <f>Mass!D163</f>
        <v>1</v>
      </c>
      <c r="J103">
        <f>Mass!E163</f>
        <v>8</v>
      </c>
      <c r="K103">
        <f>Mass!F163</f>
        <v>8</v>
      </c>
      <c r="L103">
        <f>Mass!G163</f>
        <v>13</v>
      </c>
      <c r="M103">
        <f>Mass!H163</f>
        <v>1.2</v>
      </c>
      <c r="N103">
        <f>Mass!I163</f>
        <v>2.2999999999999998</v>
      </c>
      <c r="O103">
        <f>Mass!J163</f>
        <v>104</v>
      </c>
      <c r="P103">
        <f>Mass!K163</f>
        <v>9.6</v>
      </c>
      <c r="Q103">
        <f>Mass!L163</f>
        <v>18.399999999999999</v>
      </c>
      <c r="R103">
        <f>Mass!M163</f>
        <v>0</v>
      </c>
    </row>
    <row r="104" spans="1:18" x14ac:dyDescent="0.3">
      <c r="A104" t="str">
        <f>Mass!$B$1</f>
        <v>0.1.2</v>
      </c>
      <c r="B104" t="str">
        <f>Mass!$B$2</f>
        <v>Draft</v>
      </c>
      <c r="C104" t="str">
        <f>TEXT(Mass!$B$3,"yyyy-mm-dd")</f>
        <v>2026-05-16</v>
      </c>
      <c r="D104">
        <f>Mass!$B$4</f>
        <v>0</v>
      </c>
      <c r="E104" t="str">
        <f>Mass!$B$5</f>
        <v>Initial business jet baseline (Challenger 350 / Praetor 500 class)</v>
      </c>
      <c r="F104">
        <f>Mass!A164</f>
        <v>73</v>
      </c>
      <c r="G104" t="str">
        <f>Mass!B164</f>
        <v>Fuel Metering Unit 1</v>
      </c>
      <c r="H104">
        <f>Mass!C164</f>
        <v>0</v>
      </c>
      <c r="I104">
        <f>Mass!D164</f>
        <v>1</v>
      </c>
      <c r="J104">
        <f>Mass!E164</f>
        <v>12</v>
      </c>
      <c r="K104">
        <f>Mass!F164</f>
        <v>12</v>
      </c>
      <c r="L104">
        <f>Mass!G164</f>
        <v>13</v>
      </c>
      <c r="M104">
        <f>Mass!H164</f>
        <v>-1.2</v>
      </c>
      <c r="N104">
        <f>Mass!I164</f>
        <v>2.2999999999999998</v>
      </c>
      <c r="O104">
        <f>Mass!J164</f>
        <v>156</v>
      </c>
      <c r="P104">
        <f>Mass!K164</f>
        <v>-14.399999999999999</v>
      </c>
      <c r="Q104">
        <f>Mass!L164</f>
        <v>27.599999999999998</v>
      </c>
      <c r="R104">
        <f>Mass!M164</f>
        <v>0</v>
      </c>
    </row>
    <row r="105" spans="1:18" x14ac:dyDescent="0.3">
      <c r="A105" t="str">
        <f>Mass!$B$1</f>
        <v>0.1.2</v>
      </c>
      <c r="B105" t="str">
        <f>Mass!$B$2</f>
        <v>Draft</v>
      </c>
      <c r="C105" t="str">
        <f>TEXT(Mass!$B$3,"yyyy-mm-dd")</f>
        <v>2026-05-16</v>
      </c>
      <c r="D105">
        <f>Mass!$B$4</f>
        <v>0</v>
      </c>
      <c r="E105" t="str">
        <f>Mass!$B$5</f>
        <v>Initial business jet baseline (Challenger 350 / Praetor 500 class)</v>
      </c>
      <c r="F105">
        <f>Mass!A165</f>
        <v>73</v>
      </c>
      <c r="G105" t="str">
        <f>Mass!B165</f>
        <v>Fuel Metering Unit 2</v>
      </c>
      <c r="H105">
        <f>Mass!C165</f>
        <v>0</v>
      </c>
      <c r="I105">
        <f>Mass!D165</f>
        <v>1</v>
      </c>
      <c r="J105">
        <f>Mass!E165</f>
        <v>12</v>
      </c>
      <c r="K105">
        <f>Mass!F165</f>
        <v>12</v>
      </c>
      <c r="L105">
        <f>Mass!G165</f>
        <v>13</v>
      </c>
      <c r="M105">
        <f>Mass!H165</f>
        <v>1.2</v>
      </c>
      <c r="N105">
        <f>Mass!I165</f>
        <v>2.2999999999999998</v>
      </c>
      <c r="O105">
        <f>Mass!J165</f>
        <v>156</v>
      </c>
      <c r="P105">
        <f>Mass!K165</f>
        <v>14.399999999999999</v>
      </c>
      <c r="Q105">
        <f>Mass!L165</f>
        <v>27.599999999999998</v>
      </c>
      <c r="R105">
        <f>Mass!M165</f>
        <v>0</v>
      </c>
    </row>
    <row r="106" spans="1:18" x14ac:dyDescent="0.3">
      <c r="A106" t="str">
        <f>Mass!$B$1</f>
        <v>0.1.2</v>
      </c>
      <c r="B106" t="str">
        <f>Mass!$B$2</f>
        <v>Draft</v>
      </c>
      <c r="C106" t="str">
        <f>TEXT(Mass!$B$3,"yyyy-mm-dd")</f>
        <v>2026-05-16</v>
      </c>
      <c r="D106">
        <f>Mass!$B$4</f>
        <v>0</v>
      </c>
      <c r="E106" t="str">
        <f>Mass!$B$5</f>
        <v>Initial business jet baseline (Challenger 350 / Praetor 500 class)</v>
      </c>
      <c r="F106">
        <f>Mass!A168</f>
        <v>75</v>
      </c>
      <c r="G106" t="str">
        <f>Mass!B168</f>
        <v>Bleed Valves</v>
      </c>
      <c r="H106">
        <f>Mass!C168</f>
        <v>0</v>
      </c>
      <c r="I106">
        <f>Mass!D168</f>
        <v>4</v>
      </c>
      <c r="J106">
        <f>Mass!E168</f>
        <v>4</v>
      </c>
      <c r="K106">
        <f>Mass!F168</f>
        <v>16</v>
      </c>
      <c r="L106">
        <f>Mass!G168</f>
        <v>13</v>
      </c>
      <c r="M106">
        <f>Mass!H168</f>
        <v>0</v>
      </c>
      <c r="N106">
        <f>Mass!I168</f>
        <v>2.2999999999999998</v>
      </c>
      <c r="O106">
        <f>Mass!J168</f>
        <v>208</v>
      </c>
      <c r="P106">
        <f>Mass!K168</f>
        <v>0</v>
      </c>
      <c r="Q106">
        <f>Mass!L168</f>
        <v>36.799999999999997</v>
      </c>
      <c r="R106">
        <f>Mass!M168</f>
        <v>0</v>
      </c>
    </row>
    <row r="107" spans="1:18" x14ac:dyDescent="0.3">
      <c r="A107" t="str">
        <f>Mass!$B$1</f>
        <v>0.1.2</v>
      </c>
      <c r="B107" t="str">
        <f>Mass!$B$2</f>
        <v>Draft</v>
      </c>
      <c r="C107" t="str">
        <f>TEXT(Mass!$B$3,"yyyy-mm-dd")</f>
        <v>2026-05-16</v>
      </c>
      <c r="D107">
        <f>Mass!$B$4</f>
        <v>0</v>
      </c>
      <c r="E107" t="str">
        <f>Mass!$B$5</f>
        <v>Initial business jet baseline (Challenger 350 / Praetor 500 class)</v>
      </c>
      <c r="F107">
        <f>Mass!A169</f>
        <v>75</v>
      </c>
      <c r="G107" t="str">
        <f>Mass!B169</f>
        <v>Variable Stator Vanes</v>
      </c>
      <c r="H107">
        <f>Mass!C169</f>
        <v>0</v>
      </c>
      <c r="I107">
        <f>Mass!D169</f>
        <v>2</v>
      </c>
      <c r="J107">
        <f>Mass!E169</f>
        <v>6</v>
      </c>
      <c r="K107">
        <f>Mass!F169</f>
        <v>12</v>
      </c>
      <c r="L107">
        <f>Mass!G169</f>
        <v>13</v>
      </c>
      <c r="M107">
        <f>Mass!H169</f>
        <v>0</v>
      </c>
      <c r="N107">
        <f>Mass!I169</f>
        <v>2.2999999999999998</v>
      </c>
      <c r="O107">
        <f>Mass!J169</f>
        <v>156</v>
      </c>
      <c r="P107">
        <f>Mass!K169</f>
        <v>0</v>
      </c>
      <c r="Q107">
        <f>Mass!L169</f>
        <v>27.599999999999998</v>
      </c>
      <c r="R107" t="str">
        <f>Mass!M169</f>
        <v>Per engine actuator</v>
      </c>
    </row>
    <row r="108" spans="1:18" x14ac:dyDescent="0.3">
      <c r="A108" t="str">
        <f>Mass!$B$1</f>
        <v>0.1.2</v>
      </c>
      <c r="B108" t="str">
        <f>Mass!$B$2</f>
        <v>Draft</v>
      </c>
      <c r="C108" t="str">
        <f>TEXT(Mass!$B$3,"yyyy-mm-dd")</f>
        <v>2026-05-16</v>
      </c>
      <c r="D108">
        <f>Mass!$B$4</f>
        <v>0</v>
      </c>
      <c r="E108" t="str">
        <f>Mass!$B$5</f>
        <v>Initial business jet baseline (Challenger 350 / Praetor 500 class)</v>
      </c>
      <c r="F108">
        <f>Mass!A172</f>
        <v>78</v>
      </c>
      <c r="G108" t="str">
        <f>Mass!B172</f>
        <v>Exhaust Nozzle LH</v>
      </c>
      <c r="H108">
        <f>Mass!C172</f>
        <v>0</v>
      </c>
      <c r="I108">
        <f>Mass!D172</f>
        <v>1</v>
      </c>
      <c r="J108">
        <f>Mass!E172</f>
        <v>35</v>
      </c>
      <c r="K108">
        <f>Mass!F172</f>
        <v>35</v>
      </c>
      <c r="L108">
        <f>Mass!G172</f>
        <v>14</v>
      </c>
      <c r="M108">
        <f>Mass!H172</f>
        <v>-1.2</v>
      </c>
      <c r="N108">
        <f>Mass!I172</f>
        <v>2.2999999999999998</v>
      </c>
      <c r="O108">
        <f>Mass!J172</f>
        <v>490</v>
      </c>
      <c r="P108">
        <f>Mass!K172</f>
        <v>-42</v>
      </c>
      <c r="Q108">
        <f>Mass!L172</f>
        <v>80.5</v>
      </c>
      <c r="R108">
        <f>Mass!M172</f>
        <v>0</v>
      </c>
    </row>
    <row r="109" spans="1:18" x14ac:dyDescent="0.3">
      <c r="A109" t="str">
        <f>Mass!$B$1</f>
        <v>0.1.2</v>
      </c>
      <c r="B109" t="str">
        <f>Mass!$B$2</f>
        <v>Draft</v>
      </c>
      <c r="C109" t="str">
        <f>TEXT(Mass!$B$3,"yyyy-mm-dd")</f>
        <v>2026-05-16</v>
      </c>
      <c r="D109">
        <f>Mass!$B$4</f>
        <v>0</v>
      </c>
      <c r="E109" t="str">
        <f>Mass!$B$5</f>
        <v>Initial business jet baseline (Challenger 350 / Praetor 500 class)</v>
      </c>
      <c r="F109">
        <f>Mass!A173</f>
        <v>78</v>
      </c>
      <c r="G109" t="str">
        <f>Mass!B173</f>
        <v>Exhaust Nozzle RH</v>
      </c>
      <c r="H109">
        <f>Mass!C173</f>
        <v>0</v>
      </c>
      <c r="I109">
        <f>Mass!D173</f>
        <v>1</v>
      </c>
      <c r="J109">
        <f>Mass!E173</f>
        <v>35</v>
      </c>
      <c r="K109">
        <f>Mass!F173</f>
        <v>35</v>
      </c>
      <c r="L109">
        <f>Mass!G173</f>
        <v>14</v>
      </c>
      <c r="M109">
        <f>Mass!H173</f>
        <v>1.2</v>
      </c>
      <c r="N109">
        <f>Mass!I173</f>
        <v>2.2999999999999998</v>
      </c>
      <c r="O109">
        <f>Mass!J173</f>
        <v>490</v>
      </c>
      <c r="P109">
        <f>Mass!K173</f>
        <v>42</v>
      </c>
      <c r="Q109">
        <f>Mass!L173</f>
        <v>80.5</v>
      </c>
      <c r="R109">
        <f>Mass!M173</f>
        <v>0</v>
      </c>
    </row>
    <row r="110" spans="1:18" x14ac:dyDescent="0.3">
      <c r="A110" t="str">
        <f>Mass!$B$1</f>
        <v>0.1.2</v>
      </c>
      <c r="B110" t="str">
        <f>Mass!$B$2</f>
        <v>Draft</v>
      </c>
      <c r="C110" t="str">
        <f>TEXT(Mass!$B$3,"yyyy-mm-dd")</f>
        <v>2026-05-16</v>
      </c>
      <c r="D110">
        <f>Mass!$B$4</f>
        <v>0</v>
      </c>
      <c r="E110" t="str">
        <f>Mass!$B$5</f>
        <v>Initial business jet baseline (Challenger 350 / Praetor 500 class)</v>
      </c>
      <c r="F110">
        <f>Mass!A174</f>
        <v>78</v>
      </c>
      <c r="G110" t="str">
        <f>Mass!B174</f>
        <v>Thrust Reverser LH</v>
      </c>
      <c r="H110">
        <f>Mass!C174</f>
        <v>0</v>
      </c>
      <c r="I110">
        <f>Mass!D174</f>
        <v>1</v>
      </c>
      <c r="J110">
        <f>Mass!E174</f>
        <v>90</v>
      </c>
      <c r="K110">
        <f>Mass!F174</f>
        <v>90</v>
      </c>
      <c r="L110">
        <f>Mass!G174</f>
        <v>13.8</v>
      </c>
      <c r="M110">
        <f>Mass!H174</f>
        <v>-1.2</v>
      </c>
      <c r="N110">
        <f>Mass!I174</f>
        <v>2.2999999999999998</v>
      </c>
      <c r="O110">
        <f>Mass!J174</f>
        <v>1242</v>
      </c>
      <c r="P110">
        <f>Mass!K174</f>
        <v>-108</v>
      </c>
      <c r="Q110">
        <f>Mass!L174</f>
        <v>206.99999999999997</v>
      </c>
      <c r="R110">
        <f>Mass!M174</f>
        <v>0</v>
      </c>
    </row>
    <row r="111" spans="1:18" x14ac:dyDescent="0.3">
      <c r="A111" t="str">
        <f>Mass!$B$1</f>
        <v>0.1.2</v>
      </c>
      <c r="B111" t="str">
        <f>Mass!$B$2</f>
        <v>Draft</v>
      </c>
      <c r="C111" t="str">
        <f>TEXT(Mass!$B$3,"yyyy-mm-dd")</f>
        <v>2026-05-16</v>
      </c>
      <c r="D111">
        <f>Mass!$B$4</f>
        <v>0</v>
      </c>
      <c r="E111" t="str">
        <f>Mass!$B$5</f>
        <v>Initial business jet baseline (Challenger 350 / Praetor 500 class)</v>
      </c>
      <c r="F111">
        <f>Mass!A175</f>
        <v>78</v>
      </c>
      <c r="G111" t="str">
        <f>Mass!B175</f>
        <v>Thrust Reverser RH</v>
      </c>
      <c r="H111">
        <f>Mass!C175</f>
        <v>0</v>
      </c>
      <c r="I111">
        <f>Mass!D175</f>
        <v>1</v>
      </c>
      <c r="J111">
        <f>Mass!E175</f>
        <v>90</v>
      </c>
      <c r="K111">
        <f>Mass!F175</f>
        <v>90</v>
      </c>
      <c r="L111">
        <f>Mass!G175</f>
        <v>13.8</v>
      </c>
      <c r="M111">
        <f>Mass!H175</f>
        <v>1.2</v>
      </c>
      <c r="N111">
        <f>Mass!I175</f>
        <v>2.2999999999999998</v>
      </c>
      <c r="O111">
        <f>Mass!J175</f>
        <v>1242</v>
      </c>
      <c r="P111">
        <f>Mass!K175</f>
        <v>108</v>
      </c>
      <c r="Q111">
        <f>Mass!L175</f>
        <v>206.99999999999997</v>
      </c>
      <c r="R111">
        <f>Mass!M175</f>
        <v>0</v>
      </c>
    </row>
    <row r="112" spans="1:18" x14ac:dyDescent="0.3">
      <c r="A112" t="str">
        <f>Mass!$B$1</f>
        <v>0.1.2</v>
      </c>
      <c r="B112" t="str">
        <f>Mass!$B$2</f>
        <v>Draft</v>
      </c>
      <c r="C112" t="str">
        <f>TEXT(Mass!$B$3,"yyyy-mm-dd")</f>
        <v>2026-05-16</v>
      </c>
      <c r="D112">
        <f>Mass!$B$4</f>
        <v>0</v>
      </c>
      <c r="E112" t="str">
        <f>Mass!$B$5</f>
        <v>Initial business jet baseline (Challenger 350 / Praetor 500 class)</v>
      </c>
      <c r="F112">
        <f>Mass!A178</f>
        <v>79</v>
      </c>
      <c r="G112" t="str">
        <f>Mass!B178</f>
        <v>Oil Tank 1</v>
      </c>
      <c r="H112">
        <f>Mass!C178</f>
        <v>0</v>
      </c>
      <c r="I112">
        <f>Mass!D178</f>
        <v>1</v>
      </c>
      <c r="J112">
        <f>Mass!E178</f>
        <v>12</v>
      </c>
      <c r="K112">
        <f>Mass!F178</f>
        <v>12</v>
      </c>
      <c r="L112">
        <f>Mass!G178</f>
        <v>13.2</v>
      </c>
      <c r="M112">
        <f>Mass!H178</f>
        <v>-1.2</v>
      </c>
      <c r="N112">
        <f>Mass!I178</f>
        <v>2.4</v>
      </c>
      <c r="O112">
        <f>Mass!J178</f>
        <v>158.39999999999998</v>
      </c>
      <c r="P112">
        <f>Mass!K178</f>
        <v>-14.399999999999999</v>
      </c>
      <c r="Q112">
        <f>Mass!L178</f>
        <v>28.799999999999997</v>
      </c>
      <c r="R112">
        <f>Mass!M178</f>
        <v>0</v>
      </c>
    </row>
    <row r="113" spans="1:18" x14ac:dyDescent="0.3">
      <c r="A113" t="str">
        <f>Mass!$B$1</f>
        <v>0.1.2</v>
      </c>
      <c r="B113" t="str">
        <f>Mass!$B$2</f>
        <v>Draft</v>
      </c>
      <c r="C113" t="str">
        <f>TEXT(Mass!$B$3,"yyyy-mm-dd")</f>
        <v>2026-05-16</v>
      </c>
      <c r="D113">
        <f>Mass!$B$4</f>
        <v>0</v>
      </c>
      <c r="E113" t="str">
        <f>Mass!$B$5</f>
        <v>Initial business jet baseline (Challenger 350 / Praetor 500 class)</v>
      </c>
      <c r="F113">
        <f>Mass!A179</f>
        <v>79</v>
      </c>
      <c r="G113" t="str">
        <f>Mass!B179</f>
        <v>Oil Tank 2</v>
      </c>
      <c r="H113">
        <f>Mass!C179</f>
        <v>0</v>
      </c>
      <c r="I113">
        <f>Mass!D179</f>
        <v>1</v>
      </c>
      <c r="J113">
        <f>Mass!E179</f>
        <v>12</v>
      </c>
      <c r="K113">
        <f>Mass!F179</f>
        <v>12</v>
      </c>
      <c r="L113">
        <f>Mass!G179</f>
        <v>13.2</v>
      </c>
      <c r="M113">
        <f>Mass!H179</f>
        <v>1.2</v>
      </c>
      <c r="N113">
        <f>Mass!I179</f>
        <v>2.4</v>
      </c>
      <c r="O113">
        <f>Mass!J179</f>
        <v>158.39999999999998</v>
      </c>
      <c r="P113">
        <f>Mass!K179</f>
        <v>14.399999999999999</v>
      </c>
      <c r="Q113">
        <f>Mass!L179</f>
        <v>28.799999999999997</v>
      </c>
      <c r="R113">
        <f>Mass!M179</f>
        <v>0</v>
      </c>
    </row>
    <row r="114" spans="1:18" x14ac:dyDescent="0.3">
      <c r="A114" t="str">
        <f>Mass!$B$1</f>
        <v>0.1.2</v>
      </c>
      <c r="B114" t="str">
        <f>Mass!$B$2</f>
        <v>Draft</v>
      </c>
      <c r="C114" t="str">
        <f>TEXT(Mass!$B$3,"yyyy-mm-dd")</f>
        <v>2026-05-16</v>
      </c>
      <c r="D114">
        <f>Mass!$B$4</f>
        <v>0</v>
      </c>
      <c r="E114" t="str">
        <f>Mass!$B$5</f>
        <v>Initial business jet baseline (Challenger 350 / Praetor 500 class)</v>
      </c>
      <c r="F114">
        <f>Mass!A180</f>
        <v>79</v>
      </c>
      <c r="G114" t="str">
        <f>Mass!B180</f>
        <v>Oil Coolers</v>
      </c>
      <c r="H114">
        <f>Mass!C180</f>
        <v>0</v>
      </c>
      <c r="I114">
        <f>Mass!D180</f>
        <v>2</v>
      </c>
      <c r="J114">
        <f>Mass!E180</f>
        <v>8</v>
      </c>
      <c r="K114">
        <f>Mass!F180</f>
        <v>16</v>
      </c>
      <c r="L114">
        <f>Mass!G180</f>
        <v>13.5</v>
      </c>
      <c r="M114">
        <f>Mass!H180</f>
        <v>0</v>
      </c>
      <c r="N114">
        <f>Mass!I180</f>
        <v>2.2999999999999998</v>
      </c>
      <c r="O114">
        <f>Mass!J180</f>
        <v>216</v>
      </c>
      <c r="P114">
        <f>Mass!K180</f>
        <v>0</v>
      </c>
      <c r="Q114">
        <f>Mass!L180</f>
        <v>36.799999999999997</v>
      </c>
      <c r="R114">
        <f>Mass!M180</f>
        <v>0</v>
      </c>
    </row>
    <row r="115" spans="1:18" x14ac:dyDescent="0.3">
      <c r="A115" t="str">
        <f>Mass!$B$1</f>
        <v>0.1.2</v>
      </c>
      <c r="B115" t="str">
        <f>Mass!$B$2</f>
        <v>Draft</v>
      </c>
      <c r="C115" t="str">
        <f>TEXT(Mass!$B$3,"yyyy-mm-dd")</f>
        <v>2026-05-16</v>
      </c>
      <c r="D115">
        <f>Mass!$B$4</f>
        <v>0</v>
      </c>
      <c r="E115" t="str">
        <f>Mass!$B$5</f>
        <v>Initial business jet baseline (Challenger 350 / Praetor 500 class)</v>
      </c>
      <c r="F115">
        <f>Mass!A183</f>
        <v>80</v>
      </c>
      <c r="G115" t="str">
        <f>Mass!B183</f>
        <v>Starter 1</v>
      </c>
      <c r="H115">
        <f>Mass!C183</f>
        <v>0</v>
      </c>
      <c r="I115">
        <f>Mass!D183</f>
        <v>1</v>
      </c>
      <c r="J115">
        <f>Mass!E183</f>
        <v>10</v>
      </c>
      <c r="K115">
        <f>Mass!F183</f>
        <v>10</v>
      </c>
      <c r="L115">
        <f>Mass!G183</f>
        <v>12.8</v>
      </c>
      <c r="M115">
        <f>Mass!H183</f>
        <v>-1.2</v>
      </c>
      <c r="N115">
        <f>Mass!I183</f>
        <v>2.2999999999999998</v>
      </c>
      <c r="O115">
        <f>Mass!J183</f>
        <v>128</v>
      </c>
      <c r="P115">
        <f>Mass!K183</f>
        <v>-12</v>
      </c>
      <c r="Q115">
        <f>Mass!L183</f>
        <v>23</v>
      </c>
      <c r="R115" t="str">
        <f>Mass!M183</f>
        <v>Air turbine starter</v>
      </c>
    </row>
    <row r="116" spans="1:18" x14ac:dyDescent="0.3">
      <c r="A116" t="str">
        <f>Mass!$B$1</f>
        <v>0.1.2</v>
      </c>
      <c r="B116" t="str">
        <f>Mass!$B$2</f>
        <v>Draft</v>
      </c>
      <c r="C116" t="str">
        <f>TEXT(Mass!$B$3,"yyyy-mm-dd")</f>
        <v>2026-05-16</v>
      </c>
      <c r="D116">
        <f>Mass!$B$4</f>
        <v>0</v>
      </c>
      <c r="E116" t="str">
        <f>Mass!$B$5</f>
        <v>Initial business jet baseline (Challenger 350 / Praetor 500 class)</v>
      </c>
      <c r="F116">
        <f>Mass!A184</f>
        <v>80</v>
      </c>
      <c r="G116" t="str">
        <f>Mass!B184</f>
        <v>Starter 2</v>
      </c>
      <c r="H116">
        <f>Mass!C184</f>
        <v>0</v>
      </c>
      <c r="I116">
        <f>Mass!D184</f>
        <v>1</v>
      </c>
      <c r="J116">
        <f>Mass!E184</f>
        <v>10</v>
      </c>
      <c r="K116">
        <f>Mass!F184</f>
        <v>10</v>
      </c>
      <c r="L116">
        <f>Mass!G184</f>
        <v>12.8</v>
      </c>
      <c r="M116">
        <f>Mass!H184</f>
        <v>1.2</v>
      </c>
      <c r="N116">
        <f>Mass!I184</f>
        <v>2.2999999999999998</v>
      </c>
      <c r="O116">
        <f>Mass!J184</f>
        <v>128</v>
      </c>
      <c r="P116">
        <f>Mass!K184</f>
        <v>12</v>
      </c>
      <c r="Q116">
        <f>Mass!L184</f>
        <v>23</v>
      </c>
      <c r="R116" t="str">
        <f>Mass!M184</f>
        <v>Air turbine starter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Mass</vt:lpstr>
      <vt:lpstr>Target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Amos</dc:creator>
  <cp:lastModifiedBy>Alexander Amos</cp:lastModifiedBy>
  <dcterms:created xsi:type="dcterms:W3CDTF">2026-05-16T17:15:45Z</dcterms:created>
  <dcterms:modified xsi:type="dcterms:W3CDTF">2026-05-16T18:32:07Z</dcterms:modified>
</cp:coreProperties>
</file>