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35AF1E74-1D06-42DB-AF1B-10289CC29269}" xr6:coauthVersionLast="47" xr6:coauthVersionMax="47" xr10:uidLastSave="{00000000-0000-0000-0000-000000000000}"/>
  <bookViews>
    <workbookView xWindow="-14415" yWindow="-16335" windowWidth="29070" windowHeight="15750" xr2:uid="{66D9863A-341A-4414-9E11-CCEB7DF8B0DA}"/>
  </bookViews>
  <sheets>
    <sheet name="Roll Up" sheetId="1" r:id="rId1"/>
    <sheet name="Target" sheetId="4" r:id="rId2"/>
    <sheet name="Export" sheetId="3" r:id="rId3"/>
    <sheet name="Risk" sheetId="6" r:id="rId4"/>
    <sheet name="ATA2100" sheetId="7" r:id="rId5"/>
    <sheet name="ATA2200" sheetId="8" r:id="rId6"/>
    <sheet name="ATA2400LV" sheetId="10" r:id="rId7"/>
    <sheet name="ATA2400HV" sheetId="11" r:id="rId8"/>
    <sheet name="ATA2500" sheetId="12" r:id="rId9"/>
    <sheet name="ATA2700" sheetId="14" r:id="rId10"/>
    <sheet name="ATA2800" sheetId="15" r:id="rId11"/>
    <sheet name="ATA2900" sheetId="16" r:id="rId12"/>
    <sheet name="ATA3200" sheetId="18" r:id="rId13"/>
    <sheet name="ATA3300" sheetId="19" r:id="rId14"/>
    <sheet name="ATA5200" sheetId="20" r:id="rId15"/>
    <sheet name="ATA5300" sheetId="21" r:id="rId16"/>
    <sheet name="ATA5500" sheetId="22" r:id="rId17"/>
    <sheet name="ATA5600" sheetId="23" r:id="rId18"/>
    <sheet name="ATA5700" sheetId="24" r:id="rId19"/>
    <sheet name="ATA7100" sheetId="25" r:id="rId20"/>
    <sheet name="ATA7100T" sheetId="26" r:id="rId21"/>
    <sheet name="ATA2300" sheetId="28" r:id="rId22"/>
    <sheet name="ATA2600" sheetId="29" r:id="rId23"/>
    <sheet name="ATA3000" sheetId="30" r:id="rId24"/>
    <sheet name="ATA3100" sheetId="31" r:id="rId25"/>
    <sheet name="ATA3400" sheetId="32" r:id="rId26"/>
    <sheet name="ATA3500" sheetId="33" r:id="rId27"/>
    <sheet name="ATA3600" sheetId="34" r:id="rId28"/>
    <sheet name="ATA3800" sheetId="35" r:id="rId29"/>
    <sheet name="ATA7300" sheetId="36" r:id="rId30"/>
    <sheet name="ATA7500" sheetId="37" r:id="rId31"/>
    <sheet name="ATA7800" sheetId="38" r:id="rId32"/>
    <sheet name="ATA8000" sheetId="39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11" i="6" l="1"/>
  <c r="N11" i="6"/>
  <c r="O11" i="6"/>
  <c r="M10" i="6"/>
  <c r="N10" i="6"/>
  <c r="O10" i="6"/>
  <c r="M9" i="6"/>
  <c r="N9" i="6"/>
  <c r="O9" i="6"/>
  <c r="M7" i="6"/>
  <c r="N7" i="6"/>
  <c r="O7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L31" i="3"/>
  <c r="K31" i="3"/>
  <c r="J31" i="3"/>
  <c r="I31" i="3"/>
  <c r="H31" i="3"/>
  <c r="G31" i="3"/>
  <c r="F31" i="3"/>
  <c r="E31" i="3"/>
  <c r="D31" i="3"/>
  <c r="P30" i="3"/>
  <c r="O30" i="3"/>
  <c r="N30" i="3"/>
  <c r="L30" i="3"/>
  <c r="K30" i="3"/>
  <c r="J30" i="3"/>
  <c r="I30" i="3"/>
  <c r="H30" i="3"/>
  <c r="G30" i="3"/>
  <c r="F30" i="3"/>
  <c r="E30" i="3"/>
  <c r="D30" i="3"/>
  <c r="B30" i="3"/>
  <c r="A30" i="3"/>
  <c r="P29" i="3"/>
  <c r="O29" i="3"/>
  <c r="N29" i="3"/>
  <c r="L29" i="3"/>
  <c r="K29" i="3"/>
  <c r="J29" i="3"/>
  <c r="I29" i="3"/>
  <c r="H29" i="3"/>
  <c r="G29" i="3"/>
  <c r="F29" i="3"/>
  <c r="E29" i="3"/>
  <c r="D29" i="3"/>
  <c r="B29" i="3"/>
  <c r="A29" i="3"/>
  <c r="P28" i="3"/>
  <c r="O28" i="3"/>
  <c r="N28" i="3"/>
  <c r="L28" i="3"/>
  <c r="K28" i="3"/>
  <c r="J28" i="3"/>
  <c r="I28" i="3"/>
  <c r="H28" i="3"/>
  <c r="G28" i="3"/>
  <c r="F28" i="3"/>
  <c r="E28" i="3"/>
  <c r="D28" i="3"/>
  <c r="B28" i="3"/>
  <c r="A28" i="3"/>
  <c r="P27" i="3"/>
  <c r="O27" i="3"/>
  <c r="N27" i="3"/>
  <c r="L27" i="3"/>
  <c r="K27" i="3"/>
  <c r="J27" i="3"/>
  <c r="I27" i="3"/>
  <c r="H27" i="3"/>
  <c r="G27" i="3"/>
  <c r="F27" i="3"/>
  <c r="E27" i="3"/>
  <c r="D27" i="3"/>
  <c r="B27" i="3"/>
  <c r="A27" i="3"/>
  <c r="P26" i="3"/>
  <c r="O26" i="3"/>
  <c r="M26" i="3"/>
  <c r="L26" i="3"/>
  <c r="K26" i="3"/>
  <c r="J26" i="3"/>
  <c r="I26" i="3"/>
  <c r="H26" i="3"/>
  <c r="G26" i="3"/>
  <c r="F26" i="3"/>
  <c r="E26" i="3"/>
  <c r="D26" i="3"/>
  <c r="B26" i="3"/>
  <c r="A26" i="3"/>
  <c r="P25" i="3"/>
  <c r="O25" i="3"/>
  <c r="N25" i="3"/>
  <c r="L25" i="3"/>
  <c r="K25" i="3"/>
  <c r="J25" i="3"/>
  <c r="I25" i="3"/>
  <c r="H25" i="3"/>
  <c r="G25" i="3"/>
  <c r="F25" i="3"/>
  <c r="E25" i="3"/>
  <c r="D25" i="3"/>
  <c r="B25" i="3"/>
  <c r="A25" i="3"/>
  <c r="P24" i="3"/>
  <c r="O24" i="3"/>
  <c r="M24" i="3"/>
  <c r="L24" i="3"/>
  <c r="K24" i="3"/>
  <c r="J24" i="3"/>
  <c r="I24" i="3"/>
  <c r="H24" i="3"/>
  <c r="G24" i="3"/>
  <c r="F24" i="3"/>
  <c r="E24" i="3"/>
  <c r="D24" i="3"/>
  <c r="B24" i="3"/>
  <c r="A24" i="3"/>
  <c r="P23" i="3"/>
  <c r="O23" i="3"/>
  <c r="L23" i="3"/>
  <c r="K23" i="3"/>
  <c r="J23" i="3"/>
  <c r="I23" i="3"/>
  <c r="H23" i="3"/>
  <c r="G23" i="3"/>
  <c r="F23" i="3"/>
  <c r="E23" i="3"/>
  <c r="D23" i="3"/>
  <c r="B23" i="3"/>
  <c r="A23" i="3"/>
  <c r="P22" i="3"/>
  <c r="O22" i="3"/>
  <c r="M22" i="3"/>
  <c r="L22" i="3"/>
  <c r="K22" i="3"/>
  <c r="J22" i="3"/>
  <c r="I22" i="3"/>
  <c r="H22" i="3"/>
  <c r="G22" i="3"/>
  <c r="F22" i="3"/>
  <c r="E22" i="3"/>
  <c r="D22" i="3"/>
  <c r="B22" i="3"/>
  <c r="A22" i="3"/>
  <c r="P21" i="3"/>
  <c r="O21" i="3"/>
  <c r="N21" i="3"/>
  <c r="L21" i="3"/>
  <c r="K21" i="3"/>
  <c r="J21" i="3"/>
  <c r="I21" i="3"/>
  <c r="H21" i="3"/>
  <c r="G21" i="3"/>
  <c r="F21" i="3"/>
  <c r="E21" i="3"/>
  <c r="D21" i="3"/>
  <c r="B21" i="3"/>
  <c r="A21" i="3"/>
  <c r="P20" i="3"/>
  <c r="O20" i="3"/>
  <c r="M20" i="3"/>
  <c r="L20" i="3"/>
  <c r="K20" i="3"/>
  <c r="J20" i="3"/>
  <c r="I20" i="3"/>
  <c r="H20" i="3"/>
  <c r="G20" i="3"/>
  <c r="F20" i="3"/>
  <c r="E20" i="3"/>
  <c r="D20" i="3"/>
  <c r="B20" i="3"/>
  <c r="A20" i="3"/>
  <c r="P19" i="3"/>
  <c r="O19" i="3"/>
  <c r="M19" i="3"/>
  <c r="L19" i="3"/>
  <c r="K19" i="3"/>
  <c r="J19" i="3"/>
  <c r="I19" i="3"/>
  <c r="H19" i="3"/>
  <c r="G19" i="3"/>
  <c r="F19" i="3"/>
  <c r="E19" i="3"/>
  <c r="D19" i="3"/>
  <c r="B19" i="3"/>
  <c r="A19" i="3"/>
  <c r="P18" i="3"/>
  <c r="O18" i="3"/>
  <c r="M18" i="3"/>
  <c r="L18" i="3"/>
  <c r="K18" i="3"/>
  <c r="J18" i="3"/>
  <c r="I18" i="3"/>
  <c r="H18" i="3"/>
  <c r="G18" i="3"/>
  <c r="F18" i="3"/>
  <c r="E18" i="3"/>
  <c r="D18" i="3"/>
  <c r="B18" i="3"/>
  <c r="A18" i="3"/>
  <c r="P17" i="3"/>
  <c r="O17" i="3"/>
  <c r="L17" i="3"/>
  <c r="K17" i="3"/>
  <c r="J17" i="3"/>
  <c r="I17" i="3"/>
  <c r="H17" i="3"/>
  <c r="G17" i="3"/>
  <c r="F17" i="3"/>
  <c r="E17" i="3"/>
  <c r="D17" i="3"/>
  <c r="B17" i="3"/>
  <c r="A17" i="3"/>
  <c r="P16" i="3"/>
  <c r="O16" i="3"/>
  <c r="L16" i="3"/>
  <c r="K16" i="3"/>
  <c r="J16" i="3"/>
  <c r="I16" i="3"/>
  <c r="H16" i="3"/>
  <c r="G16" i="3"/>
  <c r="F16" i="3"/>
  <c r="E16" i="3"/>
  <c r="D16" i="3"/>
  <c r="B16" i="3"/>
  <c r="A16" i="3"/>
  <c r="P15" i="3"/>
  <c r="O15" i="3"/>
  <c r="N15" i="3"/>
  <c r="L15" i="3"/>
  <c r="K15" i="3"/>
  <c r="J15" i="3"/>
  <c r="I15" i="3"/>
  <c r="H15" i="3"/>
  <c r="G15" i="3"/>
  <c r="F15" i="3"/>
  <c r="E15" i="3"/>
  <c r="D15" i="3"/>
  <c r="B15" i="3"/>
  <c r="A15" i="3"/>
  <c r="P14" i="3"/>
  <c r="O14" i="3"/>
  <c r="L14" i="3"/>
  <c r="K14" i="3"/>
  <c r="J14" i="3"/>
  <c r="I14" i="3"/>
  <c r="H14" i="3"/>
  <c r="G14" i="3"/>
  <c r="F14" i="3"/>
  <c r="E14" i="3"/>
  <c r="D14" i="3"/>
  <c r="B14" i="3"/>
  <c r="A14" i="3"/>
  <c r="P13" i="3"/>
  <c r="O13" i="3"/>
  <c r="N13" i="3"/>
  <c r="L13" i="3"/>
  <c r="K13" i="3"/>
  <c r="J13" i="3"/>
  <c r="I13" i="3"/>
  <c r="H13" i="3"/>
  <c r="G13" i="3"/>
  <c r="F13" i="3"/>
  <c r="E13" i="3"/>
  <c r="D13" i="3"/>
  <c r="B13" i="3"/>
  <c r="A13" i="3"/>
  <c r="P12" i="3"/>
  <c r="O12" i="3"/>
  <c r="N12" i="3"/>
  <c r="L12" i="3"/>
  <c r="K12" i="3"/>
  <c r="J12" i="3"/>
  <c r="I12" i="3"/>
  <c r="H12" i="3"/>
  <c r="G12" i="3"/>
  <c r="F12" i="3"/>
  <c r="E12" i="3"/>
  <c r="D12" i="3"/>
  <c r="B12" i="3"/>
  <c r="A12" i="3"/>
  <c r="P11" i="3"/>
  <c r="O11" i="3"/>
  <c r="L11" i="3"/>
  <c r="K11" i="3"/>
  <c r="J11" i="3"/>
  <c r="I11" i="3"/>
  <c r="H11" i="3"/>
  <c r="G11" i="3"/>
  <c r="F11" i="3"/>
  <c r="E11" i="3"/>
  <c r="D11" i="3"/>
  <c r="B11" i="3"/>
  <c r="A11" i="3"/>
  <c r="P10" i="3"/>
  <c r="O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L9" i="3"/>
  <c r="K9" i="3"/>
  <c r="J9" i="3"/>
  <c r="I9" i="3"/>
  <c r="H9" i="3"/>
  <c r="G9" i="3"/>
  <c r="F9" i="3"/>
  <c r="E9" i="3"/>
  <c r="D9" i="3"/>
  <c r="B9" i="3"/>
  <c r="A9" i="3"/>
  <c r="P8" i="3"/>
  <c r="O8" i="3"/>
  <c r="M8" i="3"/>
  <c r="L8" i="3"/>
  <c r="K8" i="3"/>
  <c r="J8" i="3"/>
  <c r="I8" i="3"/>
  <c r="H8" i="3"/>
  <c r="G8" i="3"/>
  <c r="F8" i="3"/>
  <c r="E8" i="3"/>
  <c r="D8" i="3"/>
  <c r="B8" i="3"/>
  <c r="A8" i="3"/>
  <c r="P7" i="3"/>
  <c r="O7" i="3"/>
  <c r="N7" i="3"/>
  <c r="L7" i="3"/>
  <c r="K7" i="3"/>
  <c r="J7" i="3"/>
  <c r="I7" i="3"/>
  <c r="H7" i="3"/>
  <c r="G7" i="3"/>
  <c r="F7" i="3"/>
  <c r="E7" i="3"/>
  <c r="D7" i="3"/>
  <c r="B7" i="3"/>
  <c r="A7" i="3"/>
  <c r="P6" i="3"/>
  <c r="O6" i="3"/>
  <c r="L6" i="3"/>
  <c r="K6" i="3"/>
  <c r="J6" i="3"/>
  <c r="I6" i="3"/>
  <c r="H6" i="3"/>
  <c r="G6" i="3"/>
  <c r="F6" i="3"/>
  <c r="E6" i="3"/>
  <c r="D6" i="3"/>
  <c r="B6" i="3"/>
  <c r="A6" i="3"/>
  <c r="P5" i="3"/>
  <c r="O5" i="3"/>
  <c r="L5" i="3"/>
  <c r="K5" i="3"/>
  <c r="J5" i="3"/>
  <c r="I5" i="3"/>
  <c r="H5" i="3"/>
  <c r="G5" i="3"/>
  <c r="F5" i="3"/>
  <c r="E5" i="3"/>
  <c r="D5" i="3"/>
  <c r="B5" i="3"/>
  <c r="A5" i="3"/>
  <c r="P4" i="3"/>
  <c r="O4" i="3"/>
  <c r="L4" i="3"/>
  <c r="K4" i="3"/>
  <c r="J4" i="3"/>
  <c r="I4" i="3"/>
  <c r="H4" i="3"/>
  <c r="G4" i="3"/>
  <c r="F4" i="3"/>
  <c r="E4" i="3"/>
  <c r="D4" i="3"/>
  <c r="B4" i="3"/>
  <c r="A4" i="3"/>
  <c r="P3" i="3"/>
  <c r="O3" i="3"/>
  <c r="L3" i="3"/>
  <c r="K3" i="3"/>
  <c r="J3" i="3"/>
  <c r="I3" i="3"/>
  <c r="H3" i="3"/>
  <c r="G3" i="3"/>
  <c r="F3" i="3"/>
  <c r="E3" i="3"/>
  <c r="D3" i="3"/>
  <c r="B3" i="3"/>
  <c r="A3" i="3"/>
  <c r="P2" i="3"/>
  <c r="O2" i="3"/>
  <c r="L2" i="3"/>
  <c r="K2" i="3"/>
  <c r="J2" i="3"/>
  <c r="I2" i="3"/>
  <c r="H2" i="3"/>
  <c r="G2" i="3"/>
  <c r="F2" i="3"/>
  <c r="E2" i="3"/>
  <c r="D2" i="3"/>
  <c r="B2" i="3"/>
  <c r="A2" i="3"/>
  <c r="B39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O53" i="1"/>
  <c r="N53" i="1"/>
  <c r="O51" i="1"/>
  <c r="N51" i="1"/>
  <c r="O50" i="1"/>
  <c r="O49" i="1"/>
  <c r="O47" i="1"/>
  <c r="N47" i="1"/>
  <c r="O46" i="1"/>
  <c r="O45" i="1"/>
  <c r="O44" i="1"/>
  <c r="O43" i="1"/>
  <c r="O42" i="1"/>
  <c r="O41" i="1"/>
  <c r="O39" i="1"/>
  <c r="N39" i="1"/>
  <c r="O38" i="1"/>
  <c r="O37" i="1"/>
  <c r="O36" i="1"/>
  <c r="O35" i="1"/>
  <c r="O33" i="1"/>
  <c r="N33" i="1"/>
  <c r="O32" i="1"/>
  <c r="O31" i="1"/>
  <c r="O30" i="1"/>
  <c r="O28" i="1"/>
  <c r="N28" i="1"/>
  <c r="O27" i="1"/>
  <c r="O26" i="1"/>
  <c r="O25" i="1"/>
  <c r="O24" i="1"/>
  <c r="O23" i="1"/>
  <c r="O22" i="1"/>
  <c r="O21" i="1"/>
  <c r="O20" i="1"/>
  <c r="O18" i="1"/>
  <c r="N18" i="1"/>
  <c r="O17" i="1"/>
  <c r="O16" i="1"/>
  <c r="O15" i="1"/>
  <c r="O14" i="1"/>
  <c r="O13" i="1"/>
  <c r="O12" i="1"/>
  <c r="V8" i="39"/>
  <c r="I4" i="39" s="1"/>
  <c r="K46" i="1" s="1"/>
  <c r="V9" i="39"/>
  <c r="V10" i="39"/>
  <c r="V8" i="38"/>
  <c r="I4" i="38" s="1"/>
  <c r="K45" i="1" s="1"/>
  <c r="V9" i="38"/>
  <c r="V10" i="38"/>
  <c r="V8" i="37"/>
  <c r="H4" i="37" s="1"/>
  <c r="J44" i="1" s="1"/>
  <c r="V9" i="37"/>
  <c r="V10" i="37"/>
  <c r="V8" i="36"/>
  <c r="I4" i="36" s="1"/>
  <c r="K43" i="1" s="1"/>
  <c r="V9" i="36"/>
  <c r="V10" i="36"/>
  <c r="V11" i="36"/>
  <c r="V12" i="36"/>
  <c r="V8" i="35"/>
  <c r="I4" i="35" s="1"/>
  <c r="K27" i="1" s="1"/>
  <c r="V9" i="35"/>
  <c r="V10" i="35"/>
  <c r="V8" i="34"/>
  <c r="I4" i="34" s="1"/>
  <c r="K26" i="1" s="1"/>
  <c r="N14" i="3" s="1"/>
  <c r="V9" i="34"/>
  <c r="V10" i="34"/>
  <c r="V8" i="33"/>
  <c r="I4" i="33" s="1"/>
  <c r="K25" i="1" s="1"/>
  <c r="V9" i="33"/>
  <c r="V10" i="33"/>
  <c r="V8" i="32"/>
  <c r="H4" i="32" s="1"/>
  <c r="J38" i="1" s="1"/>
  <c r="V9" i="32"/>
  <c r="V10" i="32"/>
  <c r="V11" i="32"/>
  <c r="V12" i="32"/>
  <c r="V8" i="31"/>
  <c r="I4" i="31" s="1"/>
  <c r="K37" i="1" s="1"/>
  <c r="V9" i="31"/>
  <c r="V10" i="31"/>
  <c r="V11" i="31"/>
  <c r="V12" i="31"/>
  <c r="V8" i="30"/>
  <c r="I4" i="30" s="1"/>
  <c r="K24" i="1" s="1"/>
  <c r="V9" i="30"/>
  <c r="V10" i="30"/>
  <c r="V11" i="30"/>
  <c r="V8" i="29"/>
  <c r="I4" i="29" s="1"/>
  <c r="K50" i="1" s="1"/>
  <c r="V9" i="29"/>
  <c r="V10" i="29"/>
  <c r="V11" i="29"/>
  <c r="V8" i="28"/>
  <c r="H4" i="28" s="1"/>
  <c r="J36" i="1" s="1"/>
  <c r="V9" i="28"/>
  <c r="V10" i="28"/>
  <c r="V8" i="26"/>
  <c r="H4" i="26" s="1"/>
  <c r="J42" i="1" s="1"/>
  <c r="V9" i="26"/>
  <c r="V10" i="26"/>
  <c r="V11" i="26"/>
  <c r="V12" i="26"/>
  <c r="V13" i="26"/>
  <c r="V8" i="25"/>
  <c r="H4" i="25" s="1"/>
  <c r="J41" i="1" s="1"/>
  <c r="V9" i="25"/>
  <c r="V10" i="25"/>
  <c r="V11" i="25"/>
  <c r="V12" i="25"/>
  <c r="V13" i="25"/>
  <c r="V14" i="25"/>
  <c r="V15" i="25"/>
  <c r="V16" i="25"/>
  <c r="V17" i="25"/>
  <c r="V18" i="25"/>
  <c r="V19" i="25"/>
  <c r="V8" i="24"/>
  <c r="I4" i="24" s="1"/>
  <c r="K16" i="1" s="1"/>
  <c r="N6" i="3" s="1"/>
  <c r="V9" i="24"/>
  <c r="V10" i="24"/>
  <c r="V11" i="24"/>
  <c r="V12" i="24"/>
  <c r="V13" i="24"/>
  <c r="V14" i="24"/>
  <c r="V15" i="24"/>
  <c r="V16" i="24"/>
  <c r="V17" i="24"/>
  <c r="V18" i="24"/>
  <c r="V19" i="24"/>
  <c r="V8" i="23"/>
  <c r="V9" i="23"/>
  <c r="I4" i="23" s="1"/>
  <c r="K15" i="1" s="1"/>
  <c r="N5" i="3" s="1"/>
  <c r="V10" i="23"/>
  <c r="V8" i="22"/>
  <c r="H4" i="22" s="1"/>
  <c r="J14" i="1" s="1"/>
  <c r="M4" i="3" s="1"/>
  <c r="V9" i="22"/>
  <c r="V10" i="22"/>
  <c r="V11" i="22"/>
  <c r="V12" i="22"/>
  <c r="V13" i="22"/>
  <c r="V14" i="22"/>
  <c r="V8" i="21"/>
  <c r="H4" i="21" s="1"/>
  <c r="J13" i="1" s="1"/>
  <c r="V9" i="21"/>
  <c r="V10" i="21"/>
  <c r="V11" i="21"/>
  <c r="V12" i="21"/>
  <c r="V13" i="21"/>
  <c r="V14" i="21"/>
  <c r="V15" i="21"/>
  <c r="V16" i="21"/>
  <c r="V17" i="21"/>
  <c r="V18" i="21"/>
  <c r="V8" i="20"/>
  <c r="I4" i="20" s="1"/>
  <c r="K12" i="1" s="1"/>
  <c r="N2" i="3" s="1"/>
  <c r="V9" i="20"/>
  <c r="V10" i="20"/>
  <c r="V8" i="19"/>
  <c r="H4" i="19" s="1"/>
  <c r="J32" i="1" s="1"/>
  <c r="V9" i="19"/>
  <c r="V10" i="19"/>
  <c r="V11" i="19"/>
  <c r="V12" i="19"/>
  <c r="V8" i="18"/>
  <c r="I4" i="18" s="1"/>
  <c r="K17" i="1" s="1"/>
  <c r="V9" i="18"/>
  <c r="V10" i="18"/>
  <c r="V11" i="18"/>
  <c r="V8" i="16"/>
  <c r="H4" i="16" s="1"/>
  <c r="J23" i="1" s="1"/>
  <c r="V9" i="16"/>
  <c r="V10" i="16"/>
  <c r="V11" i="16"/>
  <c r="V8" i="15"/>
  <c r="V9" i="15"/>
  <c r="V10" i="15"/>
  <c r="V11" i="15"/>
  <c r="V12" i="15"/>
  <c r="V13" i="15"/>
  <c r="I4" i="15"/>
  <c r="K22" i="1" s="1"/>
  <c r="N10" i="3" s="1"/>
  <c r="V8" i="14"/>
  <c r="I4" i="14" s="1"/>
  <c r="K21" i="1" s="1"/>
  <c r="N9" i="3" s="1"/>
  <c r="V9" i="14"/>
  <c r="V10" i="14"/>
  <c r="V11" i="14"/>
  <c r="V12" i="14"/>
  <c r="V13" i="14"/>
  <c r="V8" i="12"/>
  <c r="I4" i="12" s="1"/>
  <c r="K49" i="1" s="1"/>
  <c r="V9" i="12"/>
  <c r="V10" i="12"/>
  <c r="V11" i="12"/>
  <c r="V12" i="12"/>
  <c r="V13" i="12"/>
  <c r="V14" i="12"/>
  <c r="V8" i="11"/>
  <c r="H4" i="11" s="1"/>
  <c r="J31" i="1" s="1"/>
  <c r="M17" i="3" s="1"/>
  <c r="V9" i="11"/>
  <c r="V10" i="11"/>
  <c r="V11" i="11"/>
  <c r="V12" i="11"/>
  <c r="V8" i="10"/>
  <c r="I4" i="10" s="1"/>
  <c r="K30" i="1" s="1"/>
  <c r="N16" i="3" s="1"/>
  <c r="V9" i="10"/>
  <c r="V10" i="10"/>
  <c r="V11" i="10"/>
  <c r="I4" i="8"/>
  <c r="K35" i="1" s="1"/>
  <c r="N19" i="3" s="1"/>
  <c r="V8" i="8"/>
  <c r="V9" i="8"/>
  <c r="H4" i="8" s="1"/>
  <c r="J35" i="1" s="1"/>
  <c r="V8" i="7"/>
  <c r="H4" i="7" s="1"/>
  <c r="J20" i="1" s="1"/>
  <c r="V9" i="7"/>
  <c r="V10" i="7"/>
  <c r="V11" i="7"/>
  <c r="F64" i="1"/>
  <c r="E64" i="1"/>
  <c r="C64" i="1"/>
  <c r="F62" i="1"/>
  <c r="E62" i="1"/>
  <c r="C62" i="1"/>
  <c r="F60" i="1"/>
  <c r="E60" i="1"/>
  <c r="C60" i="1"/>
  <c r="F58" i="1"/>
  <c r="E58" i="1"/>
  <c r="C58" i="1"/>
  <c r="F56" i="1"/>
  <c r="E56" i="1"/>
  <c r="C56" i="1"/>
  <c r="I53" i="1"/>
  <c r="H53" i="1"/>
  <c r="G53" i="1"/>
  <c r="F53" i="1"/>
  <c r="E53" i="1"/>
  <c r="D53" i="1"/>
  <c r="C53" i="1"/>
  <c r="I51" i="1"/>
  <c r="H51" i="1"/>
  <c r="G51" i="1"/>
  <c r="F51" i="1"/>
  <c r="E51" i="1"/>
  <c r="D51" i="1"/>
  <c r="C51" i="1"/>
  <c r="I50" i="1"/>
  <c r="H50" i="1"/>
  <c r="G50" i="1"/>
  <c r="F50" i="1"/>
  <c r="E50" i="1"/>
  <c r="D50" i="1"/>
  <c r="C50" i="1"/>
  <c r="I49" i="1"/>
  <c r="H49" i="1"/>
  <c r="G49" i="1"/>
  <c r="F49" i="1"/>
  <c r="E49" i="1"/>
  <c r="D49" i="1"/>
  <c r="C49" i="1"/>
  <c r="I47" i="1"/>
  <c r="H47" i="1"/>
  <c r="G47" i="1"/>
  <c r="F47" i="1"/>
  <c r="E47" i="1"/>
  <c r="D47" i="1"/>
  <c r="C47" i="1"/>
  <c r="I46" i="1"/>
  <c r="H46" i="1"/>
  <c r="G46" i="1"/>
  <c r="F46" i="1"/>
  <c r="E46" i="1"/>
  <c r="D46" i="1"/>
  <c r="C46" i="1"/>
  <c r="I45" i="1"/>
  <c r="H45" i="1"/>
  <c r="G45" i="1"/>
  <c r="F45" i="1"/>
  <c r="E45" i="1"/>
  <c r="D45" i="1"/>
  <c r="C45" i="1"/>
  <c r="I44" i="1"/>
  <c r="H44" i="1"/>
  <c r="G44" i="1"/>
  <c r="F44" i="1"/>
  <c r="E44" i="1"/>
  <c r="D44" i="1"/>
  <c r="C44" i="1"/>
  <c r="I43" i="1"/>
  <c r="H43" i="1"/>
  <c r="G43" i="1"/>
  <c r="F43" i="1"/>
  <c r="E43" i="1"/>
  <c r="D43" i="1"/>
  <c r="C43" i="1"/>
  <c r="I42" i="1"/>
  <c r="H42" i="1"/>
  <c r="G42" i="1"/>
  <c r="F42" i="1"/>
  <c r="E42" i="1"/>
  <c r="D42" i="1"/>
  <c r="C42" i="1"/>
  <c r="I41" i="1"/>
  <c r="H41" i="1"/>
  <c r="G41" i="1"/>
  <c r="F41" i="1"/>
  <c r="E41" i="1"/>
  <c r="D41" i="1"/>
  <c r="C41" i="1"/>
  <c r="I39" i="1"/>
  <c r="H39" i="1"/>
  <c r="G39" i="1"/>
  <c r="F39" i="1"/>
  <c r="E39" i="1"/>
  <c r="D39" i="1"/>
  <c r="C39" i="1"/>
  <c r="I38" i="1"/>
  <c r="H38" i="1"/>
  <c r="G38" i="1"/>
  <c r="F38" i="1"/>
  <c r="E38" i="1"/>
  <c r="D38" i="1"/>
  <c r="C38" i="1"/>
  <c r="I37" i="1"/>
  <c r="H37" i="1"/>
  <c r="G37" i="1"/>
  <c r="F37" i="1"/>
  <c r="E37" i="1"/>
  <c r="D37" i="1"/>
  <c r="C37" i="1"/>
  <c r="I36" i="1"/>
  <c r="H36" i="1"/>
  <c r="G36" i="1"/>
  <c r="F36" i="1"/>
  <c r="E36" i="1"/>
  <c r="D36" i="1"/>
  <c r="C36" i="1"/>
  <c r="I35" i="1"/>
  <c r="H35" i="1"/>
  <c r="G35" i="1"/>
  <c r="F35" i="1"/>
  <c r="E35" i="1"/>
  <c r="D35" i="1"/>
  <c r="C35" i="1"/>
  <c r="I33" i="1"/>
  <c r="H33" i="1"/>
  <c r="G33" i="1"/>
  <c r="F33" i="1"/>
  <c r="E33" i="1"/>
  <c r="D33" i="1"/>
  <c r="C33" i="1"/>
  <c r="I32" i="1"/>
  <c r="H32" i="1"/>
  <c r="G32" i="1"/>
  <c r="F32" i="1"/>
  <c r="E32" i="1"/>
  <c r="D32" i="1"/>
  <c r="C32" i="1"/>
  <c r="I31" i="1"/>
  <c r="H31" i="1"/>
  <c r="G31" i="1"/>
  <c r="F31" i="1"/>
  <c r="E31" i="1"/>
  <c r="D31" i="1"/>
  <c r="C31" i="1"/>
  <c r="I30" i="1"/>
  <c r="H30" i="1"/>
  <c r="G30" i="1"/>
  <c r="F30" i="1"/>
  <c r="E30" i="1"/>
  <c r="D30" i="1"/>
  <c r="C30" i="1"/>
  <c r="I28" i="1"/>
  <c r="H28" i="1"/>
  <c r="G28" i="1"/>
  <c r="F28" i="1"/>
  <c r="E28" i="1"/>
  <c r="D28" i="1"/>
  <c r="C28" i="1"/>
  <c r="I27" i="1"/>
  <c r="H27" i="1"/>
  <c r="G27" i="1"/>
  <c r="F27" i="1"/>
  <c r="E27" i="1"/>
  <c r="D27" i="1"/>
  <c r="C27" i="1"/>
  <c r="I26" i="1"/>
  <c r="H26" i="1"/>
  <c r="G26" i="1"/>
  <c r="F26" i="1"/>
  <c r="E26" i="1"/>
  <c r="D26" i="1"/>
  <c r="C26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I22" i="1"/>
  <c r="H22" i="1"/>
  <c r="G22" i="1"/>
  <c r="F22" i="1"/>
  <c r="E22" i="1"/>
  <c r="D22" i="1"/>
  <c r="C22" i="1"/>
  <c r="I21" i="1"/>
  <c r="H21" i="1"/>
  <c r="G21" i="1"/>
  <c r="F21" i="1"/>
  <c r="E21" i="1"/>
  <c r="D21" i="1"/>
  <c r="C21" i="1"/>
  <c r="I20" i="1"/>
  <c r="H20" i="1"/>
  <c r="G20" i="1"/>
  <c r="F20" i="1"/>
  <c r="E20" i="1"/>
  <c r="D20" i="1"/>
  <c r="C20" i="1"/>
  <c r="I18" i="1"/>
  <c r="H18" i="1"/>
  <c r="G18" i="1"/>
  <c r="F18" i="1"/>
  <c r="E18" i="1"/>
  <c r="D18" i="1"/>
  <c r="C18" i="1"/>
  <c r="I17" i="1"/>
  <c r="H17" i="1"/>
  <c r="G17" i="1"/>
  <c r="F17" i="1"/>
  <c r="E17" i="1"/>
  <c r="D17" i="1"/>
  <c r="C17" i="1"/>
  <c r="I16" i="1"/>
  <c r="H16" i="1"/>
  <c r="G16" i="1"/>
  <c r="F16" i="1"/>
  <c r="E16" i="1"/>
  <c r="D16" i="1"/>
  <c r="C16" i="1"/>
  <c r="I15" i="1"/>
  <c r="H15" i="1"/>
  <c r="G15" i="1"/>
  <c r="F15" i="1"/>
  <c r="E15" i="1"/>
  <c r="D15" i="1"/>
  <c r="C15" i="1"/>
  <c r="I14" i="1"/>
  <c r="H14" i="1"/>
  <c r="G14" i="1"/>
  <c r="F14" i="1"/>
  <c r="E14" i="1"/>
  <c r="D14" i="1"/>
  <c r="C14" i="1"/>
  <c r="I13" i="1"/>
  <c r="H13" i="1"/>
  <c r="G13" i="1"/>
  <c r="F13" i="1"/>
  <c r="E13" i="1"/>
  <c r="D13" i="1"/>
  <c r="C13" i="1"/>
  <c r="I12" i="1"/>
  <c r="H12" i="1"/>
  <c r="G12" i="1"/>
  <c r="F12" i="1"/>
  <c r="E12" i="1"/>
  <c r="D12" i="1"/>
  <c r="C12" i="1"/>
  <c r="E10" i="39"/>
  <c r="E9" i="39"/>
  <c r="E8" i="39"/>
  <c r="E10" i="38"/>
  <c r="E9" i="38"/>
  <c r="E8" i="38"/>
  <c r="E10" i="37"/>
  <c r="E9" i="37"/>
  <c r="E8" i="37"/>
  <c r="E12" i="36"/>
  <c r="E11" i="36"/>
  <c r="E10" i="36"/>
  <c r="E9" i="36"/>
  <c r="E8" i="36"/>
  <c r="E13" i="26"/>
  <c r="E12" i="26"/>
  <c r="E11" i="26"/>
  <c r="E10" i="26"/>
  <c r="E9" i="26"/>
  <c r="E8" i="26"/>
  <c r="E19" i="25"/>
  <c r="E18" i="25"/>
  <c r="E17" i="25"/>
  <c r="E16" i="25"/>
  <c r="E15" i="25"/>
  <c r="E14" i="25"/>
  <c r="E13" i="25"/>
  <c r="E12" i="25"/>
  <c r="E11" i="25"/>
  <c r="E10" i="25"/>
  <c r="E9" i="25"/>
  <c r="E8" i="25"/>
  <c r="E19" i="24"/>
  <c r="E18" i="24"/>
  <c r="E17" i="24"/>
  <c r="E16" i="24"/>
  <c r="E15" i="24"/>
  <c r="E14" i="24"/>
  <c r="E13" i="24"/>
  <c r="E12" i="24"/>
  <c r="E11" i="24"/>
  <c r="E10" i="24"/>
  <c r="E9" i="24"/>
  <c r="E8" i="24"/>
  <c r="E10" i="23"/>
  <c r="E9" i="23"/>
  <c r="E8" i="23"/>
  <c r="D4" i="23" s="1"/>
  <c r="F4" i="23" s="1"/>
  <c r="E14" i="22"/>
  <c r="E13" i="22"/>
  <c r="E12" i="22"/>
  <c r="E11" i="22"/>
  <c r="E10" i="22"/>
  <c r="E9" i="22"/>
  <c r="E8" i="22"/>
  <c r="E18" i="21"/>
  <c r="E17" i="21"/>
  <c r="E16" i="21"/>
  <c r="E15" i="21"/>
  <c r="E14" i="21"/>
  <c r="E13" i="21"/>
  <c r="E12" i="21"/>
  <c r="E11" i="21"/>
  <c r="E10" i="21"/>
  <c r="E9" i="21"/>
  <c r="E8" i="21"/>
  <c r="E10" i="20"/>
  <c r="E9" i="20"/>
  <c r="E8" i="20"/>
  <c r="E10" i="35"/>
  <c r="E9" i="35"/>
  <c r="E8" i="35"/>
  <c r="E10" i="34"/>
  <c r="E9" i="34"/>
  <c r="E8" i="34"/>
  <c r="E10" i="33"/>
  <c r="E9" i="33"/>
  <c r="E8" i="33"/>
  <c r="E12" i="32"/>
  <c r="E11" i="32"/>
  <c r="E10" i="32"/>
  <c r="E9" i="32"/>
  <c r="E8" i="32"/>
  <c r="E12" i="19"/>
  <c r="E11" i="19"/>
  <c r="E10" i="19"/>
  <c r="E9" i="19"/>
  <c r="E8" i="19"/>
  <c r="D4" i="19" s="1"/>
  <c r="E4" i="19" s="1"/>
  <c r="E11" i="18"/>
  <c r="E10" i="18"/>
  <c r="E9" i="18"/>
  <c r="E8" i="18"/>
  <c r="E12" i="31"/>
  <c r="E11" i="31"/>
  <c r="E10" i="31"/>
  <c r="E9" i="31"/>
  <c r="E8" i="31"/>
  <c r="E11" i="30"/>
  <c r="E10" i="30"/>
  <c r="E9" i="30"/>
  <c r="E8" i="30"/>
  <c r="E11" i="16"/>
  <c r="E10" i="16"/>
  <c r="E9" i="16"/>
  <c r="E8" i="16"/>
  <c r="E13" i="15"/>
  <c r="E12" i="15"/>
  <c r="E11" i="15"/>
  <c r="E10" i="15"/>
  <c r="E9" i="15"/>
  <c r="E8" i="15"/>
  <c r="D4" i="15" s="1"/>
  <c r="F4" i="15" s="1"/>
  <c r="E13" i="14"/>
  <c r="E12" i="14"/>
  <c r="E11" i="14"/>
  <c r="E10" i="14"/>
  <c r="E9" i="14"/>
  <c r="E8" i="14"/>
  <c r="E11" i="29"/>
  <c r="E10" i="29"/>
  <c r="E9" i="29"/>
  <c r="E8" i="29"/>
  <c r="D4" i="29" s="1"/>
  <c r="F4" i="29" s="1"/>
  <c r="E14" i="12"/>
  <c r="E13" i="12"/>
  <c r="E12" i="12"/>
  <c r="E11" i="12"/>
  <c r="E10" i="12"/>
  <c r="E9" i="12"/>
  <c r="E8" i="12"/>
  <c r="D4" i="12" s="1"/>
  <c r="G4" i="12" s="1"/>
  <c r="E12" i="11"/>
  <c r="E11" i="11"/>
  <c r="E10" i="11"/>
  <c r="E9" i="11"/>
  <c r="E8" i="11"/>
  <c r="E11" i="10"/>
  <c r="E10" i="10"/>
  <c r="E9" i="10"/>
  <c r="E8" i="10"/>
  <c r="E10" i="28"/>
  <c r="E9" i="28"/>
  <c r="E8" i="28"/>
  <c r="E9" i="8"/>
  <c r="E8" i="8"/>
  <c r="E11" i="7"/>
  <c r="E10" i="7"/>
  <c r="E9" i="7"/>
  <c r="E8" i="7"/>
  <c r="D4" i="7" s="1"/>
  <c r="E4" i="7" s="1"/>
  <c r="D4" i="39"/>
  <c r="E4" i="39" s="1"/>
  <c r="D4" i="24"/>
  <c r="G4" i="24" s="1"/>
  <c r="D4" i="18"/>
  <c r="E4" i="18" s="1"/>
  <c r="D4" i="30"/>
  <c r="E4" i="30" s="1"/>
  <c r="D4" i="10"/>
  <c r="F4" i="10" s="1"/>
  <c r="D4" i="28"/>
  <c r="F4" i="28" s="1"/>
  <c r="D4" i="8"/>
  <c r="G4" i="8" s="1"/>
  <c r="M23" i="3" l="1"/>
  <c r="M3" i="3"/>
  <c r="M11" i="3"/>
  <c r="D23" i="6"/>
  <c r="E23" i="6" s="1"/>
  <c r="G23" i="6" s="1"/>
  <c r="F23" i="6"/>
  <c r="K51" i="1"/>
  <c r="I4" i="21"/>
  <c r="K13" i="1" s="1"/>
  <c r="I4" i="26"/>
  <c r="K42" i="1" s="1"/>
  <c r="I4" i="32"/>
  <c r="K38" i="1" s="1"/>
  <c r="I4" i="37"/>
  <c r="K44" i="1" s="1"/>
  <c r="H4" i="12"/>
  <c r="J49" i="1" s="1"/>
  <c r="I4" i="19"/>
  <c r="K32" i="1" s="1"/>
  <c r="N18" i="3" s="1"/>
  <c r="H4" i="30"/>
  <c r="J24" i="1" s="1"/>
  <c r="H4" i="35"/>
  <c r="J27" i="1" s="1"/>
  <c r="I4" i="22"/>
  <c r="K14" i="1" s="1"/>
  <c r="H4" i="38"/>
  <c r="J45" i="1" s="1"/>
  <c r="I4" i="7"/>
  <c r="K20" i="1" s="1"/>
  <c r="N8" i="3" s="1"/>
  <c r="H4" i="20"/>
  <c r="J12" i="1" s="1"/>
  <c r="H4" i="31"/>
  <c r="J37" i="1" s="1"/>
  <c r="I4" i="11"/>
  <c r="K31" i="1" s="1"/>
  <c r="N17" i="3" s="1"/>
  <c r="H4" i="18"/>
  <c r="J17" i="1" s="1"/>
  <c r="H4" i="36"/>
  <c r="J43" i="1" s="1"/>
  <c r="H4" i="29"/>
  <c r="J50" i="1" s="1"/>
  <c r="I4" i="16"/>
  <c r="K23" i="1" s="1"/>
  <c r="N11" i="3" s="1"/>
  <c r="H4" i="33"/>
  <c r="J25" i="1" s="1"/>
  <c r="I4" i="25"/>
  <c r="K41" i="1" s="1"/>
  <c r="D27" i="6" s="1"/>
  <c r="E27" i="6" s="1"/>
  <c r="H4" i="34"/>
  <c r="J26" i="1" s="1"/>
  <c r="H4" i="15"/>
  <c r="J22" i="1" s="1"/>
  <c r="H4" i="24"/>
  <c r="J16" i="1" s="1"/>
  <c r="I4" i="28"/>
  <c r="K36" i="1" s="1"/>
  <c r="H4" i="14"/>
  <c r="J21" i="1" s="1"/>
  <c r="H4" i="23"/>
  <c r="J15" i="1" s="1"/>
  <c r="H4" i="39"/>
  <c r="J46" i="1" s="1"/>
  <c r="H4" i="10"/>
  <c r="J30" i="1" s="1"/>
  <c r="D4" i="31"/>
  <c r="F4" i="31" s="1"/>
  <c r="D4" i="25"/>
  <c r="F4" i="25" s="1"/>
  <c r="D4" i="22"/>
  <c r="G4" i="22" s="1"/>
  <c r="D4" i="11"/>
  <c r="G4" i="11" s="1"/>
  <c r="D4" i="32"/>
  <c r="G4" i="32" s="1"/>
  <c r="D4" i="26"/>
  <c r="F4" i="26" s="1"/>
  <c r="G4" i="38"/>
  <c r="D4" i="20"/>
  <c r="G4" i="20" s="1"/>
  <c r="G4" i="33"/>
  <c r="D4" i="34"/>
  <c r="E4" i="34" s="1"/>
  <c r="G4" i="14"/>
  <c r="D4" i="35"/>
  <c r="F4" i="35" s="1"/>
  <c r="D4" i="33"/>
  <c r="F4" i="33" s="1"/>
  <c r="D4" i="37"/>
  <c r="G4" i="37" s="1"/>
  <c r="D4" i="14"/>
  <c r="F4" i="14" s="1"/>
  <c r="D4" i="21"/>
  <c r="F4" i="21" s="1"/>
  <c r="G4" i="10"/>
  <c r="D4" i="36"/>
  <c r="G4" i="36" s="1"/>
  <c r="D4" i="16"/>
  <c r="F4" i="16" s="1"/>
  <c r="D4" i="38"/>
  <c r="F4" i="38" s="1"/>
  <c r="F4" i="8"/>
  <c r="G4" i="19"/>
  <c r="E4" i="29"/>
  <c r="F4" i="24"/>
  <c r="G4" i="29"/>
  <c r="E4" i="36"/>
  <c r="G4" i="23"/>
  <c r="E4" i="20"/>
  <c r="E4" i="10"/>
  <c r="E4" i="14"/>
  <c r="E4" i="31"/>
  <c r="E4" i="33"/>
  <c r="E4" i="21"/>
  <c r="E4" i="25"/>
  <c r="E4" i="23"/>
  <c r="F4" i="12"/>
  <c r="E4" i="37"/>
  <c r="F4" i="30"/>
  <c r="G4" i="30"/>
  <c r="E4" i="12"/>
  <c r="F4" i="19"/>
  <c r="F4" i="36"/>
  <c r="E4" i="24"/>
  <c r="G4" i="28"/>
  <c r="E4" i="11"/>
  <c r="E4" i="22"/>
  <c r="F4" i="7"/>
  <c r="F4" i="18"/>
  <c r="F4" i="39"/>
  <c r="G4" i="7"/>
  <c r="G4" i="15"/>
  <c r="G4" i="18"/>
  <c r="G4" i="39"/>
  <c r="E4" i="8"/>
  <c r="E4" i="32"/>
  <c r="F4" i="20"/>
  <c r="E4" i="15"/>
  <c r="F4" i="22"/>
  <c r="G4" i="26"/>
  <c r="E4" i="28"/>
  <c r="M28" i="3" l="1"/>
  <c r="F32" i="6"/>
  <c r="D32" i="6"/>
  <c r="E32" i="6" s="1"/>
  <c r="G32" i="6" s="1"/>
  <c r="D31" i="6"/>
  <c r="E31" i="6" s="1"/>
  <c r="F31" i="6"/>
  <c r="M27" i="3"/>
  <c r="N26" i="3"/>
  <c r="F30" i="6"/>
  <c r="D30" i="6"/>
  <c r="E30" i="6" s="1"/>
  <c r="G30" i="6" s="1"/>
  <c r="J47" i="1"/>
  <c r="F29" i="6"/>
  <c r="D29" i="6"/>
  <c r="E29" i="6" s="1"/>
  <c r="M25" i="3"/>
  <c r="M15" i="3"/>
  <c r="D19" i="6"/>
  <c r="E19" i="6" s="1"/>
  <c r="F19" i="6"/>
  <c r="F18" i="6"/>
  <c r="D18" i="6"/>
  <c r="E18" i="6" s="1"/>
  <c r="G18" i="6" s="1"/>
  <c r="M14" i="3"/>
  <c r="M13" i="3"/>
  <c r="F17" i="6"/>
  <c r="D17" i="6"/>
  <c r="E17" i="6" s="1"/>
  <c r="D26" i="6"/>
  <c r="E26" i="6" s="1"/>
  <c r="F26" i="6"/>
  <c r="N22" i="3"/>
  <c r="J39" i="1"/>
  <c r="F25" i="6"/>
  <c r="D25" i="6"/>
  <c r="E25" i="6" s="1"/>
  <c r="M21" i="3"/>
  <c r="M12" i="3"/>
  <c r="F16" i="6"/>
  <c r="D16" i="6"/>
  <c r="E16" i="6" s="1"/>
  <c r="G16" i="6" s="1"/>
  <c r="F34" i="6"/>
  <c r="M30" i="3"/>
  <c r="D34" i="6"/>
  <c r="E34" i="6" s="1"/>
  <c r="G34" i="6" s="1"/>
  <c r="K39" i="1"/>
  <c r="N20" i="3"/>
  <c r="D24" i="6"/>
  <c r="E24" i="6" s="1"/>
  <c r="F24" i="6"/>
  <c r="N24" i="3"/>
  <c r="F28" i="6"/>
  <c r="D28" i="6"/>
  <c r="E28" i="6" s="1"/>
  <c r="K47" i="1"/>
  <c r="N23" i="3"/>
  <c r="F27" i="6"/>
  <c r="G27" i="6" s="1"/>
  <c r="M6" i="3"/>
  <c r="F10" i="6"/>
  <c r="D10" i="6"/>
  <c r="E10" i="6" s="1"/>
  <c r="M5" i="3"/>
  <c r="D9" i="6"/>
  <c r="E9" i="6" s="1"/>
  <c r="F9" i="6"/>
  <c r="D8" i="6"/>
  <c r="E8" i="6" s="1"/>
  <c r="N4" i="3"/>
  <c r="F8" i="6"/>
  <c r="K18" i="1"/>
  <c r="N3" i="3"/>
  <c r="D7" i="6"/>
  <c r="E7" i="6" s="1"/>
  <c r="F7" i="6"/>
  <c r="M2" i="3"/>
  <c r="F6" i="6"/>
  <c r="D6" i="6"/>
  <c r="E6" i="6" s="1"/>
  <c r="G6" i="6" s="1"/>
  <c r="F22" i="6"/>
  <c r="D22" i="6"/>
  <c r="E22" i="6" s="1"/>
  <c r="F11" i="6"/>
  <c r="D11" i="6"/>
  <c r="E11" i="6" s="1"/>
  <c r="G11" i="6" s="1"/>
  <c r="M7" i="3"/>
  <c r="F15" i="6"/>
  <c r="D15" i="6"/>
  <c r="E15" i="6" s="1"/>
  <c r="G15" i="6" s="1"/>
  <c r="F14" i="6"/>
  <c r="D14" i="6"/>
  <c r="E14" i="6" s="1"/>
  <c r="M10" i="3"/>
  <c r="J28" i="1"/>
  <c r="M9" i="3"/>
  <c r="F13" i="6"/>
  <c r="D13" i="6"/>
  <c r="E13" i="6" s="1"/>
  <c r="G13" i="6" s="1"/>
  <c r="D33" i="6"/>
  <c r="E33" i="6" s="1"/>
  <c r="M29" i="3"/>
  <c r="F33" i="6"/>
  <c r="K33" i="1"/>
  <c r="F21" i="6"/>
  <c r="D21" i="6"/>
  <c r="E21" i="6" s="1"/>
  <c r="G21" i="6" s="1"/>
  <c r="J33" i="1"/>
  <c r="D20" i="6"/>
  <c r="E20" i="6" s="1"/>
  <c r="M16" i="3"/>
  <c r="F20" i="6"/>
  <c r="F12" i="6"/>
  <c r="D12" i="6"/>
  <c r="J18" i="1"/>
  <c r="K28" i="1"/>
  <c r="J51" i="1"/>
  <c r="F4" i="34"/>
  <c r="E4" i="35"/>
  <c r="G4" i="16"/>
  <c r="G4" i="35"/>
  <c r="F4" i="32"/>
  <c r="E4" i="16"/>
  <c r="F4" i="11"/>
  <c r="G4" i="21"/>
  <c r="G4" i="34"/>
  <c r="E4" i="26"/>
  <c r="G4" i="31"/>
  <c r="F4" i="37"/>
  <c r="E4" i="38"/>
  <c r="G4" i="25"/>
  <c r="G31" i="6" l="1"/>
  <c r="G29" i="6"/>
  <c r="G19" i="6"/>
  <c r="G17" i="6"/>
  <c r="K53" i="1"/>
  <c r="N31" i="3" s="1"/>
  <c r="G26" i="6"/>
  <c r="G25" i="6"/>
  <c r="G24" i="6"/>
  <c r="G28" i="6"/>
  <c r="G10" i="6"/>
  <c r="G9" i="6"/>
  <c r="G8" i="6"/>
  <c r="G7" i="6"/>
  <c r="G22" i="6"/>
  <c r="G14" i="6"/>
  <c r="G33" i="6"/>
  <c r="G20" i="6"/>
  <c r="D35" i="6"/>
  <c r="E35" i="6" s="1"/>
  <c r="E12" i="6"/>
  <c r="G12" i="6" s="1"/>
  <c r="B50" i="6"/>
  <c r="C46" i="6"/>
  <c r="D46" i="6" s="1"/>
  <c r="C49" i="6"/>
  <c r="D49" i="6" s="1"/>
  <c r="B49" i="6"/>
  <c r="C48" i="6"/>
  <c r="D48" i="6" s="1"/>
  <c r="B46" i="6"/>
  <c r="B48" i="6"/>
  <c r="C47" i="6"/>
  <c r="D47" i="6" s="1"/>
  <c r="B47" i="6"/>
  <c r="C50" i="6"/>
  <c r="D50" i="6" s="1"/>
  <c r="F35" i="6"/>
  <c r="F39" i="6" s="1"/>
  <c r="J53" i="1"/>
  <c r="M31" i="3" s="1"/>
  <c r="D39" i="6" l="1"/>
  <c r="G35" i="6"/>
  <c r="B41" i="6" l="1"/>
  <c r="D40" i="6"/>
  <c r="B40" i="6"/>
  <c r="D41" i="6" l="1"/>
  <c r="B42" i="6"/>
  <c r="E44" i="4" l="1"/>
  <c r="E42" i="4"/>
  <c r="E41" i="4"/>
  <c r="D5" i="4" l="1"/>
  <c r="E5" i="4" s="1"/>
  <c r="D34" i="4" l="1"/>
  <c r="E34" i="4" s="1"/>
  <c r="D14" i="4"/>
  <c r="E14" i="4" s="1"/>
  <c r="D33" i="4"/>
  <c r="E33" i="4" s="1"/>
  <c r="D22" i="4"/>
  <c r="E22" i="4" s="1"/>
  <c r="D32" i="4"/>
  <c r="E32" i="4" s="1"/>
  <c r="D18" i="4"/>
  <c r="E18" i="4" s="1"/>
  <c r="D13" i="4"/>
  <c r="E13" i="4" s="1"/>
  <c r="D9" i="4"/>
  <c r="E9" i="4" s="1"/>
  <c r="D10" i="4"/>
  <c r="E10" i="4" s="1"/>
  <c r="D25" i="4"/>
  <c r="E25" i="4" s="1"/>
  <c r="D15" i="4"/>
  <c r="E15" i="4" s="1"/>
  <c r="D21" i="4"/>
  <c r="E21" i="4" s="1"/>
  <c r="D23" i="4"/>
  <c r="E23" i="4" s="1"/>
  <c r="D29" i="4"/>
  <c r="E29" i="4" s="1"/>
  <c r="D8" i="4"/>
  <c r="E8" i="4" s="1"/>
  <c r="D20" i="4"/>
  <c r="E20" i="4" s="1"/>
  <c r="D17" i="4"/>
  <c r="E17" i="4" s="1"/>
  <c r="D26" i="4"/>
  <c r="E26" i="4" s="1"/>
  <c r="D19" i="4"/>
  <c r="E19" i="4" s="1"/>
  <c r="D12" i="4"/>
  <c r="E12" i="4" s="1"/>
  <c r="D30" i="4"/>
  <c r="E30" i="4" s="1"/>
  <c r="D7" i="4"/>
  <c r="E7" i="4" s="1"/>
  <c r="D24" i="4"/>
  <c r="E24" i="4" s="1"/>
  <c r="D28" i="4"/>
  <c r="E28" i="4" s="1"/>
  <c r="D6" i="4"/>
  <c r="E6" i="4" s="1"/>
  <c r="D27" i="4"/>
  <c r="E27" i="4" s="1"/>
  <c r="D31" i="4"/>
  <c r="E31" i="4" s="1"/>
  <c r="D11" i="4"/>
  <c r="E11" i="4" s="1"/>
  <c r="D16" i="4"/>
  <c r="E16" i="4" s="1"/>
  <c r="D38" i="4" l="1"/>
  <c r="D43" i="4"/>
  <c r="E43" i="4" s="1"/>
  <c r="E38" i="4" l="1"/>
  <c r="D39" i="4"/>
  <c r="E39" i="4" l="1"/>
  <c r="D40" i="4"/>
  <c r="E40" i="4" s="1"/>
</calcChain>
</file>

<file path=xl/sharedStrings.xml><?xml version="1.0" encoding="utf-8"?>
<sst xmlns="http://schemas.openxmlformats.org/spreadsheetml/2006/main" count="2112" uniqueCount="462">
  <si>
    <t>Aircraft Mass Properties Tracker</t>
  </si>
  <si>
    <t>ATA</t>
  </si>
  <si>
    <t>Qty</t>
  </si>
  <si>
    <t>Notes</t>
  </si>
  <si>
    <t>Air Conditioning</t>
  </si>
  <si>
    <t>Auto Flight</t>
  </si>
  <si>
    <t>Communications</t>
  </si>
  <si>
    <t>Electrical Power</t>
  </si>
  <si>
    <t>Equipment / Furnishings</t>
  </si>
  <si>
    <t>Fire Protection</t>
  </si>
  <si>
    <t>Flight Controls</t>
  </si>
  <si>
    <t>Fuel</t>
  </si>
  <si>
    <t>Hydraulic Power</t>
  </si>
  <si>
    <t>Ice &amp; Rain Protection</t>
  </si>
  <si>
    <t>Indicating / Recording</t>
  </si>
  <si>
    <t>Landing Gear</t>
  </si>
  <si>
    <t>Lights</t>
  </si>
  <si>
    <t>Navigation</t>
  </si>
  <si>
    <t>Oxygen</t>
  </si>
  <si>
    <t>Pneumatic</t>
  </si>
  <si>
    <t>Water / Waste</t>
  </si>
  <si>
    <t>APU</t>
  </si>
  <si>
    <t>Doors</t>
  </si>
  <si>
    <t>Fuselage</t>
  </si>
  <si>
    <t>Nacelles / Pylons</t>
  </si>
  <si>
    <t>Stabilizers</t>
  </si>
  <si>
    <t>Windows</t>
  </si>
  <si>
    <t>Wings</t>
  </si>
  <si>
    <t>Power Plant</t>
  </si>
  <si>
    <t>Engine Fuel &amp; Control</t>
  </si>
  <si>
    <t>Engine Air</t>
  </si>
  <si>
    <t>Exhaust</t>
  </si>
  <si>
    <t>Engine Oil</t>
  </si>
  <si>
    <t>Starting</t>
  </si>
  <si>
    <t>Distributed</t>
  </si>
  <si>
    <t>Wingtips + tail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</si>
  <si>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</si>
  <si>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</si>
  <si>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</si>
  <si>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</si>
  <si>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</si>
  <si>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</si>
  <si>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</si>
  <si>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ata</t>
  </si>
  <si>
    <t>notes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</si>
  <si>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</si>
  <si>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</si>
  <si>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</si>
  <si>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</si>
  <si>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</si>
  <si>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</si>
  <si>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</si>
  <si>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</si>
  <si>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</si>
  <si>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</si>
  <si>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</si>
  <si>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</si>
  <si>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</si>
  <si>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</si>
  <si>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</si>
  <si>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</si>
  <si>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</si>
  <si>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</si>
  <si>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</si>
  <si>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</si>
  <si>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</si>
  <si>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</si>
  <si>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</si>
  <si>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</si>
  <si>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</si>
  <si>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</si>
  <si>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</si>
  <si>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</si>
  <si>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</si>
  <si>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Mx (lbm·ft)</t>
  </si>
  <si>
    <t>My (lbm·ft)</t>
  </si>
  <si>
    <t>Mz (lbm·ft)</t>
  </si>
  <si>
    <t>Target (lbm)</t>
  </si>
  <si>
    <t>Target Mass (lbm)</t>
  </si>
  <si>
    <t>Current (lbm)</t>
  </si>
  <si>
    <t>Mass Properties Risk Analysis</t>
  </si>
  <si>
    <t>Nominal (lbm)</t>
  </si>
  <si>
    <t>TOTAL</t>
  </si>
  <si>
    <t>All Components</t>
  </si>
  <si>
    <t>Unc + (lbm)</t>
  </si>
  <si>
    <t>Unc − (lbm)</t>
  </si>
  <si>
    <t>Mean Shift (lbm)</t>
  </si>
  <si>
    <t>Adjusted Mean (lbm)</t>
  </si>
  <si>
    <t>Verdict</t>
  </si>
  <si>
    <t>Rank</t>
  </si>
  <si>
    <t>σ (lbm)</t>
  </si>
  <si>
    <t>System</t>
  </si>
  <si>
    <t>X CoG (ft)</t>
  </si>
  <si>
    <t>Y CoG (ft)</t>
  </si>
  <si>
    <t>Z CoG (ft)</t>
  </si>
  <si>
    <t>System Owner</t>
  </si>
  <si>
    <t>Electrical Power (Low Voltage)</t>
  </si>
  <si>
    <t>Electrical Power (High Voltage Hybrid)</t>
  </si>
  <si>
    <t>Generators, inverters, motor controllers, HV cables</t>
  </si>
  <si>
    <t>Equipment &amp; Furnishings</t>
  </si>
  <si>
    <t>Door</t>
  </si>
  <si>
    <t>V-Tail</t>
  </si>
  <si>
    <t>Combined HTP+VTP ruddervators</t>
  </si>
  <si>
    <t>Duality Engines</t>
  </si>
  <si>
    <t>Intake, 2-stage fan, motors, burner, nozzle (LH + RH)</t>
  </si>
  <si>
    <t>Turbo Generator</t>
  </si>
  <si>
    <t>Turbine + generator powering duality motors</t>
  </si>
  <si>
    <t>ATA 21 — Air Conditioning</t>
  </si>
  <si>
    <t>SUMMARY →</t>
  </si>
  <si>
    <t>Default Owner:</t>
  </si>
  <si>
    <t>ECS</t>
  </si>
  <si>
    <t>#</t>
  </si>
  <si>
    <t>Line Item</t>
  </si>
  <si>
    <t>Length (ft)</t>
  </si>
  <si>
    <t>Width (ft)</t>
  </si>
  <si>
    <t>Height (ft)</t>
  </si>
  <si>
    <t>Mass Maturity</t>
  </si>
  <si>
    <t>CAD</t>
  </si>
  <si>
    <t>Geometry Status</t>
  </si>
  <si>
    <t>ATA 22 — Auto Flight</t>
  </si>
  <si>
    <t>Avionics</t>
  </si>
  <si>
    <t>ATA 24 — Electrical Power (Low Voltage)</t>
  </si>
  <si>
    <t>Electrical</t>
  </si>
  <si>
    <t>ATA 24H — Electrical Power (High Voltage Hybrid)</t>
  </si>
  <si>
    <t>Electrical / Propulsion</t>
  </si>
  <si>
    <t>ATA 25 — Equipment &amp; Furnishings</t>
  </si>
  <si>
    <t>Interiors</t>
  </si>
  <si>
    <t>Safety Systems</t>
  </si>
  <si>
    <t>ATA 27 — Flight Controls</t>
  </si>
  <si>
    <t>ATA 28 — Fuel</t>
  </si>
  <si>
    <t>Fuel Systems</t>
  </si>
  <si>
    <t>ATA 29 — Hydraulic Power</t>
  </si>
  <si>
    <t>Hydraulics</t>
  </si>
  <si>
    <t>ATA 32 — Landing Gear</t>
  </si>
  <si>
    <t>ATA 33 — Lights</t>
  </si>
  <si>
    <t>ATA 52 — Door</t>
  </si>
  <si>
    <t>Structures</t>
  </si>
  <si>
    <t>ATA 53 — Fuselage</t>
  </si>
  <si>
    <t>ATA 55 — V-Tail</t>
  </si>
  <si>
    <t>ATA 56 — Windows</t>
  </si>
  <si>
    <t>ATA 57 — Wings</t>
  </si>
  <si>
    <t>ATA 71 — Duality Engines</t>
  </si>
  <si>
    <t>Propulsion</t>
  </si>
  <si>
    <t>ATA 71T — Turbo Generator</t>
  </si>
  <si>
    <t>Electrical Power (LV)</t>
  </si>
  <si>
    <t>Water &amp; Waste</t>
  </si>
  <si>
    <t>Air (Intakes)</t>
  </si>
  <si>
    <t>2 duality + 1 turbogen intakes</t>
  </si>
  <si>
    <t>ATA 23 — Communications</t>
  </si>
  <si>
    <t>ATA 26 — Fire Protection</t>
  </si>
  <si>
    <t>ATA 30 — Ice &amp; Rain Protection</t>
  </si>
  <si>
    <t>ATA 31 — Indicating &amp; Recording (Instruments)</t>
  </si>
  <si>
    <t>ATA 34 — Navigation</t>
  </si>
  <si>
    <t>ATA 35 — Oxygen</t>
  </si>
  <si>
    <t>ATA 36 — Pneumatic</t>
  </si>
  <si>
    <t>ATA 38 — Water &amp; Waste</t>
  </si>
  <si>
    <t>ATA 73 — Engine Fuel &amp; Control</t>
  </si>
  <si>
    <t>ATA 75 — Air (Intakes)</t>
  </si>
  <si>
    <t>ATA 78 — Exhaust</t>
  </si>
  <si>
    <t>ATA 80 — Starting</t>
  </si>
  <si>
    <t>Coordinate system: X = longitudinal (aft +), Y = lateral (right +), Z = vertical (up +). Units: mass in lbm, positions in ft. Moments = mass × position.</t>
  </si>
  <si>
    <t>2400LV</t>
  </si>
  <si>
    <t>2400HV</t>
  </si>
  <si>
    <t>7100T</t>
  </si>
  <si>
    <t>Recirculation fan</t>
  </si>
  <si>
    <t>OOM</t>
  </si>
  <si>
    <t>N</t>
  </si>
  <si>
    <t>Cabin air recirc</t>
  </si>
  <si>
    <t>Cabin pressure controller</t>
  </si>
  <si>
    <t>ECS ducting</t>
  </si>
  <si>
    <t>Cabin + cockpit</t>
  </si>
  <si>
    <t>Heat exchanger</t>
  </si>
  <si>
    <t>Autopilot computer</t>
  </si>
  <si>
    <t>Dual redundant</t>
  </si>
  <si>
    <t>Yaw damper actuator</t>
  </si>
  <si>
    <t>V-tail integrated</t>
  </si>
  <si>
    <t>VHF comm radio</t>
  </si>
  <si>
    <t>Satcom unit</t>
  </si>
  <si>
    <t>Roof mount antenna</t>
  </si>
  <si>
    <t>Antennas + cabling</t>
  </si>
  <si>
    <t>Main battery</t>
  </si>
  <si>
    <t>Ni-Cd 28V</t>
  </si>
  <si>
    <t>DC bus / distribution panel</t>
  </si>
  <si>
    <t>LV wiring harness</t>
  </si>
  <si>
    <t>Transformer rectifier unit</t>
  </si>
  <si>
    <t>Motor controller / inverter (duality)</t>
  </si>
  <si>
    <t>One per duality engine</t>
  </si>
  <si>
    <t>Generator inverter (turbogen)</t>
  </si>
  <si>
    <t>HV cable run (gen → motors)</t>
  </si>
  <si>
    <t>High-voltage DC</t>
  </si>
  <si>
    <t>DC link capacitors / EMI filter</t>
  </si>
  <si>
    <t>HV battery pack (buffer)</t>
  </si>
  <si>
    <t>Transient load support</t>
  </si>
  <si>
    <t>Pilot seat</t>
  </si>
  <si>
    <t>Passenger seats (club 2+2)</t>
  </si>
  <si>
    <t>Forward + aft facing pairs</t>
  </si>
  <si>
    <t>Aft single seat</t>
  </si>
  <si>
    <t>Cabin sidewalls + ceiling</t>
  </si>
  <si>
    <t>Floor panels + insulation</t>
  </si>
  <si>
    <t>Cabin lavatory</t>
  </si>
  <si>
    <t>Aft</t>
  </si>
  <si>
    <t>Galley / refreshment center</t>
  </si>
  <si>
    <t>Fire bottle (engine)</t>
  </si>
  <si>
    <t>Safety</t>
  </si>
  <si>
    <t>One per duality</t>
  </si>
  <si>
    <t>Fire bottle (turbogen)</t>
  </si>
  <si>
    <t>Fire detection loops</t>
  </si>
  <si>
    <t>Engine bay + turbogen</t>
  </si>
  <si>
    <t>Cabin extinguisher (portable)</t>
  </si>
  <si>
    <t>Actual</t>
  </si>
  <si>
    <t>Primary control yokes</t>
  </si>
  <si>
    <t>Pilot + copilot</t>
  </si>
  <si>
    <t>Aileron actuators</t>
  </si>
  <si>
    <t>Outboard wing</t>
  </si>
  <si>
    <t>Ruddervator actuators</t>
  </si>
  <si>
    <t>V-tail</t>
  </si>
  <si>
    <t>Flap drive motor + screwjack</t>
  </si>
  <si>
    <t>Trim actuators</t>
  </si>
  <si>
    <t>Control cables + push rods</t>
  </si>
  <si>
    <t>Fwd fuselage tank (structure + bladder)</t>
  </si>
  <si>
    <t>~250 gal</t>
  </si>
  <si>
    <t>Aft fuselage tank (structure + bladder)</t>
  </si>
  <si>
    <t>~300 gal</t>
  </si>
  <si>
    <t>Fuel pumps</t>
  </si>
  <si>
    <t>Boost + transfer</t>
  </si>
  <si>
    <t>Fuel lines</t>
  </si>
  <si>
    <t>Fuel quantity sensors</t>
  </si>
  <si>
    <t>Fuel control unit</t>
  </si>
  <si>
    <t>Hydraulic pump (engine driven)</t>
  </si>
  <si>
    <t>Hydraulic reservoir</t>
  </si>
  <si>
    <t>Accumulator</t>
  </si>
  <si>
    <t>Hydraulic lines</t>
  </si>
  <si>
    <t>Wing leading edge boots / heaters</t>
  </si>
  <si>
    <t>Pneumatic boots</t>
  </si>
  <si>
    <t>Windshield heat</t>
  </si>
  <si>
    <t>Electric</t>
  </si>
  <si>
    <t>Pitot heat</t>
  </si>
  <si>
    <t>Engine inlet anti-ice</t>
  </si>
  <si>
    <t>2 duality + 1 turbogen</t>
  </si>
  <si>
    <t>Primary flight display</t>
  </si>
  <si>
    <t>Multifunction display</t>
  </si>
  <si>
    <t>Engine indication</t>
  </si>
  <si>
    <t>Standby instruments</t>
  </si>
  <si>
    <t>FDR / CVR</t>
  </si>
  <si>
    <t>Aft fuselage</t>
  </si>
  <si>
    <t>Nose gear assembly</t>
  </si>
  <si>
    <t>Retractable</t>
  </si>
  <si>
    <t>Main gear assembly</t>
  </si>
  <si>
    <t>Trailing link</t>
  </si>
  <si>
    <t>Brakes + wheels</t>
  </si>
  <si>
    <t>Main only</t>
  </si>
  <si>
    <t>Gear actuation + uplocks</t>
  </si>
  <si>
    <t>Hydraulic retract</t>
  </si>
  <si>
    <t>Cockpit lighting</t>
  </si>
  <si>
    <t>LED panels</t>
  </si>
  <si>
    <t>Cabin lighting</t>
  </si>
  <si>
    <t>LED wash</t>
  </si>
  <si>
    <t>Nav / position lights</t>
  </si>
  <si>
    <t>Landing / taxi lights</t>
  </si>
  <si>
    <t>Anti-collision strobe</t>
  </si>
  <si>
    <t>V-tail tips</t>
  </si>
  <si>
    <t>GPS / WAAS receiver</t>
  </si>
  <si>
    <t>IRS / AHRS</t>
  </si>
  <si>
    <t>Dual</t>
  </si>
  <si>
    <t>ADS-B transponder</t>
  </si>
  <si>
    <t>Weather radar</t>
  </si>
  <si>
    <t>Nose mount</t>
  </si>
  <si>
    <t>TCAS / TAWS</t>
  </si>
  <si>
    <t>Crew oxygen bottle</t>
  </si>
  <si>
    <t>Passenger oxygen system</t>
  </si>
  <si>
    <t>Drop-down masks</t>
  </si>
  <si>
    <t>O2 plumbing + regulators</t>
  </si>
  <si>
    <t>Bleed air ducting (turbogen)</t>
  </si>
  <si>
    <t>Cabin pressurization</t>
  </si>
  <si>
    <t>Pressure regulator + flow control</t>
  </si>
  <si>
    <t>Precooler</t>
  </si>
  <si>
    <t>Potable water tank</t>
  </si>
  <si>
    <t>~5 gal full</t>
  </si>
  <si>
    <t>Waste tank</t>
  </si>
  <si>
    <t>~8 gal full</t>
  </si>
  <si>
    <t>Water/waste plumbing</t>
  </si>
  <si>
    <t>Main entry door (LH fwd)</t>
  </si>
  <si>
    <t>Plug door</t>
  </si>
  <si>
    <t>Door mechanism + hinges</t>
  </si>
  <si>
    <t>Door seals</t>
  </si>
  <si>
    <t>Pressurization seal</t>
  </si>
  <si>
    <t>Forward fuselage frames (FS 0-10)</t>
  </si>
  <si>
    <t>Cockpit + nose</t>
  </si>
  <si>
    <t>Cabin fuselage frames (FS 10-25)</t>
  </si>
  <si>
    <t>Pressurized section</t>
  </si>
  <si>
    <t>Aft fuselage frames (FS 25-35)</t>
  </si>
  <si>
    <t>Engine bay</t>
  </si>
  <si>
    <t>Longerons / stringers</t>
  </si>
  <si>
    <t>Skin panels (fwd)</t>
  </si>
  <si>
    <t>Skin panels (cabin)</t>
  </si>
  <si>
    <t>Pressurized</t>
  </si>
  <si>
    <t>Skin panels (aft)</t>
  </si>
  <si>
    <t>Pressure bulkhead (fwd)</t>
  </si>
  <si>
    <t>Pressure bulkhead (aft)</t>
  </si>
  <si>
    <t>Wing carry-through structure</t>
  </si>
  <si>
    <t>Center wing box</t>
  </si>
  <si>
    <t>Floor beams</t>
  </si>
  <si>
    <t>V-tail spar (LH)</t>
  </si>
  <si>
    <t>Carbon spar</t>
  </si>
  <si>
    <t>V-tail spar (RH)</t>
  </si>
  <si>
    <t>V-tail ribs</t>
  </si>
  <si>
    <t>V-tail skin (LH)</t>
  </si>
  <si>
    <t>V-tail skin (RH)</t>
  </si>
  <si>
    <t>Ruddervators (LH+RH)</t>
  </si>
  <si>
    <t>Control surface</t>
  </si>
  <si>
    <t>V-tail attach fittings</t>
  </si>
  <si>
    <t>Windshield (LH+RH)</t>
  </si>
  <si>
    <t>Heated laminated</t>
  </si>
  <si>
    <t>Cabin windows</t>
  </si>
  <si>
    <t>4 per side</t>
  </si>
  <si>
    <t>Window frames + retainers</t>
  </si>
  <si>
    <t>Wing spar - main (LH)</t>
  </si>
  <si>
    <t>Carbon</t>
  </si>
  <si>
    <t>Wing spar - main (RH)</t>
  </si>
  <si>
    <t>Wing spar - rear (LH)</t>
  </si>
  <si>
    <t>Wing spar - rear (RH)</t>
  </si>
  <si>
    <t>Wing ribs (LH)</t>
  </si>
  <si>
    <t>Wing ribs (RH)</t>
  </si>
  <si>
    <t>Wing skin (LH upper+lower)</t>
  </si>
  <si>
    <t>Wing skin (RH upper+lower)</t>
  </si>
  <si>
    <t>Ailerons (LH+RH)</t>
  </si>
  <si>
    <t>Flaps (LH+RH)</t>
  </si>
  <si>
    <t>Wing attach fittings</t>
  </si>
  <si>
    <t>Winglets (LH+RH)</t>
  </si>
  <si>
    <t>Duality intake duct (LH)</t>
  </si>
  <si>
    <t>Long intake aft of wing</t>
  </si>
  <si>
    <t>Duality intake duct (RH)</t>
  </si>
  <si>
    <t>2-stage fan (LH)</t>
  </si>
  <si>
    <t>2-stage fan (RH)</t>
  </si>
  <si>
    <t>Electric motor (LH fan)</t>
  </si>
  <si>
    <t>2 motors per fan</t>
  </si>
  <si>
    <t>Electric motor (RH fan)</t>
  </si>
  <si>
    <t>Burner (LH)</t>
  </si>
  <si>
    <t>Afterburner-style</t>
  </si>
  <si>
    <t>Burner (RH)</t>
  </si>
  <si>
    <t>Nozzle (LH)</t>
  </si>
  <si>
    <t>Nozzle (RH)</t>
  </si>
  <si>
    <t>Engine mounts (LH)</t>
  </si>
  <si>
    <t>Engine mounts (RH)</t>
  </si>
  <si>
    <t>Turbogen intake duct</t>
  </si>
  <si>
    <t>Dorsal intake</t>
  </si>
  <si>
    <t>Turbine core</t>
  </si>
  <si>
    <t>Gas generator</t>
  </si>
  <si>
    <t>Generator (turbine-driven)</t>
  </si>
  <si>
    <t>Main HV source</t>
  </si>
  <si>
    <t>Turbogen exhaust</t>
  </si>
  <si>
    <t>Turbogen mounts</t>
  </si>
  <si>
    <t>Lube oil system</t>
  </si>
  <si>
    <t>FADEC (duality LH+RH)</t>
  </si>
  <si>
    <t>FADEC (turbogen)</t>
  </si>
  <si>
    <t>Engine fuel pump (turbogen)</t>
  </si>
  <si>
    <t>Engine fuel pump (duality LH+RH)</t>
  </si>
  <si>
    <t>For burner</t>
  </si>
  <si>
    <t>Engine fuel manifolds</t>
  </si>
  <si>
    <t>Duality intake lip/cowl (LH)</t>
  </si>
  <si>
    <t>Duality intake lip/cowl (RH)</t>
  </si>
  <si>
    <t>Turbogen intake lip/cowl</t>
  </si>
  <si>
    <t>Dorsal</t>
  </si>
  <si>
    <t>Duality exhaust shroud (LH)</t>
  </si>
  <si>
    <t>Duality exhaust shroud (RH)</t>
  </si>
  <si>
    <t>Thermal blanket / IR suppression</t>
  </si>
  <si>
    <t>Starter motor (turbogen)</t>
  </si>
  <si>
    <t>Electric start</t>
  </si>
  <si>
    <t>Ignition exciter (turbogen)</t>
  </si>
  <si>
    <t>Ignition exciter (duality LH+RH)</t>
  </si>
  <si>
    <t>Owner</t>
  </si>
  <si>
    <t>STRUCTURE</t>
  </si>
  <si>
    <t>Structure Subtotal</t>
  </si>
  <si>
    <t>MECHANICAL SYSTEMS</t>
  </si>
  <si>
    <t>Fuel System</t>
  </si>
  <si>
    <t>Plumbing/pumps only (fuel mass in Fuel block below)</t>
  </si>
  <si>
    <t>Mechanical Subtotal</t>
  </si>
  <si>
    <t>ELECTRICAL SYSTEMS</t>
  </si>
  <si>
    <t>Electrical Subtotal</t>
  </si>
  <si>
    <t>AVIONICS</t>
  </si>
  <si>
    <t>Instruments</t>
  </si>
  <si>
    <t>Avionics Subtotal</t>
  </si>
  <si>
    <t>POWERPLANT</t>
  </si>
  <si>
    <t>Powerplant Subtotal</t>
  </si>
  <si>
    <t>INTERIOR</t>
  </si>
  <si>
    <t>Interior Subtotal</t>
  </si>
  <si>
    <t>EMPTY WEIGHT</t>
  </si>
  <si>
    <t>(sum of all subtotals)</t>
  </si>
  <si>
    <t>WEIGHT SUMMARY</t>
  </si>
  <si>
    <t>Mass (lbm)</t>
  </si>
  <si>
    <t>Spec Target (lbm)</t>
  </si>
  <si>
    <t>Delta (lbm)</t>
  </si>
  <si>
    <t>Margin %</t>
  </si>
  <si>
    <t>Empty Weight</t>
  </si>
  <si>
    <t>Sum of all ATA subtotals</t>
  </si>
  <si>
    <t>(crew, oil, unusable fuel)</t>
  </si>
  <si>
    <t>1 pilot @ 200 lbm + oil + unusable fuel</t>
  </si>
  <si>
    <t>= Operating Empty Weight (OEW)</t>
  </si>
  <si>
    <t>(5 pax + bags)</t>
  </si>
  <si>
    <t>5 pax @ 200 lbm + 300 lbm bags</t>
  </si>
  <si>
    <t>= Zero Fuel Weight (ZFW)</t>
  </si>
  <si>
    <t>MZFW spec</t>
  </si>
  <si>
    <t>(max usable)</t>
  </si>
  <si>
    <t>~1200 gal @ 6.7 lbm/gal Jet-A</t>
  </si>
  <si>
    <t>= Takeoff Weight (TOW)</t>
  </si>
  <si>
    <t>MTOW spec</t>
  </si>
  <si>
    <t>Typical mission burn</t>
  </si>
  <si>
    <t>= Landing Weight (LW)</t>
  </si>
  <si>
    <t>MLW spec</t>
  </si>
  <si>
    <t>Rep</t>
  </si>
  <si>
    <t>Y</t>
  </si>
  <si>
    <t>Space Res</t>
  </si>
  <si>
    <t>Ref Geom</t>
  </si>
  <si>
    <t>Sketch</t>
  </si>
  <si>
    <t>Completed</t>
  </si>
  <si>
    <t>Unc %</t>
  </si>
  <si>
    <t>X</t>
  </si>
  <si>
    <t>Δ vs Target</t>
  </si>
  <si>
    <t>Each ATA carries asymmetric uncertainty (Unc+, Unc−) from the Roll Up sheet. Treated as a triangular distribution per row: mean shift = (Unc+ − Unc−)/3, σ² = (Unc+² + Unc−² − Unc+·Unc−)/18. Uncertainties combine by RSS (root-sum-square); mean shifts add linearly. 95% CI = adjusted mean ± 1.96·σ.</t>
  </si>
  <si>
    <t>95% CI Range (lbm)</t>
  </si>
  <si>
    <t>Ice &amp; Rain</t>
  </si>
  <si>
    <t>Electrical Power (HV)</t>
  </si>
  <si>
    <t>Empty Weight Probability Analysis</t>
  </si>
  <si>
    <t>Target EW (lbm)</t>
  </si>
  <si>
    <t>Margin to Target (lbm)</t>
  </si>
  <si>
    <t>Z-score (σ from target)</t>
  </si>
  <si>
    <t>P(EW ≤ Target)</t>
  </si>
  <si>
    <t>P(EW &gt; Target)</t>
  </si>
  <si>
    <t>Top 5 Risk Drivers (highest σ)</t>
  </si>
  <si>
    <t>ATA / Description</t>
  </si>
  <si>
    <t>% of Total Variance</t>
  </si>
  <si>
    <t>system</t>
  </si>
  <si>
    <t>group</t>
  </si>
  <si>
    <t>total_mass_lbm</t>
  </si>
  <si>
    <t>target_mass_lbm</t>
  </si>
  <si>
    <t>delta_lbm</t>
  </si>
  <si>
    <t>x_cg_ft</t>
  </si>
  <si>
    <t>y_cg_ft</t>
  </si>
  <si>
    <t>z_cg_ft</t>
  </si>
  <si>
    <t>mx_lbm_ft</t>
  </si>
  <si>
    <t>my_lbm_ft</t>
  </si>
  <si>
    <t>mz_lbm_ft</t>
  </si>
  <si>
    <t>unc_plus_lbm</t>
  </si>
  <si>
    <t>unc_minus_lbm</t>
  </si>
  <si>
    <t>system_owner</t>
  </si>
  <si>
    <t>Structure</t>
  </si>
  <si>
    <t>Mechanical</t>
  </si>
  <si>
    <t>Powerplant</t>
  </si>
  <si>
    <t>Interior</t>
  </si>
  <si>
    <t xml:space="preserve">  + Operating Items</t>
  </si>
  <si>
    <t xml:space="preserve">  + Payload</t>
  </si>
  <si>
    <t xml:space="preserve">  + Fuel</t>
  </si>
  <si>
    <t xml:space="preserve">  − Trip Fuel Burn</t>
  </si>
  <si>
    <t>x (lbm)</t>
  </si>
  <si>
    <t>PDF Pass</t>
  </si>
  <si>
    <t>PDF Fail</t>
  </si>
  <si>
    <t>Marker</t>
  </si>
  <si>
    <t>x</t>
  </si>
  <si>
    <t>y</t>
  </si>
  <si>
    <t>Target</t>
  </si>
  <si>
    <t>Adjusted Mean</t>
  </si>
  <si>
    <t>0.1.9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</si>
</sst>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#,##0.0;\(#,##0.0\);\-"/>
    <numFmt numFmtId="168" formatCode="0.0%"/>
    <numFmt numFmtId="169" formatCode="#,##0;\(#,##0\)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55555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1F4E78"/>
      <name val="Aptos Narrow"/>
      <family val="2"/>
      <scheme val="minor"/>
    </font>
    <font>
      <b/>
      <sz val="12"/>
      <color rgb="FFFFFFFF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0549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3" fillId="0" borderId="0" xfId="0" applyFont="1"/>
    <xf numFmtId="0" fontId="4" fillId="2" borderId="0" xfId="0" applyFont="1" applyFill="1"/>
    <xf numFmtId="0" fontId="1" fillId="3" borderId="0" xfId="0" applyFont="1" applyFill="1"/>
    <xf numFmtId="0" fontId="0" fillId="3" borderId="0" xfId="0" applyFill="1"/>
    <xf numFmtId="0" fontId="2" fillId="0" borderId="0" xfId="0" applyFont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0" fillId="4" borderId="0" xfId="0" applyFill="1"/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0" fillId="3" borderId="0" xfId="0" applyFont="1" applyFill="1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6" fontId="5" fillId="6" borderId="5" xfId="0" applyNumberFormat="1" applyFont="1" applyFill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5" fillId="6" borderId="8" xfId="0" applyNumberFormat="1" applyFont="1" applyFill="1" applyBorder="1"/>
    <xf numFmtId="166" fontId="8" fillId="0" borderId="8" xfId="0" applyNumberFormat="1" applyFont="1" applyBorder="1"/>
    <xf numFmtId="166" fontId="9" fillId="0" borderId="8" xfId="0" applyNumberFormat="1" applyFont="1" applyBorder="1"/>
    <xf numFmtId="166" fontId="0" fillId="0" borderId="5" xfId="0" applyNumberFormat="1" applyBorder="1"/>
    <xf numFmtId="166" fontId="0" fillId="0" borderId="8" xfId="0" applyNumberFormat="1" applyBorder="1"/>
    <xf numFmtId="168" fontId="0" fillId="0" borderId="0" xfId="0" applyNumberFormat="1"/>
    <xf numFmtId="0" fontId="2" fillId="0" borderId="0" xfId="0" applyFont="1"/>
    <xf numFmtId="0" fontId="3" fillId="0" borderId="0" xfId="0" applyFont="1"/>
    <xf numFmtId="0" fontId="7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7" borderId="0" xfId="0" applyFont="1" applyFill="1"/>
    <xf numFmtId="0" fontId="0" fillId="2" borderId="0" xfId="0" applyFill="1"/>
    <xf numFmtId="0" fontId="1" fillId="0" borderId="0" xfId="0" applyFont="1" applyAlignment="1">
      <alignment horizontal="right"/>
    </xf>
    <xf numFmtId="0" fontId="11" fillId="2" borderId="0" xfId="0" applyFont="1" applyFill="1"/>
    <xf numFmtId="0" fontId="13" fillId="2" borderId="0" xfId="0" applyFont="1" applyFill="1" applyAlignment="1">
      <alignment horizontal="center"/>
    </xf>
    <xf numFmtId="0" fontId="1" fillId="3" borderId="0" xfId="0" quotePrefix="1" applyFont="1" applyFill="1"/>
    <xf numFmtId="168" fontId="0" fillId="3" borderId="0" xfId="0" applyNumberFormat="1" applyFill="1"/>
    <xf numFmtId="3" fontId="1" fillId="0" borderId="0" xfId="0" applyNumberFormat="1" applyFont="1"/>
    <xf numFmtId="3" fontId="5" fillId="0" borderId="0" xfId="0" applyNumberFormat="1" applyFont="1"/>
    <xf numFmtId="3" fontId="1" fillId="3" borderId="0" xfId="0" applyNumberFormat="1" applyFont="1" applyFill="1"/>
    <xf numFmtId="3" fontId="0" fillId="0" borderId="0" xfId="0" applyNumberFormat="1"/>
    <xf numFmtId="3" fontId="5" fillId="3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1" fillId="3" borderId="0" xfId="0" applyNumberFormat="1" applyFont="1" applyFill="1"/>
    <xf numFmtId="2" fontId="0" fillId="0" borderId="0" xfId="0" applyNumberFormat="1"/>
    <xf numFmtId="0" fontId="4" fillId="2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0" xfId="0" applyFont="1" applyFill="1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/>
    <xf numFmtId="3" fontId="4" fillId="2" borderId="0" xfId="0" applyNumberFormat="1" applyFont="1" applyFill="1"/>
    <xf numFmtId="2" fontId="4" fillId="2" borderId="0" xfId="0" applyNumberFormat="1" applyFont="1" applyFill="1"/>
    <xf numFmtId="0" fontId="12" fillId="3" borderId="10" xfId="0" applyFont="1" applyFill="1" applyBorder="1"/>
    <xf numFmtId="3" fontId="12" fillId="3" borderId="10" xfId="0" applyNumberFormat="1" applyFont="1" applyFill="1" applyBorder="1"/>
    <xf numFmtId="2" fontId="12" fillId="3" borderId="10" xfId="0" applyNumberFormat="1" applyFont="1" applyFill="1" applyBorder="1"/>
    <xf numFmtId="169" fontId="12" fillId="3" borderId="10" xfId="0" applyNumberFormat="1" applyFont="1" applyFill="1" applyBorder="1"/>
    <xf numFmtId="0" fontId="4" fillId="2" borderId="11" xfId="0" applyFont="1" applyFill="1" applyBorder="1"/>
    <xf numFmtId="0" fontId="0" fillId="2" borderId="11" xfId="0" applyFill="1" applyBorder="1"/>
    <xf numFmtId="0" fontId="12" fillId="3" borderId="0" xfId="0" applyFont="1" applyFill="1" applyBorder="1"/>
    <xf numFmtId="3" fontId="12" fillId="3" borderId="0" xfId="0" applyNumberFormat="1" applyFont="1" applyFill="1" applyBorder="1"/>
    <xf numFmtId="2" fontId="12" fillId="3" borderId="0" xfId="0" applyNumberFormat="1" applyFont="1" applyFill="1" applyBorder="1"/>
    <xf numFmtId="169" fontId="12" fillId="3" borderId="0" xfId="0" applyNumberFormat="1" applyFont="1" applyFill="1" applyBorder="1"/>
    <xf numFmtId="3" fontId="4" fillId="2" borderId="11" xfId="0" applyNumberFormat="1" applyFont="1" applyFill="1" applyBorder="1"/>
    <xf numFmtId="2" fontId="4" fillId="2" borderId="11" xfId="0" applyNumberFormat="1" applyFont="1" applyFill="1" applyBorder="1"/>
    <xf numFmtId="3" fontId="0" fillId="2" borderId="11" xfId="0" applyNumberFormat="1" applyFill="1" applyBorder="1"/>
    <xf numFmtId="169" fontId="0" fillId="2" borderId="11" xfId="0" applyNumberFormat="1" applyFill="1" applyBorder="1"/>
    <xf numFmtId="0" fontId="13" fillId="2" borderId="12" xfId="0" applyFont="1" applyFill="1" applyBorder="1"/>
    <xf numFmtId="3" fontId="13" fillId="2" borderId="12" xfId="0" applyNumberFormat="1" applyFont="1" applyFill="1" applyBorder="1"/>
    <xf numFmtId="2" fontId="13" fillId="2" borderId="12" xfId="0" applyNumberFormat="1" applyFont="1" applyFill="1" applyBorder="1"/>
    <xf numFmtId="0" fontId="0" fillId="2" borderId="12" xfId="0" applyFill="1" applyBorder="1"/>
    <xf numFmtId="169" fontId="13" fillId="2" borderId="12" xfId="0" applyNumberFormat="1" applyFont="1" applyFill="1" applyBorder="1"/>
    <xf numFmtId="0" fontId="10" fillId="0" borderId="0" xfId="0" applyFont="1"/>
    <xf numFmtId="2" fontId="1" fillId="0" borderId="0" xfId="0" applyNumberFormat="1" applyFont="1"/>
    <xf numFmtId="168" fontId="1" fillId="0" borderId="0" xfId="0" applyNumberFormat="1" applyFont="1"/>
    <xf numFmtId="3" fontId="6" fillId="0" borderId="0" xfId="0" applyNumberFormat="1" applyFont="1"/>
  </cellXfs>
  <cellStyles count="1">
    <cellStyle name="Normal" xfId="0" builtinId="0"/>
  </cellStyles>
  <dxfs count="40">
    <dxf>
      <font>
        <b/>
        <i val="0"/>
        <color rgb="FF006100"/>
      </font>
    </dxf>
    <dxf>
      <font>
        <b/>
        <i val="0"/>
        <color rgb="FFC00000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CCFFCC"/>
      </font>
    </dxf>
    <dxf>
      <font>
        <b/>
        <i val="0"/>
        <color rgb="FFFFCCCC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7F2F00"/>
      </font>
      <fill>
        <patternFill patternType="solid">
          <fgColor indexed="64"/>
          <bgColor rgb="FFFFC000"/>
        </patternFill>
      </fill>
    </dxf>
    <dxf>
      <font>
        <b/>
        <i val="0"/>
        <color rgb="FF9C57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b/>
        <i val="0"/>
        <color rgb="FFFFFFFF"/>
      </font>
      <fill>
        <patternFill patternType="solid">
          <fgColor indexed="64"/>
          <bgColor rgb="FF1F4E79"/>
        </patternFill>
      </fill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color rgb="FF0061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Empty Weight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(within target)</c:v>
          </c:tx>
          <c:spPr>
            <a:ln w="25400" cap="rnd">
              <a:solidFill>
                <a:srgbClr val="0061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Risk!$I$6:$I$86</c:f>
              <c:numCache>
                <c:formatCode>General</c:formatCode>
                <c:ptCount val="81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8274.8483366804339</c:v>
                </c:pt>
                <c:pt idx="23">
                  <c:v>8306.9956513092984</c:v>
                </c:pt>
                <c:pt idx="24">
                  <c:v>8339.1429659381629</c:v>
                </c:pt>
                <c:pt idx="25">
                  <c:v>8371.2902805670274</c:v>
                </c:pt>
                <c:pt idx="26">
                  <c:v>8403.4375951958937</c:v>
                </c:pt>
                <c:pt idx="27">
                  <c:v>8435.5849098247581</c:v>
                </c:pt>
                <c:pt idx="28">
                  <c:v>8467.7322244536226</c:v>
                </c:pt>
                <c:pt idx="29">
                  <c:v>8499.8795390824871</c:v>
                </c:pt>
                <c:pt idx="30">
                  <c:v>8532.0268537113516</c:v>
                </c:pt>
                <c:pt idx="31">
                  <c:v>8564.1741683402161</c:v>
                </c:pt>
                <c:pt idx="32">
                  <c:v>8596.3214829690824</c:v>
                </c:pt>
                <c:pt idx="33">
                  <c:v>8628.4687975979468</c:v>
                </c:pt>
                <c:pt idx="34">
                  <c:v>8660.6161122268113</c:v>
                </c:pt>
                <c:pt idx="35">
                  <c:v>8692.7634268556758</c:v>
                </c:pt>
                <c:pt idx="36">
                  <c:v>8724.9107414845403</c:v>
                </c:pt>
                <c:pt idx="37">
                  <c:v>8757.0580561134047</c:v>
                </c:pt>
                <c:pt idx="38">
                  <c:v>8789.205370742271</c:v>
                </c:pt>
                <c:pt idx="39">
                  <c:v>8821.3526853711355</c:v>
                </c:pt>
                <c:pt idx="40">
                  <c:v>8853.5</c:v>
                </c:pt>
                <c:pt idx="41">
                  <c:v>8885.6473146288645</c:v>
                </c:pt>
                <c:pt idx="42">
                  <c:v>8917.794629257729</c:v>
                </c:pt>
                <c:pt idx="43">
                  <c:v>8949.9419438865953</c:v>
                </c:pt>
                <c:pt idx="44">
                  <c:v>8982.0892585154597</c:v>
                </c:pt>
                <c:pt idx="45">
                  <c:v>9014.2365731443242</c:v>
                </c:pt>
                <c:pt idx="46">
                  <c:v>9046.3838877731887</c:v>
                </c:pt>
                <c:pt idx="47">
                  <c:v>9078.5312024020532</c:v>
                </c:pt>
                <c:pt idx="48">
                  <c:v>9110.6785170309195</c:v>
                </c:pt>
                <c:pt idx="49">
                  <c:v>9142.8258316597839</c:v>
                </c:pt>
                <c:pt idx="50">
                  <c:v>9174.9731462886484</c:v>
                </c:pt>
                <c:pt idx="51">
                  <c:v>9207.1204609175129</c:v>
                </c:pt>
                <c:pt idx="52">
                  <c:v>9239.2677755463774</c:v>
                </c:pt>
                <c:pt idx="53">
                  <c:v>9271.4150901752419</c:v>
                </c:pt>
                <c:pt idx="54">
                  <c:v>9303.5624048041063</c:v>
                </c:pt>
                <c:pt idx="55">
                  <c:v>9335.7097194329726</c:v>
                </c:pt>
                <c:pt idx="56">
                  <c:v>9367.8570340618371</c:v>
                </c:pt>
                <c:pt idx="57">
                  <c:v>9400.0043486907016</c:v>
                </c:pt>
                <c:pt idx="58">
                  <c:v>9432.1516633195661</c:v>
                </c:pt>
                <c:pt idx="59">
                  <c:v>9464.2989779484305</c:v>
                </c:pt>
                <c:pt idx="60">
                  <c:v>9496.4462925772968</c:v>
                </c:pt>
                <c:pt idx="61">
                  <c:v>9528.5936072061613</c:v>
                </c:pt>
                <c:pt idx="62">
                  <c:v>9560.7409218350258</c:v>
                </c:pt>
                <c:pt idx="63">
                  <c:v>9592.8882364638903</c:v>
                </c:pt>
                <c:pt idx="64">
                  <c:v>9625.0355510927548</c:v>
                </c:pt>
                <c:pt idx="65">
                  <c:v>9657.1828657216211</c:v>
                </c:pt>
                <c:pt idx="66">
                  <c:v>9689.3301803504837</c:v>
                </c:pt>
                <c:pt idx="67">
                  <c:v>9721.47749497935</c:v>
                </c:pt>
                <c:pt idx="68">
                  <c:v>9753.6248096082145</c:v>
                </c:pt>
                <c:pt idx="69">
                  <c:v>9785.772124237079</c:v>
                </c:pt>
                <c:pt idx="70">
                  <c:v>9817.9194388659434</c:v>
                </c:pt>
                <c:pt idx="71">
                  <c:v>9850.0667534948079</c:v>
                </c:pt>
                <c:pt idx="72">
                  <c:v>9882.2140681236742</c:v>
                </c:pt>
                <c:pt idx="73">
                  <c:v>9914.3613827525387</c:v>
                </c:pt>
                <c:pt idx="74">
                  <c:v>9946.5086973814032</c:v>
                </c:pt>
                <c:pt idx="75">
                  <c:v>9978.6560120102677</c:v>
                </c:pt>
                <c:pt idx="76">
                  <c:v>10010.803326639132</c:v>
                </c:pt>
                <c:pt idx="77">
                  <c:v>10042.950641267998</c:v>
                </c:pt>
                <c:pt idx="78">
                  <c:v>10075.097955896863</c:v>
                </c:pt>
                <c:pt idx="79">
                  <c:v>10107.245270525727</c:v>
                </c:pt>
                <c:pt idx="80">
                  <c:v>10139.392585154592</c:v>
                </c:pt>
              </c:numCache>
            </c:numRef>
          </c:xVal>
          <c:yVal>
            <c:numRef>
              <c:f>Risk!$J$6:$J$86</c:f>
              <c:numCache>
                <c:formatCode>General</c:formatCode>
                <c:ptCount val="81"/>
                <c:pt idx="0">
                  <c:v>4.1630297059001521E-7</c:v>
                </c:pt>
                <c:pt idx="1">
                  <c:v>6.1795354817723254E-7</c:v>
                </c:pt>
                <c:pt idx="2">
                  <c:v>9.0815338438663733E-7</c:v>
                </c:pt>
                <c:pt idx="3">
                  <c:v>1.3213553774390172E-6</c:v>
                </c:pt>
                <c:pt idx="4">
                  <c:v>1.9034309309441972E-6</c:v>
                </c:pt>
                <c:pt idx="5">
                  <c:v>2.7146363704736196E-6</c:v>
                </c:pt>
                <c:pt idx="6">
                  <c:v>3.8330391906719441E-6</c:v>
                </c:pt>
                <c:pt idx="7">
                  <c:v>5.3583602827807365E-6</c:v>
                </c:pt>
                <c:pt idx="8">
                  <c:v>7.4161348435746732E-6</c:v>
                </c:pt>
                <c:pt idx="9">
                  <c:v>1.0162027820720781E-5</c:v>
                </c:pt>
                <c:pt idx="10">
                  <c:v>1.3786061022834744E-5</c:v>
                </c:pt>
                <c:pt idx="11">
                  <c:v>1.8516421942226805E-5</c:v>
                </c:pt>
                <c:pt idx="12">
                  <c:v>2.462243479544843E-5</c:v>
                </c:pt>
                <c:pt idx="13">
                  <c:v>3.2416190698135901E-5</c:v>
                </c:pt>
                <c:pt idx="14">
                  <c:v>4.225226707268889E-5</c:v>
                </c:pt>
                <c:pt idx="15">
                  <c:v>5.4524929052176196E-5</c:v>
                </c:pt>
                <c:pt idx="16">
                  <c:v>6.9662211458045028E-5</c:v>
                </c:pt>
                <c:pt idx="17">
                  <c:v>8.8116342122605915E-5</c:v>
                </c:pt>
                <c:pt idx="18">
                  <c:v>1.1035009690787315E-4</c:v>
                </c:pt>
                <c:pt idx="19">
                  <c:v>1.3681888048258504E-4</c:v>
                </c:pt>
                <c:pt idx="20">
                  <c:v>1.6794860515257322E-4</c:v>
                </c:pt>
                <c:pt idx="21">
                  <c:v>2.0410978500755002E-4</c:v>
                </c:pt>
                <c:pt idx="22">
                  <c:v>2.4558865713158323E-4</c:v>
                </c:pt>
                <c:pt idx="23">
                  <c:v>2.9255655865090784E-4</c:v>
                </c:pt>
                <c:pt idx="24">
                  <c:v>3.4503919210676545E-4</c:v>
                </c:pt>
                <c:pt idx="25">
                  <c:v>4.0288775955674508E-4</c:v>
                </c:pt>
                <c:pt idx="26">
                  <c:v>4.6575419242422881E-4</c:v>
                </c:pt>
                <c:pt idx="27">
                  <c:v>5.3307280569536957E-4</c:v>
                </c:pt>
                <c:pt idx="28">
                  <c:v>6.0405062514570036E-4</c:v>
                </c:pt>
                <c:pt idx="29">
                  <c:v>6.7766835129968452E-4</c:v>
                </c:pt>
                <c:pt idx="30">
                  <c:v>7.5269342809081662E-4</c:v>
                </c:pt>
                <c:pt idx="31">
                  <c:v>8.2770599339528875E-4</c:v>
                </c:pt>
                <c:pt idx="32">
                  <c:v>9.0113764121800674E-4</c:v>
                </c:pt>
                <c:pt idx="33">
                  <c:v>9.7132198123445006E-4</c:v>
                </c:pt>
                <c:pt idx="34">
                  <c:v>1.0365550178570763E-3</c:v>
                </c:pt>
                <c:pt idx="35">
                  <c:v>1.0951624757116827E-3</c:v>
                </c:pt>
                <c:pt idx="36">
                  <c:v>1.1455704607210234E-3</c:v>
                </c:pt>
                <c:pt idx="37">
                  <c:v>1.1863753469413569E-3</c:v>
                </c:pt>
                <c:pt idx="38">
                  <c:v>1.2164085818363898E-3</c:v>
                </c:pt>
                <c:pt idx="39">
                  <c:v>1.2347922433327979E-3</c:v>
                </c:pt>
                <c:pt idx="40">
                  <c:v>1.24098166520953E-3</c:v>
                </c:pt>
                <c:pt idx="41">
                  <c:v>1.2347922433327979E-3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3A-4203-B64B-32ADDE7160BE}"/>
            </c:ext>
          </c:extLst>
        </c:ser>
        <c:ser>
          <c:idx val="1"/>
          <c:order val="1"/>
          <c:tx>
            <c:v>PDF (over target)</c:v>
          </c:tx>
          <c:spPr>
            <a:ln w="2540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Risk!$I$6:$I$86</c:f>
              <c:numCache>
                <c:formatCode>General</c:formatCode>
                <c:ptCount val="81"/>
                <c:pt idx="0">
                  <c:v>7567.6074148454081</c:v>
                </c:pt>
                <c:pt idx="1">
                  <c:v>7599.7547294742726</c:v>
                </c:pt>
                <c:pt idx="2">
                  <c:v>7631.902044103138</c:v>
                </c:pt>
                <c:pt idx="3">
                  <c:v>7664.0493587320025</c:v>
                </c:pt>
                <c:pt idx="4">
                  <c:v>7696.196673360867</c:v>
                </c:pt>
                <c:pt idx="5">
                  <c:v>7728.3439879897323</c:v>
                </c:pt>
                <c:pt idx="6">
                  <c:v>7760.4913026185968</c:v>
                </c:pt>
                <c:pt idx="7">
                  <c:v>7792.6386172474613</c:v>
                </c:pt>
                <c:pt idx="8">
                  <c:v>7824.7859318763267</c:v>
                </c:pt>
                <c:pt idx="9">
                  <c:v>7856.9332465051912</c:v>
                </c:pt>
                <c:pt idx="10">
                  <c:v>7889.0805611340566</c:v>
                </c:pt>
                <c:pt idx="11">
                  <c:v>7921.227875762921</c:v>
                </c:pt>
                <c:pt idx="12">
                  <c:v>7953.3751903917855</c:v>
                </c:pt>
                <c:pt idx="13">
                  <c:v>7985.5225050206509</c:v>
                </c:pt>
                <c:pt idx="14">
                  <c:v>8017.6698196495154</c:v>
                </c:pt>
                <c:pt idx="15">
                  <c:v>8049.8171342783799</c:v>
                </c:pt>
                <c:pt idx="16">
                  <c:v>8081.9644489072452</c:v>
                </c:pt>
                <c:pt idx="17">
                  <c:v>8114.1117635361097</c:v>
                </c:pt>
                <c:pt idx="18">
                  <c:v>8146.2590781649742</c:v>
                </c:pt>
                <c:pt idx="19">
                  <c:v>8178.4063927938396</c:v>
                </c:pt>
                <c:pt idx="20">
                  <c:v>8210.5537074227032</c:v>
                </c:pt>
                <c:pt idx="21">
                  <c:v>8242.7010220515695</c:v>
                </c:pt>
                <c:pt idx="22">
                  <c:v>8274.8483366804339</c:v>
                </c:pt>
                <c:pt idx="23">
                  <c:v>8306.9956513092984</c:v>
                </c:pt>
                <c:pt idx="24">
                  <c:v>8339.1429659381629</c:v>
                </c:pt>
                <c:pt idx="25">
                  <c:v>8371.2902805670274</c:v>
                </c:pt>
                <c:pt idx="26">
                  <c:v>8403.4375951958937</c:v>
                </c:pt>
                <c:pt idx="27">
                  <c:v>8435.5849098247581</c:v>
                </c:pt>
                <c:pt idx="28">
                  <c:v>8467.7322244536226</c:v>
                </c:pt>
                <c:pt idx="29">
                  <c:v>8499.8795390824871</c:v>
                </c:pt>
                <c:pt idx="30">
                  <c:v>8532.0268537113516</c:v>
                </c:pt>
                <c:pt idx="31">
                  <c:v>8564.1741683402161</c:v>
                </c:pt>
                <c:pt idx="32">
                  <c:v>8596.3214829690824</c:v>
                </c:pt>
                <c:pt idx="33">
                  <c:v>8628.4687975979468</c:v>
                </c:pt>
                <c:pt idx="34">
                  <c:v>8660.6161122268113</c:v>
                </c:pt>
                <c:pt idx="35">
                  <c:v>8692.7634268556758</c:v>
                </c:pt>
                <c:pt idx="36">
                  <c:v>8724.9107414845403</c:v>
                </c:pt>
                <c:pt idx="37">
                  <c:v>8757.0580561134047</c:v>
                </c:pt>
                <c:pt idx="38">
                  <c:v>8789.205370742271</c:v>
                </c:pt>
                <c:pt idx="39">
                  <c:v>8821.3526853711355</c:v>
                </c:pt>
                <c:pt idx="40">
                  <c:v>8853.5</c:v>
                </c:pt>
                <c:pt idx="41">
                  <c:v>8885.6473146288645</c:v>
                </c:pt>
                <c:pt idx="42">
                  <c:v>8917.794629257729</c:v>
                </c:pt>
                <c:pt idx="43">
                  <c:v>8949.9419438865953</c:v>
                </c:pt>
                <c:pt idx="44">
                  <c:v>8982.0892585154597</c:v>
                </c:pt>
                <c:pt idx="45">
                  <c:v>9014.2365731443242</c:v>
                </c:pt>
                <c:pt idx="46">
                  <c:v>9046.3838877731887</c:v>
                </c:pt>
                <c:pt idx="47">
                  <c:v>9078.5312024020532</c:v>
                </c:pt>
                <c:pt idx="48">
                  <c:v>9110.6785170309195</c:v>
                </c:pt>
                <c:pt idx="49">
                  <c:v>9142.8258316597839</c:v>
                </c:pt>
                <c:pt idx="50">
                  <c:v>9174.9731462886484</c:v>
                </c:pt>
                <c:pt idx="51">
                  <c:v>9207.1204609175129</c:v>
                </c:pt>
                <c:pt idx="52">
                  <c:v>9239.2677755463774</c:v>
                </c:pt>
                <c:pt idx="53">
                  <c:v>9271.4150901752419</c:v>
                </c:pt>
                <c:pt idx="54">
                  <c:v>9303.5624048041063</c:v>
                </c:pt>
                <c:pt idx="55">
                  <c:v>9335.7097194329726</c:v>
                </c:pt>
                <c:pt idx="56">
                  <c:v>9367.8570340618371</c:v>
                </c:pt>
                <c:pt idx="57">
                  <c:v>9400.0043486907016</c:v>
                </c:pt>
                <c:pt idx="58">
                  <c:v>9432.1516633195661</c:v>
                </c:pt>
                <c:pt idx="59">
                  <c:v>9464.2989779484305</c:v>
                </c:pt>
                <c:pt idx="60">
                  <c:v>9496.4462925772968</c:v>
                </c:pt>
                <c:pt idx="61">
                  <c:v>9528.5936072061613</c:v>
                </c:pt>
                <c:pt idx="62">
                  <c:v>9560.7409218350258</c:v>
                </c:pt>
                <c:pt idx="63">
                  <c:v>9592.8882364638903</c:v>
                </c:pt>
                <c:pt idx="64">
                  <c:v>9625.0355510927548</c:v>
                </c:pt>
                <c:pt idx="65">
                  <c:v>9657.1828657216211</c:v>
                </c:pt>
                <c:pt idx="66">
                  <c:v>9689.3301803504837</c:v>
                </c:pt>
                <c:pt idx="67">
                  <c:v>9721.47749497935</c:v>
                </c:pt>
                <c:pt idx="68">
                  <c:v>9753.6248096082145</c:v>
                </c:pt>
                <c:pt idx="69">
                  <c:v>9785.772124237079</c:v>
                </c:pt>
                <c:pt idx="70">
                  <c:v>9817.9194388659434</c:v>
                </c:pt>
                <c:pt idx="71">
                  <c:v>9850.0667534948079</c:v>
                </c:pt>
                <c:pt idx="72">
                  <c:v>9882.2140681236742</c:v>
                </c:pt>
                <c:pt idx="73">
                  <c:v>9914.3613827525387</c:v>
                </c:pt>
                <c:pt idx="74">
                  <c:v>9946.5086973814032</c:v>
                </c:pt>
                <c:pt idx="75">
                  <c:v>9978.6560120102677</c:v>
                </c:pt>
                <c:pt idx="76">
                  <c:v>10010.803326639132</c:v>
                </c:pt>
                <c:pt idx="77">
                  <c:v>10042.950641267998</c:v>
                </c:pt>
                <c:pt idx="78">
                  <c:v>10075.097955896863</c:v>
                </c:pt>
                <c:pt idx="79">
                  <c:v>10107.245270525727</c:v>
                </c:pt>
                <c:pt idx="80">
                  <c:v>10139.392585154592</c:v>
                </c:pt>
              </c:numCache>
            </c:numRef>
          </c:xVal>
          <c:yVal>
            <c:numRef>
              <c:f>Risk!$K$6:$K$86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1.2164085818363898E-3</c:v>
                </c:pt>
                <c:pt idx="43">
                  <c:v>1.1863753469413569E-3</c:v>
                </c:pt>
                <c:pt idx="44">
                  <c:v>1.1455704607210234E-3</c:v>
                </c:pt>
                <c:pt idx="45">
                  <c:v>1.0951624757116827E-3</c:v>
                </c:pt>
                <c:pt idx="46">
                  <c:v>1.0365550178570763E-3</c:v>
                </c:pt>
                <c:pt idx="47">
                  <c:v>9.7132198123445006E-4</c:v>
                </c:pt>
                <c:pt idx="48">
                  <c:v>9.0113764121800262E-4</c:v>
                </c:pt>
                <c:pt idx="49">
                  <c:v>8.2770599339528875E-4</c:v>
                </c:pt>
                <c:pt idx="50">
                  <c:v>7.5269342809081662E-4</c:v>
                </c:pt>
                <c:pt idx="51">
                  <c:v>6.7766835129968452E-4</c:v>
                </c:pt>
                <c:pt idx="52">
                  <c:v>6.0405062514570036E-4</c:v>
                </c:pt>
                <c:pt idx="53">
                  <c:v>5.3307280569536957E-4</c:v>
                </c:pt>
                <c:pt idx="54">
                  <c:v>4.6575419242422881E-4</c:v>
                </c:pt>
                <c:pt idx="55">
                  <c:v>4.0288775955674508E-4</c:v>
                </c:pt>
                <c:pt idx="56">
                  <c:v>3.4503919210676545E-4</c:v>
                </c:pt>
                <c:pt idx="57">
                  <c:v>2.9255655865090784E-4</c:v>
                </c:pt>
                <c:pt idx="58">
                  <c:v>2.4558865713158323E-4</c:v>
                </c:pt>
                <c:pt idx="59">
                  <c:v>2.0410978500755002E-4</c:v>
                </c:pt>
                <c:pt idx="60">
                  <c:v>1.6794860515257322E-4</c:v>
                </c:pt>
                <c:pt idx="61">
                  <c:v>1.368188804825842E-4</c:v>
                </c:pt>
                <c:pt idx="62">
                  <c:v>1.1035009690787315E-4</c:v>
                </c:pt>
                <c:pt idx="63">
                  <c:v>8.8116342122605915E-5</c:v>
                </c:pt>
                <c:pt idx="64">
                  <c:v>6.9662211458045028E-5</c:v>
                </c:pt>
                <c:pt idx="65">
                  <c:v>5.452492905217581E-5</c:v>
                </c:pt>
                <c:pt idx="66">
                  <c:v>4.2252267072689174E-5</c:v>
                </c:pt>
                <c:pt idx="67">
                  <c:v>3.241619069813563E-5</c:v>
                </c:pt>
                <c:pt idx="68">
                  <c:v>2.462243479544843E-5</c:v>
                </c:pt>
                <c:pt idx="69">
                  <c:v>1.8516421942226805E-5</c:v>
                </c:pt>
                <c:pt idx="70">
                  <c:v>1.3786061022834744E-5</c:v>
                </c:pt>
                <c:pt idx="71">
                  <c:v>1.0162027820720872E-5</c:v>
                </c:pt>
                <c:pt idx="72">
                  <c:v>7.4161348435745987E-6</c:v>
                </c:pt>
                <c:pt idx="73">
                  <c:v>5.3583602827807365E-6</c:v>
                </c:pt>
                <c:pt idx="74">
                  <c:v>3.8330391906719441E-6</c:v>
                </c:pt>
                <c:pt idx="75">
                  <c:v>2.7146363704736196E-6</c:v>
                </c:pt>
                <c:pt idx="76">
                  <c:v>1.9034309309442141E-6</c:v>
                </c:pt>
                <c:pt idx="77">
                  <c:v>1.3213553774390032E-6</c:v>
                </c:pt>
                <c:pt idx="78">
                  <c:v>9.0815338438662844E-7</c:v>
                </c:pt>
                <c:pt idx="79">
                  <c:v>6.1795354817723254E-7</c:v>
                </c:pt>
                <c:pt idx="80">
                  <c:v>4.1630297059001521E-7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A-4203-B64B-32ADDE7160BE}"/>
            </c:ext>
          </c:extLst>
        </c:ser>
        <c:ser>
          <c:idx val="2"/>
          <c:order val="2"/>
          <c:tx>
            <c:v>Target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#,##0</c:formatCode>
                <c:ptCount val="2"/>
                <c:pt idx="0" formatCode="General">
                  <c:v>8905</c:v>
                </c:pt>
                <c:pt idx="1">
                  <c:v>8905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1.3030307484700066E-3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3A-4203-B64B-32ADDE7160BE}"/>
            </c:ext>
          </c:extLst>
        </c:ser>
        <c:ser>
          <c:idx val="3"/>
          <c:order val="3"/>
          <c:tx>
            <c:v>Adjusted Mean</c:v>
          </c:tx>
          <c:spPr>
            <a:ln w="254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Risk!$N$8:$N$9</c:f>
              <c:numCache>
                <c:formatCode>#,##0</c:formatCode>
                <c:ptCount val="2"/>
                <c:pt idx="0" formatCode="General">
                  <c:v>8853.5</c:v>
                </c:pt>
                <c:pt idx="1">
                  <c:v>8853.5</c:v>
                </c:pt>
              </c:numCache>
            </c:numRef>
          </c:xVal>
          <c:yVal>
            <c:numRef>
              <c:f>Risk!$O$8:$O$9</c:f>
              <c:numCache>
                <c:formatCode>General</c:formatCode>
                <c:ptCount val="2"/>
                <c:pt idx="0">
                  <c:v>0</c:v>
                </c:pt>
                <c:pt idx="1">
                  <c:v>1.3030307484700066E-3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3A-4203-B64B-32ADDE7160BE}"/>
            </c:ext>
          </c:extLst>
        </c:ser>
        <c:ser>
          <c:idx val="4"/>
          <c:order val="4"/>
          <c:tx>
            <c:v>P95 (upper)</c:v>
          </c:tx>
          <c:spPr>
            <a:ln w="127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Risk!$N$10:$N$11</c:f>
              <c:numCache>
                <c:formatCode>General</c:formatCode>
                <c:ptCount val="2"/>
                <c:pt idx="0">
                  <c:v>9483.5873667257492</c:v>
                </c:pt>
                <c:pt idx="1">
                  <c:v>9483.5873667257492</c:v>
                </c:pt>
              </c:numCache>
            </c:numRef>
          </c:xVal>
          <c:yVal>
            <c:numRef>
              <c:f>Risk!$O$10:$O$11</c:f>
              <c:numCache>
                <c:formatCode>General</c:formatCode>
                <c:ptCount val="2"/>
                <c:pt idx="0">
                  <c:v>0</c:v>
                </c:pt>
                <c:pt idx="1">
                  <c:v>1.3030307484700066E-3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A-4203-B64B-32ADDE71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22815"/>
        <c:axId val="49521855"/>
      </c:scatterChart>
      <c:valAx>
        <c:axId val="4952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1855"/>
        <c:crosses val="autoZero"/>
        <c:crossBetween val="midCat"/>
      </c:valAx>
      <c:valAx>
        <c:axId val="495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2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2</xdr:row>
      <xdr:rowOff>74083</xdr:rowOff>
    </xdr:from>
    <xdr:to>
      <xdr:col>5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23</xdr:row>
      <xdr:rowOff>0</xdr:rowOff>
    </xdr:from>
    <xdr:to>
      <xdr:col>15</xdr:col>
      <xdr:colOff>419100</xdr:colOff>
      <xdr:row>37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9B18E1-5885-04AF-F58C-982FEF5A3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9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O64"/>
  <sheetViews>
    <sheetView tabSelected="1" zoomScale="67" workbookViewId="0">
      <pane ySplit="10" topLeftCell="A16" activePane="bottomLeft" state="frozen"/>
      <selection pane="bottomLeft" activeCell="C47" sqref="C47"/>
    </sheetView>
  </sheetViews>
  <sheetFormatPr defaultRowHeight="14.4" outlineLevelCol="1" x14ac:dyDescent="0.3"/>
  <cols>
    <col min="1" max="1" width="24.33203125" bestFit="1" customWidth="1"/>
    <col min="2" max="2" width="33.33203125" customWidth="1"/>
    <col min="3" max="3" width="13.88671875" customWidth="1"/>
    <col min="4" max="4" width="16.6640625" customWidth="1"/>
    <col min="5" max="7" width="12" customWidth="1"/>
    <col min="8" max="10" width="16.6640625" hidden="1" customWidth="1" outlineLevel="1"/>
    <col min="11" max="11" width="37" customWidth="1" collapsed="1"/>
    <col min="12" max="12" width="9.88671875" customWidth="1"/>
    <col min="13" max="13" width="7.77734375" customWidth="1"/>
    <col min="14" max="14" width="53.33203125" bestFit="1" customWidth="1"/>
    <col min="15" max="15" width="16.6640625" bestFit="1" customWidth="1"/>
    <col min="16" max="16" width="19.88671875" bestFit="1" customWidth="1"/>
  </cols>
  <sheetData>
    <row r="1" spans="1:15" ht="23.4" customHeight="1" x14ac:dyDescent="0.3">
      <c r="A1" s="2" t="s">
        <v>36</v>
      </c>
      <c r="B1" s="6" t="s">
        <v>461</v>
      </c>
      <c r="D1" s="37" t="s">
        <v>45</v>
      </c>
      <c r="E1" s="37"/>
      <c r="F1" s="37"/>
      <c r="G1" s="37"/>
      <c r="H1" s="37"/>
      <c r="I1" s="37"/>
      <c r="J1" s="37"/>
      <c r="K1" s="37"/>
      <c r="L1" s="11"/>
      <c r="M1" s="11"/>
    </row>
    <row r="2" spans="1:15" ht="23.4" customHeight="1" x14ac:dyDescent="0.3">
      <c r="A2" s="2" t="s">
        <v>37</v>
      </c>
      <c r="B2" s="6" t="s">
        <v>38</v>
      </c>
      <c r="D2" s="38"/>
      <c r="E2" s="38"/>
      <c r="F2" s="38"/>
      <c r="G2" s="38"/>
      <c r="H2" s="38"/>
      <c r="I2" s="38"/>
      <c r="J2" s="38"/>
      <c r="K2" s="38"/>
      <c r="L2" s="10"/>
      <c r="M2" s="10"/>
    </row>
    <row r="3" spans="1:15" ht="23.4" customHeight="1" x14ac:dyDescent="0.3">
      <c r="A3" s="2" t="s">
        <v>39</v>
      </c>
      <c r="B3" s="7">
        <v>46159</v>
      </c>
      <c r="D3" s="38"/>
      <c r="E3" s="38"/>
      <c r="F3" s="38"/>
      <c r="G3" s="38"/>
      <c r="H3" s="38"/>
      <c r="I3" s="38"/>
      <c r="J3" s="38"/>
      <c r="K3" s="38"/>
      <c r="L3" s="10"/>
      <c r="M3" s="10"/>
    </row>
    <row r="4" spans="1:15" ht="23.4" customHeight="1" x14ac:dyDescent="0.3">
      <c r="A4" s="2" t="s">
        <v>40</v>
      </c>
      <c r="B4" s="8"/>
      <c r="D4" s="38"/>
      <c r="E4" s="38"/>
      <c r="F4" s="38"/>
      <c r="G4" s="38"/>
      <c r="H4" s="38"/>
      <c r="I4" s="38"/>
      <c r="J4" s="38"/>
      <c r="K4" s="38"/>
      <c r="L4" s="10"/>
      <c r="M4" s="10"/>
    </row>
    <row r="5" spans="1:15" ht="23.4" customHeight="1" x14ac:dyDescent="0.3">
      <c r="A5" s="2" t="s">
        <v>41</v>
      </c>
      <c r="B5" s="8" t="s">
        <v>42</v>
      </c>
      <c r="D5" s="38"/>
      <c r="E5" s="38"/>
      <c r="F5" s="38"/>
      <c r="G5" s="38"/>
      <c r="H5" s="38"/>
      <c r="I5" s="38"/>
      <c r="J5" s="38"/>
      <c r="K5" s="38"/>
      <c r="L5" s="10"/>
      <c r="M5" s="10"/>
    </row>
    <row r="6" spans="1:15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5" ht="18" x14ac:dyDescent="0.35">
      <c r="A7" s="35" t="s">
        <v>0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5"/>
      <c r="M7" s="5"/>
      <c r="N7" s="5"/>
    </row>
    <row r="8" spans="1:15" x14ac:dyDescent="0.3">
      <c r="A8" s="36" t="s">
        <v>160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1"/>
      <c r="M8" s="1"/>
      <c r="N8" s="1"/>
    </row>
    <row r="10" spans="1:15" ht="15" thickBot="1" x14ac:dyDescent="0.35">
      <c r="A10" s="39" t="s">
        <v>1</v>
      </c>
      <c r="B10" s="39" t="s">
        <v>91</v>
      </c>
      <c r="C10" s="39" t="s">
        <v>73</v>
      </c>
      <c r="D10" s="39" t="s">
        <v>92</v>
      </c>
      <c r="E10" s="39" t="s">
        <v>93</v>
      </c>
      <c r="F10" s="39" t="s">
        <v>94</v>
      </c>
      <c r="G10" s="39" t="s">
        <v>74</v>
      </c>
      <c r="H10" s="39" t="s">
        <v>75</v>
      </c>
      <c r="I10" s="39" t="s">
        <v>76</v>
      </c>
      <c r="J10" s="39" t="s">
        <v>84</v>
      </c>
      <c r="K10" s="39" t="s">
        <v>85</v>
      </c>
      <c r="L10" s="39" t="s">
        <v>370</v>
      </c>
      <c r="M10" s="39" t="s">
        <v>3</v>
      </c>
      <c r="N10" s="39" t="s">
        <v>77</v>
      </c>
      <c r="O10" s="39" t="s">
        <v>417</v>
      </c>
    </row>
    <row r="11" spans="1:15" ht="15" thickTop="1" x14ac:dyDescent="0.3">
      <c r="A11" s="66" t="s">
        <v>371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7"/>
      <c r="O11" s="67"/>
    </row>
    <row r="12" spans="1:15" x14ac:dyDescent="0.3">
      <c r="A12">
        <v>5200</v>
      </c>
      <c r="B12" t="s">
        <v>100</v>
      </c>
      <c r="C12" s="49">
        <f>IFERROR('ATA5200'!D4,0)</f>
        <v>103</v>
      </c>
      <c r="D12" s="54">
        <f>IFERROR('ATA5200'!E4,0)</f>
        <v>8</v>
      </c>
      <c r="E12" s="54">
        <f>IFERROR('ATA5200'!F4,0)</f>
        <v>-2.5</v>
      </c>
      <c r="F12" s="54">
        <f>IFERROR('ATA5200'!G4,0)</f>
        <v>3</v>
      </c>
      <c r="G12" s="49">
        <f>C12*D12</f>
        <v>824</v>
      </c>
      <c r="H12" s="49">
        <f>C12*E12</f>
        <v>-257.5</v>
      </c>
      <c r="I12" s="49">
        <f>C12*F12</f>
        <v>309</v>
      </c>
      <c r="J12" s="49">
        <f>IFERROR('ATA5200'!H4,0)</f>
        <v>51.5</v>
      </c>
      <c r="K12" s="49">
        <f>IFERROR('ATA5200'!I4,0)</f>
        <v>51.5</v>
      </c>
      <c r="N12" s="47">
        <v>100</v>
      </c>
      <c r="O12" s="52">
        <f>N12-C12</f>
        <v>-3</v>
      </c>
    </row>
    <row r="13" spans="1:15" x14ac:dyDescent="0.3">
      <c r="A13">
        <v>5300</v>
      </c>
      <c r="B13" t="s">
        <v>23</v>
      </c>
      <c r="C13" s="49">
        <f>IFERROR('ATA5300'!D4,0)</f>
        <v>1785</v>
      </c>
      <c r="D13" s="54">
        <f>IFERROR('ATA5300'!E4,0)</f>
        <v>16.595518207282915</v>
      </c>
      <c r="E13" s="54">
        <f>IFERROR('ATA5300'!F4,0)</f>
        <v>0</v>
      </c>
      <c r="F13" s="54">
        <f>IFERROR('ATA5300'!G4,0)</f>
        <v>2.7512605042016807</v>
      </c>
      <c r="G13" s="49">
        <f>C13*D13</f>
        <v>29623.000000000004</v>
      </c>
      <c r="H13" s="49">
        <f>C13*E13</f>
        <v>0</v>
      </c>
      <c r="I13" s="49">
        <f>C13*F13</f>
        <v>4911</v>
      </c>
      <c r="J13" s="49">
        <f>IFERROR('ATA5300'!H4,0)</f>
        <v>892.5</v>
      </c>
      <c r="K13" s="49">
        <f>IFERROR('ATA5300'!I4,0)</f>
        <v>892.5</v>
      </c>
      <c r="N13" s="47">
        <v>1800</v>
      </c>
      <c r="O13" s="52">
        <f>N13-C13</f>
        <v>15</v>
      </c>
    </row>
    <row r="14" spans="1:15" x14ac:dyDescent="0.3">
      <c r="A14">
        <v>5500</v>
      </c>
      <c r="B14" t="s">
        <v>101</v>
      </c>
      <c r="C14" s="49">
        <f>IFERROR('ATA5500'!D4,0)</f>
        <v>330</v>
      </c>
      <c r="D14" s="54">
        <f>IFERROR('ATA5500'!E4,0)</f>
        <v>32.103030303030302</v>
      </c>
      <c r="E14" s="54">
        <f>IFERROR('ATA5500'!F4,0)</f>
        <v>0.72727272727272729</v>
      </c>
      <c r="F14" s="54">
        <f>IFERROR('ATA5500'!G4,0)</f>
        <v>5.9030303030303033</v>
      </c>
      <c r="G14" s="49">
        <f>C14*D14</f>
        <v>10594</v>
      </c>
      <c r="H14" s="49">
        <f>C14*E14</f>
        <v>240</v>
      </c>
      <c r="I14" s="49">
        <f>C14*F14</f>
        <v>1948</v>
      </c>
      <c r="J14" s="49">
        <f>IFERROR('ATA5500'!H4,0)</f>
        <v>165</v>
      </c>
      <c r="K14" s="49">
        <f>IFERROR('ATA5500'!I4,0)</f>
        <v>165</v>
      </c>
      <c r="M14" t="s">
        <v>102</v>
      </c>
      <c r="N14" s="47">
        <v>330</v>
      </c>
      <c r="O14" s="52">
        <f>N14-C14</f>
        <v>0</v>
      </c>
    </row>
    <row r="15" spans="1:15" x14ac:dyDescent="0.3">
      <c r="A15">
        <v>5600</v>
      </c>
      <c r="B15" t="s">
        <v>26</v>
      </c>
      <c r="C15" s="49">
        <f>IFERROR('ATA5600'!D4,0)</f>
        <v>124</v>
      </c>
      <c r="D15" s="54">
        <f>IFERROR('ATA5600'!E4,0)</f>
        <v>9.1612903225806459</v>
      </c>
      <c r="E15" s="54">
        <f>IFERROR('ATA5600'!F4,0)</f>
        <v>2.2129032258064516</v>
      </c>
      <c r="F15" s="54">
        <f>IFERROR('ATA5600'!G4,0)</f>
        <v>4.725806451612903</v>
      </c>
      <c r="G15" s="49">
        <f>C15*D15</f>
        <v>1136</v>
      </c>
      <c r="H15" s="49">
        <f>C15*E15</f>
        <v>274.39999999999998</v>
      </c>
      <c r="I15" s="49">
        <f>C15*F15</f>
        <v>586</v>
      </c>
      <c r="J15" s="49">
        <f>IFERROR('ATA5600'!H4,0)</f>
        <v>30.800000000000004</v>
      </c>
      <c r="K15" s="49">
        <f>IFERROR('ATA5600'!I4,0)</f>
        <v>30.800000000000004</v>
      </c>
      <c r="N15" s="47">
        <v>125</v>
      </c>
      <c r="O15" s="52">
        <f>N15-C15</f>
        <v>1</v>
      </c>
    </row>
    <row r="16" spans="1:15" x14ac:dyDescent="0.3">
      <c r="A16">
        <v>5700</v>
      </c>
      <c r="B16" t="s">
        <v>27</v>
      </c>
      <c r="C16" s="49">
        <f>IFERROR('ATA5700'!D4,0)</f>
        <v>1158</v>
      </c>
      <c r="D16" s="54">
        <f>IFERROR('ATA5700'!E4,0)</f>
        <v>17.26511226252159</v>
      </c>
      <c r="E16" s="54">
        <f>IFERROR('ATA5700'!F4,0)</f>
        <v>1.4093264248704662</v>
      </c>
      <c r="F16" s="54">
        <f>IFERROR('ATA5700'!G4,0)</f>
        <v>2</v>
      </c>
      <c r="G16" s="49">
        <f>C16*D16</f>
        <v>19993</v>
      </c>
      <c r="H16" s="49">
        <f>C16*E16</f>
        <v>1631.9999999999998</v>
      </c>
      <c r="I16" s="49">
        <f>C16*F16</f>
        <v>2316</v>
      </c>
      <c r="J16" s="49">
        <f>IFERROR('ATA5700'!H4,0)</f>
        <v>579</v>
      </c>
      <c r="K16" s="49">
        <f>IFERROR('ATA5700'!I4,0)</f>
        <v>579</v>
      </c>
      <c r="N16" s="47">
        <v>1160</v>
      </c>
      <c r="O16" s="52">
        <f>N16-C16</f>
        <v>2</v>
      </c>
    </row>
    <row r="17" spans="1:15" x14ac:dyDescent="0.3">
      <c r="A17">
        <v>3200</v>
      </c>
      <c r="B17" t="s">
        <v>15</v>
      </c>
      <c r="C17" s="49">
        <f>IFERROR('ATA3200'!D4,0)</f>
        <v>970</v>
      </c>
      <c r="D17" s="54">
        <f>IFERROR('ATA3200'!E4,0)</f>
        <v>16.020618556701031</v>
      </c>
      <c r="E17" s="54">
        <f>IFERROR('ATA3200'!F4,0)</f>
        <v>4.0206185567010309</v>
      </c>
      <c r="F17" s="54">
        <f>IFERROR('ATA3200'!G4,0)</f>
        <v>0.52319587628865982</v>
      </c>
      <c r="G17" s="49">
        <f>C17*D17</f>
        <v>15540</v>
      </c>
      <c r="H17" s="49">
        <f>C17*E17</f>
        <v>3900</v>
      </c>
      <c r="I17" s="49">
        <f>C17*F17</f>
        <v>507.5</v>
      </c>
      <c r="J17" s="49">
        <f>IFERROR('ATA3200'!H4,0)</f>
        <v>485</v>
      </c>
      <c r="K17" s="49">
        <f>IFERROR('ATA3200'!I4,0)</f>
        <v>485</v>
      </c>
      <c r="N17" s="47">
        <v>970</v>
      </c>
      <c r="O17" s="52">
        <f>N17-C17</f>
        <v>0</v>
      </c>
    </row>
    <row r="18" spans="1:15" ht="15" thickBot="1" x14ac:dyDescent="0.35">
      <c r="A18" s="68"/>
      <c r="B18" s="68" t="s">
        <v>372</v>
      </c>
      <c r="C18" s="69">
        <f>SUM(C12:C17)</f>
        <v>4470</v>
      </c>
      <c r="D18" s="70">
        <f>IFERROR(SUM(G12:G17)/C18,0)</f>
        <v>17.384787472035793</v>
      </c>
      <c r="E18" s="70">
        <f>IFERROR(SUM(H12:H17)/C18,0)</f>
        <v>1.295055928411633</v>
      </c>
      <c r="F18" s="70">
        <f>IFERROR(SUM(I12:I17)/C18,0)</f>
        <v>2.366331096196868</v>
      </c>
      <c r="G18" s="69">
        <f>SUM(G12:G17)</f>
        <v>77710</v>
      </c>
      <c r="H18" s="69">
        <f>SUM(H12:H17)</f>
        <v>5788.9</v>
      </c>
      <c r="I18" s="69">
        <f>SUM(I12:I17)</f>
        <v>10577.5</v>
      </c>
      <c r="J18" s="69">
        <f>SUM(J12:J17)</f>
        <v>2203.8000000000002</v>
      </c>
      <c r="K18" s="69">
        <f>SUM(K12:K17)</f>
        <v>2203.8000000000002</v>
      </c>
      <c r="L18" s="68"/>
      <c r="M18" s="68"/>
      <c r="N18" s="69">
        <f>SUM(N12:N17)</f>
        <v>4485</v>
      </c>
      <c r="O18" s="71">
        <f>N18-C18</f>
        <v>15</v>
      </c>
    </row>
    <row r="19" spans="1:15" ht="15" thickTop="1" x14ac:dyDescent="0.3">
      <c r="A19" s="66" t="s">
        <v>373</v>
      </c>
      <c r="B19" s="66"/>
      <c r="C19" s="72"/>
      <c r="D19" s="73"/>
      <c r="E19" s="73"/>
      <c r="F19" s="73"/>
      <c r="G19" s="72"/>
      <c r="H19" s="72"/>
      <c r="I19" s="72"/>
      <c r="J19" s="72"/>
      <c r="K19" s="72"/>
      <c r="L19" s="66"/>
      <c r="M19" s="66"/>
      <c r="N19" s="74"/>
      <c r="O19" s="75"/>
    </row>
    <row r="20" spans="1:15" x14ac:dyDescent="0.3">
      <c r="A20">
        <v>2100</v>
      </c>
      <c r="B20" t="s">
        <v>4</v>
      </c>
      <c r="C20" s="49">
        <f>IFERROR('ATA2100'!D4,0)</f>
        <v>78</v>
      </c>
      <c r="D20" s="54">
        <f>IFERROR('ATA2100'!E4,0)</f>
        <v>17.743589743589745</v>
      </c>
      <c r="E20" s="54">
        <f>IFERROR('ATA2100'!F4,0)</f>
        <v>0.42307692307692307</v>
      </c>
      <c r="F20" s="54">
        <f>IFERROR('ATA2100'!G4,0)</f>
        <v>2.5576923076923075</v>
      </c>
      <c r="G20" s="49">
        <f>C20*D20</f>
        <v>1384</v>
      </c>
      <c r="H20" s="49">
        <f>C20*E20</f>
        <v>33</v>
      </c>
      <c r="I20" s="49">
        <f>C20*F20</f>
        <v>199.49999999999997</v>
      </c>
      <c r="J20" s="49">
        <f>IFERROR('ATA2100'!H4,0)</f>
        <v>39</v>
      </c>
      <c r="K20" s="49">
        <f>IFERROR('ATA2100'!I4,0)</f>
        <v>39</v>
      </c>
      <c r="N20" s="47">
        <v>80</v>
      </c>
      <c r="O20" s="52">
        <f>N20-C20</f>
        <v>2</v>
      </c>
    </row>
    <row r="21" spans="1:15" x14ac:dyDescent="0.3">
      <c r="A21">
        <v>2700</v>
      </c>
      <c r="B21" t="s">
        <v>10</v>
      </c>
      <c r="C21" s="49">
        <f>IFERROR('ATA2700'!D4,0)</f>
        <v>220</v>
      </c>
      <c r="D21" s="54">
        <f>IFERROR('ATA2700'!E4,0)</f>
        <v>19.645454545454545</v>
      </c>
      <c r="E21" s="54">
        <f>IFERROR('ATA2700'!F4,0)</f>
        <v>3.7454545454545456</v>
      </c>
      <c r="F21" s="54">
        <f>IFERROR('ATA2700'!G4,0)</f>
        <v>3.9295454545454547</v>
      </c>
      <c r="G21" s="49">
        <f>C21*D21</f>
        <v>4322</v>
      </c>
      <c r="H21" s="49">
        <f>C21*E21</f>
        <v>824</v>
      </c>
      <c r="I21" s="49">
        <f>C21*F21</f>
        <v>864.5</v>
      </c>
      <c r="J21" s="49">
        <f>IFERROR('ATA2700'!H4,0)</f>
        <v>102.8</v>
      </c>
      <c r="K21" s="49">
        <f>IFERROR('ATA2700'!I4,0)</f>
        <v>102.8</v>
      </c>
      <c r="N21" s="47">
        <v>220</v>
      </c>
      <c r="O21" s="52">
        <f>N21-C21</f>
        <v>0</v>
      </c>
    </row>
    <row r="22" spans="1:15" x14ac:dyDescent="0.3">
      <c r="A22">
        <v>2800</v>
      </c>
      <c r="B22" t="s">
        <v>374</v>
      </c>
      <c r="C22" s="49">
        <f>IFERROR('ATA2800'!D4,0)</f>
        <v>220</v>
      </c>
      <c r="D22" s="54">
        <f>IFERROR('ATA2800'!E4,0)</f>
        <v>18.045454545454547</v>
      </c>
      <c r="E22" s="54">
        <f>IFERROR('ATA2800'!F4,0)</f>
        <v>0</v>
      </c>
      <c r="F22" s="54">
        <f>IFERROR('ATA2800'!G4,0)</f>
        <v>2.0327272727272727</v>
      </c>
      <c r="G22" s="49">
        <f>C22*D22</f>
        <v>3970.0000000000005</v>
      </c>
      <c r="H22" s="49">
        <f>C22*E22</f>
        <v>0</v>
      </c>
      <c r="I22" s="49">
        <f>C22*F22</f>
        <v>447.2</v>
      </c>
      <c r="J22" s="49">
        <f>IFERROR('ATA2800'!H4,0)</f>
        <v>110</v>
      </c>
      <c r="K22" s="49">
        <f>IFERROR('ATA2800'!I4,0)</f>
        <v>110</v>
      </c>
      <c r="M22" t="s">
        <v>375</v>
      </c>
      <c r="N22" s="47">
        <v>220</v>
      </c>
      <c r="O22" s="52">
        <f>N22-C22</f>
        <v>0</v>
      </c>
    </row>
    <row r="23" spans="1:15" x14ac:dyDescent="0.3">
      <c r="A23">
        <v>2900</v>
      </c>
      <c r="B23" t="s">
        <v>12</v>
      </c>
      <c r="C23" s="49">
        <f>IFERROR('ATA2900'!D4,0)</f>
        <v>90</v>
      </c>
      <c r="D23" s="54">
        <f>IFERROR('ATA2900'!E4,0)</f>
        <v>20.133333333333333</v>
      </c>
      <c r="E23" s="54">
        <f>IFERROR('ATA2900'!F4,0)</f>
        <v>1.4222222222222223</v>
      </c>
      <c r="F23" s="54">
        <f>IFERROR('ATA2900'!G4,0)</f>
        <v>2.8444444444444446</v>
      </c>
      <c r="G23" s="49">
        <f>C23*D23</f>
        <v>1812</v>
      </c>
      <c r="H23" s="49">
        <f>C23*E23</f>
        <v>128</v>
      </c>
      <c r="I23" s="49">
        <f>C23*F23</f>
        <v>256</v>
      </c>
      <c r="J23" s="49">
        <f>IFERROR('ATA2900'!H4,0)</f>
        <v>45</v>
      </c>
      <c r="K23" s="49">
        <f>IFERROR('ATA2900'!I4,0)</f>
        <v>45</v>
      </c>
      <c r="N23" s="47">
        <v>90</v>
      </c>
      <c r="O23" s="52">
        <f>N23-C23</f>
        <v>0</v>
      </c>
    </row>
    <row r="24" spans="1:15" x14ac:dyDescent="0.3">
      <c r="A24">
        <v>3000</v>
      </c>
      <c r="B24" t="s">
        <v>13</v>
      </c>
      <c r="C24" s="49">
        <f>IFERROR('ATA3000'!D4,0)</f>
        <v>67</v>
      </c>
      <c r="D24" s="54">
        <f>IFERROR('ATA3000'!E4,0)</f>
        <v>14.388059701492537</v>
      </c>
      <c r="E24" s="54">
        <f>IFERROR('ATA3000'!F4,0)</f>
        <v>0.94029850746268662</v>
      </c>
      <c r="F24" s="54">
        <f>IFERROR('ATA3000'!G4,0)</f>
        <v>3.8955223880597014</v>
      </c>
      <c r="G24" s="49">
        <f>C24*D24</f>
        <v>964</v>
      </c>
      <c r="H24" s="49">
        <f>C24*E24</f>
        <v>63</v>
      </c>
      <c r="I24" s="49">
        <f>C24*F24</f>
        <v>261</v>
      </c>
      <c r="J24" s="49">
        <f>IFERROR('ATA3000'!H4,0)</f>
        <v>33.5</v>
      </c>
      <c r="K24" s="49">
        <f>IFERROR('ATA3000'!I4,0)</f>
        <v>33.5</v>
      </c>
      <c r="N24" s="47">
        <v>70</v>
      </c>
      <c r="O24" s="52">
        <f>N24-C24</f>
        <v>3</v>
      </c>
    </row>
    <row r="25" spans="1:15" x14ac:dyDescent="0.3">
      <c r="A25">
        <v>3500</v>
      </c>
      <c r="B25" t="s">
        <v>18</v>
      </c>
      <c r="C25" s="49">
        <f>IFERROR('ATA3500'!D4,0)</f>
        <v>48</v>
      </c>
      <c r="D25" s="54">
        <f>IFERROR('ATA3500'!E4,0)</f>
        <v>9.5416666666666661</v>
      </c>
      <c r="E25" s="54">
        <f>IFERROR('ATA3500'!F4,0)</f>
        <v>0</v>
      </c>
      <c r="F25" s="54">
        <f>IFERROR('ATA3500'!G4,0)</f>
        <v>3</v>
      </c>
      <c r="G25" s="49">
        <f>C25*D25</f>
        <v>458</v>
      </c>
      <c r="H25" s="49">
        <f>C25*E25</f>
        <v>0</v>
      </c>
      <c r="I25" s="49">
        <f>C25*F25</f>
        <v>144</v>
      </c>
      <c r="J25" s="49">
        <f>IFERROR('ATA3500'!H4,0)</f>
        <v>17.399999999999999</v>
      </c>
      <c r="K25" s="49">
        <f>IFERROR('ATA3500'!I4,0)</f>
        <v>17.399999999999999</v>
      </c>
      <c r="N25" s="47">
        <v>50</v>
      </c>
      <c r="O25" s="52">
        <f>N25-C25</f>
        <v>2</v>
      </c>
    </row>
    <row r="26" spans="1:15" x14ac:dyDescent="0.3">
      <c r="A26">
        <v>3600</v>
      </c>
      <c r="B26" t="s">
        <v>19</v>
      </c>
      <c r="C26" s="49">
        <f>IFERROR('ATA3600'!D4,0)</f>
        <v>58</v>
      </c>
      <c r="D26" s="54">
        <f>IFERROR('ATA3600'!E4,0)</f>
        <v>25</v>
      </c>
      <c r="E26" s="54">
        <f>IFERROR('ATA3600'!F4,0)</f>
        <v>0</v>
      </c>
      <c r="F26" s="54">
        <f>IFERROR('ATA3600'!G4,0)</f>
        <v>2.5</v>
      </c>
      <c r="G26" s="49">
        <f>C26*D26</f>
        <v>1450</v>
      </c>
      <c r="H26" s="49">
        <f>C26*E26</f>
        <v>0</v>
      </c>
      <c r="I26" s="49">
        <f>C26*F26</f>
        <v>145</v>
      </c>
      <c r="J26" s="49">
        <f>IFERROR('ATA3600'!H4,0)</f>
        <v>29</v>
      </c>
      <c r="K26" s="49">
        <f>IFERROR('ATA3600'!I4,0)</f>
        <v>29</v>
      </c>
      <c r="N26" s="47">
        <v>60</v>
      </c>
      <c r="O26" s="52">
        <f>N26-C26</f>
        <v>2</v>
      </c>
    </row>
    <row r="27" spans="1:15" x14ac:dyDescent="0.3">
      <c r="A27">
        <v>3800</v>
      </c>
      <c r="B27" t="s">
        <v>145</v>
      </c>
      <c r="C27" s="49">
        <f>IFERROR('ATA3800'!D4,0)</f>
        <v>46</v>
      </c>
      <c r="D27" s="54">
        <f>IFERROR('ATA3800'!E4,0)</f>
        <v>22.086956521739129</v>
      </c>
      <c r="E27" s="54">
        <f>IFERROR('ATA3800'!F4,0)</f>
        <v>0</v>
      </c>
      <c r="F27" s="54">
        <f>IFERROR('ATA3800'!G4,0)</f>
        <v>1.9565217391304348</v>
      </c>
      <c r="G27" s="49">
        <f>C27*D27</f>
        <v>1015.9999999999999</v>
      </c>
      <c r="H27" s="49">
        <f>C27*E27</f>
        <v>0</v>
      </c>
      <c r="I27" s="49">
        <f>C27*F27</f>
        <v>90</v>
      </c>
      <c r="J27" s="49">
        <f>IFERROR('ATA3800'!H4,0)</f>
        <v>23</v>
      </c>
      <c r="K27" s="49">
        <f>IFERROR('ATA3800'!I4,0)</f>
        <v>23</v>
      </c>
      <c r="N27" s="47">
        <v>45</v>
      </c>
      <c r="O27" s="52">
        <f>N27-C27</f>
        <v>-1</v>
      </c>
    </row>
    <row r="28" spans="1:15" ht="15" thickBot="1" x14ac:dyDescent="0.35">
      <c r="A28" s="68"/>
      <c r="B28" s="68" t="s">
        <v>376</v>
      </c>
      <c r="C28" s="69">
        <f>SUM(C20:C27)</f>
        <v>827</v>
      </c>
      <c r="D28" s="70">
        <f>IFERROR(SUM(G20:G27)/C28,0)</f>
        <v>18.592503022974608</v>
      </c>
      <c r="E28" s="70">
        <f>IFERROR(SUM(H20:H27)/C28,0)</f>
        <v>1.2672309552599759</v>
      </c>
      <c r="F28" s="70">
        <f>IFERROR(SUM(I20:I27)/C28,0)</f>
        <v>2.9107617896009672</v>
      </c>
      <c r="G28" s="69">
        <f>SUM(G20:G27)</f>
        <v>15376</v>
      </c>
      <c r="H28" s="69">
        <f>SUM(H20:H27)</f>
        <v>1048</v>
      </c>
      <c r="I28" s="69">
        <f>SUM(I20:I27)</f>
        <v>2407.1999999999998</v>
      </c>
      <c r="J28" s="69">
        <f>SUM(J20:J27)</f>
        <v>399.7</v>
      </c>
      <c r="K28" s="69">
        <f>SUM(K20:K27)</f>
        <v>399.7</v>
      </c>
      <c r="L28" s="68"/>
      <c r="M28" s="68"/>
      <c r="N28" s="69">
        <f>SUM(N20:N27)</f>
        <v>835</v>
      </c>
      <c r="O28" s="71">
        <f>N28-C28</f>
        <v>8</v>
      </c>
    </row>
    <row r="29" spans="1:15" ht="15" thickTop="1" x14ac:dyDescent="0.3">
      <c r="A29" s="66" t="s">
        <v>377</v>
      </c>
      <c r="B29" s="66"/>
      <c r="C29" s="72"/>
      <c r="D29" s="73"/>
      <c r="E29" s="73"/>
      <c r="F29" s="73"/>
      <c r="G29" s="72"/>
      <c r="H29" s="72"/>
      <c r="I29" s="72"/>
      <c r="J29" s="72"/>
      <c r="K29" s="72"/>
      <c r="L29" s="66"/>
      <c r="M29" s="66"/>
      <c r="N29" s="74"/>
      <c r="O29" s="75"/>
    </row>
    <row r="30" spans="1:15" x14ac:dyDescent="0.3">
      <c r="A30" t="s">
        <v>161</v>
      </c>
      <c r="B30" t="s">
        <v>96</v>
      </c>
      <c r="C30" s="49">
        <f>IFERROR(ATA2400LV!D4,0)</f>
        <v>386</v>
      </c>
      <c r="D30" s="54">
        <f>IFERROR(ATA2400LV!E4,0)</f>
        <v>12.160621761658032</v>
      </c>
      <c r="E30" s="54">
        <f>IFERROR(ATA2400LV!F4,0)</f>
        <v>0</v>
      </c>
      <c r="F30" s="54">
        <f>IFERROR(ATA2400LV!G4,0)</f>
        <v>2.5984455958549222</v>
      </c>
      <c r="G30" s="49">
        <f>C30*D30</f>
        <v>4694</v>
      </c>
      <c r="H30" s="49">
        <f>C30*E30</f>
        <v>0</v>
      </c>
      <c r="I30" s="49">
        <f>C30*F30</f>
        <v>1003</v>
      </c>
      <c r="J30" s="49">
        <f>IFERROR(ATA2400LV!H4,0)</f>
        <v>157</v>
      </c>
      <c r="K30" s="49">
        <f>IFERROR(ATA2400LV!I4,0)</f>
        <v>157</v>
      </c>
      <c r="N30" s="47">
        <v>400</v>
      </c>
      <c r="O30" s="52">
        <f>N30-C30</f>
        <v>14</v>
      </c>
    </row>
    <row r="31" spans="1:15" x14ac:dyDescent="0.3">
      <c r="A31" t="s">
        <v>162</v>
      </c>
      <c r="B31" t="s">
        <v>97</v>
      </c>
      <c r="C31" s="49">
        <f>IFERROR(ATA2400HV!D4,0)</f>
        <v>580</v>
      </c>
      <c r="D31" s="54">
        <f>IFERROR(ATA2400HV!E4,0)</f>
        <v>18.448275862068964</v>
      </c>
      <c r="E31" s="54">
        <f>IFERROR(ATA2400HV!F4,0)</f>
        <v>1.1724137931034482</v>
      </c>
      <c r="F31" s="54">
        <f>IFERROR(ATA2400HV!G4,0)</f>
        <v>2.0301724137931036</v>
      </c>
      <c r="G31" s="49">
        <f>C31*D31</f>
        <v>10700</v>
      </c>
      <c r="H31" s="49">
        <f>C31*E31</f>
        <v>679.99999999999989</v>
      </c>
      <c r="I31" s="49">
        <f>C31*F31</f>
        <v>1177.5000000000002</v>
      </c>
      <c r="J31" s="49">
        <f>IFERROR(ATA2400HV!H4,0)</f>
        <v>290</v>
      </c>
      <c r="K31" s="49">
        <f>IFERROR(ATA2400HV!I4,0)</f>
        <v>290</v>
      </c>
      <c r="M31" t="s">
        <v>98</v>
      </c>
      <c r="N31" s="47">
        <v>600</v>
      </c>
      <c r="O31" s="52">
        <f>N31-C31</f>
        <v>20</v>
      </c>
    </row>
    <row r="32" spans="1:15" x14ac:dyDescent="0.3">
      <c r="A32">
        <v>3300</v>
      </c>
      <c r="B32" t="s">
        <v>16</v>
      </c>
      <c r="C32" s="49">
        <f>IFERROR('ATA3300'!D4,0)</f>
        <v>28.5</v>
      </c>
      <c r="D32" s="54">
        <f>IFERROR('ATA3300'!E4,0)</f>
        <v>12.473684210526315</v>
      </c>
      <c r="E32" s="54">
        <f>IFERROR('ATA3300'!F4,0)</f>
        <v>0.73684210526315785</v>
      </c>
      <c r="F32" s="54">
        <f>IFERROR('ATA3300'!G4,0)</f>
        <v>4.2719298245614032</v>
      </c>
      <c r="G32" s="49">
        <f>C32*D32</f>
        <v>355.5</v>
      </c>
      <c r="H32" s="49">
        <f>C32*E32</f>
        <v>21</v>
      </c>
      <c r="I32" s="49">
        <f>C32*F32</f>
        <v>121.74999999999999</v>
      </c>
      <c r="J32" s="49">
        <f>IFERROR('ATA3300'!H4,0)</f>
        <v>10.874999999999998</v>
      </c>
      <c r="K32" s="49">
        <f>IFERROR('ATA3300'!I4,0)</f>
        <v>10.874999999999998</v>
      </c>
      <c r="N32" s="47">
        <v>30</v>
      </c>
      <c r="O32" s="52">
        <f>N32-C32</f>
        <v>1.5</v>
      </c>
    </row>
    <row r="33" spans="1:15" ht="15" thickBot="1" x14ac:dyDescent="0.35">
      <c r="A33" s="68"/>
      <c r="B33" s="68" t="s">
        <v>378</v>
      </c>
      <c r="C33" s="69">
        <f>SUM(C30:C32)</f>
        <v>994.5</v>
      </c>
      <c r="D33" s="70">
        <f>IFERROR(SUM(G30:G32)/C33,0)</f>
        <v>15.836601307189543</v>
      </c>
      <c r="E33" s="70">
        <f>IFERROR(SUM(H30:H32)/C33,0)</f>
        <v>0.70487682252388129</v>
      </c>
      <c r="F33" s="70">
        <f>IFERROR(SUM(I30:I32)/C33,0)</f>
        <v>2.3149824032176975</v>
      </c>
      <c r="G33" s="69">
        <f>SUM(G30:G32)</f>
        <v>15749.5</v>
      </c>
      <c r="H33" s="69">
        <f>SUM(H30:H32)</f>
        <v>700.99999999999989</v>
      </c>
      <c r="I33" s="69">
        <f>SUM(I30:I32)</f>
        <v>2302.25</v>
      </c>
      <c r="J33" s="69">
        <f>SUM(J30:J32)</f>
        <v>457.875</v>
      </c>
      <c r="K33" s="69">
        <f>SUM(K30:K32)</f>
        <v>457.875</v>
      </c>
      <c r="L33" s="68"/>
      <c r="M33" s="68"/>
      <c r="N33" s="69">
        <f>SUM(N30:N32)</f>
        <v>1030</v>
      </c>
      <c r="O33" s="71">
        <f>N33-C33</f>
        <v>35.5</v>
      </c>
    </row>
    <row r="34" spans="1:15" ht="15" thickTop="1" x14ac:dyDescent="0.3">
      <c r="A34" s="66" t="s">
        <v>379</v>
      </c>
      <c r="B34" s="66"/>
      <c r="C34" s="72"/>
      <c r="D34" s="73"/>
      <c r="E34" s="73"/>
      <c r="F34" s="73"/>
      <c r="G34" s="72"/>
      <c r="H34" s="72"/>
      <c r="I34" s="72"/>
      <c r="J34" s="72"/>
      <c r="K34" s="72"/>
      <c r="L34" s="66"/>
      <c r="M34" s="66"/>
      <c r="N34" s="74"/>
      <c r="O34" s="75"/>
    </row>
    <row r="35" spans="1:15" x14ac:dyDescent="0.3">
      <c r="A35">
        <v>2200</v>
      </c>
      <c r="B35" t="s">
        <v>5</v>
      </c>
      <c r="C35" s="49">
        <f>IFERROR('ATA2200'!D4,0)</f>
        <v>16</v>
      </c>
      <c r="D35" s="54">
        <f>IFERROR('ATA2200'!E4,0)</f>
        <v>11.75</v>
      </c>
      <c r="E35" s="54">
        <f>IFERROR('ATA2200'!F4,0)</f>
        <v>0</v>
      </c>
      <c r="F35" s="54">
        <f>IFERROR('ATA2200'!G4,0)</f>
        <v>4</v>
      </c>
      <c r="G35" s="49">
        <f>C35*D35</f>
        <v>188</v>
      </c>
      <c r="H35" s="49">
        <f>C35*E35</f>
        <v>0</v>
      </c>
      <c r="I35" s="49">
        <f>C35*F35</f>
        <v>64</v>
      </c>
      <c r="J35" s="49">
        <f>IFERROR('ATA2200'!H4,0)</f>
        <v>4.4000000000000004</v>
      </c>
      <c r="K35" s="49">
        <f>IFERROR('ATA2200'!I4,0)</f>
        <v>4.4000000000000004</v>
      </c>
      <c r="N35" s="47">
        <v>15</v>
      </c>
      <c r="O35" s="52">
        <f>N35-C35</f>
        <v>-1</v>
      </c>
    </row>
    <row r="36" spans="1:15" x14ac:dyDescent="0.3">
      <c r="A36">
        <v>2300</v>
      </c>
      <c r="B36" t="s">
        <v>6</v>
      </c>
      <c r="C36" s="49">
        <f>IFERROR('ATA2300'!D4,0)</f>
        <v>37</v>
      </c>
      <c r="D36" s="54">
        <f>IFERROR('ATA2300'!E4,0)</f>
        <v>13.810810810810811</v>
      </c>
      <c r="E36" s="54">
        <f>IFERROR('ATA2300'!F4,0)</f>
        <v>0</v>
      </c>
      <c r="F36" s="54">
        <f>IFERROR('ATA2300'!G4,0)</f>
        <v>5.3918918918918921</v>
      </c>
      <c r="G36" s="49">
        <f>C36*D36</f>
        <v>511</v>
      </c>
      <c r="H36" s="49">
        <f>C36*E36</f>
        <v>0</v>
      </c>
      <c r="I36" s="49">
        <f>C36*F36</f>
        <v>199.5</v>
      </c>
      <c r="J36" s="49">
        <f>IFERROR('ATA2300'!H4,0)</f>
        <v>15.5</v>
      </c>
      <c r="K36" s="49">
        <f>IFERROR('ATA2300'!I4,0)</f>
        <v>15.5</v>
      </c>
      <c r="N36" s="47">
        <v>35</v>
      </c>
      <c r="O36" s="52">
        <f>N36-C36</f>
        <v>-2</v>
      </c>
    </row>
    <row r="37" spans="1:15" x14ac:dyDescent="0.3">
      <c r="A37">
        <v>3100</v>
      </c>
      <c r="B37" t="s">
        <v>380</v>
      </c>
      <c r="C37" s="49">
        <f>IFERROR('ATA3100'!D4,0)</f>
        <v>61</v>
      </c>
      <c r="D37" s="54">
        <f>IFERROR('ATA3100'!E4,0)</f>
        <v>12.409836065573771</v>
      </c>
      <c r="E37" s="54">
        <f>IFERROR('ATA3100'!F4,0)</f>
        <v>0.26229508196721313</v>
      </c>
      <c r="F37" s="54">
        <f>IFERROR('ATA3100'!G4,0)</f>
        <v>4.0081967213114753</v>
      </c>
      <c r="G37" s="49">
        <f>C37*D37</f>
        <v>757</v>
      </c>
      <c r="H37" s="49">
        <f>C37*E37</f>
        <v>16</v>
      </c>
      <c r="I37" s="49">
        <f>C37*F37</f>
        <v>244.5</v>
      </c>
      <c r="J37" s="49">
        <f>IFERROR('ATA3100'!H4,0)</f>
        <v>11.450000000000001</v>
      </c>
      <c r="K37" s="49">
        <f>IFERROR('ATA3100'!I4,0)</f>
        <v>11.450000000000001</v>
      </c>
      <c r="N37" s="47">
        <v>60</v>
      </c>
      <c r="O37" s="52">
        <f>N37-C37</f>
        <v>-1</v>
      </c>
    </row>
    <row r="38" spans="1:15" x14ac:dyDescent="0.3">
      <c r="A38">
        <v>3400</v>
      </c>
      <c r="B38" t="s">
        <v>17</v>
      </c>
      <c r="C38" s="49">
        <f>IFERROR('ATA3400'!D4,0)</f>
        <v>90</v>
      </c>
      <c r="D38" s="54">
        <f>IFERROR('ATA3400'!E4,0)</f>
        <v>4.8666666666666663</v>
      </c>
      <c r="E38" s="54">
        <f>IFERROR('ATA3400'!F4,0)</f>
        <v>0</v>
      </c>
      <c r="F38" s="54">
        <f>IFERROR('ATA3400'!G4,0)</f>
        <v>3.6666666666666665</v>
      </c>
      <c r="G38" s="49">
        <f>C38*D38</f>
        <v>437.99999999999994</v>
      </c>
      <c r="H38" s="49">
        <f>C38*E38</f>
        <v>0</v>
      </c>
      <c r="I38" s="49">
        <f>C38*F38</f>
        <v>330</v>
      </c>
      <c r="J38" s="49">
        <f>IFERROR('ATA3400'!H4,0)</f>
        <v>31.8</v>
      </c>
      <c r="K38" s="49">
        <f>IFERROR('ATA3400'!I4,0)</f>
        <v>31.8</v>
      </c>
      <c r="N38" s="47">
        <v>90</v>
      </c>
      <c r="O38" s="52">
        <f>N38-C38</f>
        <v>0</v>
      </c>
    </row>
    <row r="39" spans="1:15" ht="15" thickBot="1" x14ac:dyDescent="0.35">
      <c r="A39" s="68"/>
      <c r="B39" s="68" t="s">
        <v>381</v>
      </c>
      <c r="C39" s="69">
        <f>SUM(C35:C38)</f>
        <v>204</v>
      </c>
      <c r="D39" s="70">
        <f>IFERROR(SUM(G35:G38)/C39,0)</f>
        <v>9.2843137254901968</v>
      </c>
      <c r="E39" s="70">
        <f>IFERROR(SUM(H35:H38)/C39,0)</f>
        <v>7.8431372549019607E-2</v>
      </c>
      <c r="F39" s="70">
        <f>IFERROR(SUM(I35:I38)/C39,0)</f>
        <v>4.1078431372549016</v>
      </c>
      <c r="G39" s="69">
        <f>SUM(G35:G38)</f>
        <v>1894</v>
      </c>
      <c r="H39" s="69">
        <f>SUM(H35:H38)</f>
        <v>16</v>
      </c>
      <c r="I39" s="69">
        <f>SUM(I35:I38)</f>
        <v>838</v>
      </c>
      <c r="J39" s="69">
        <f>SUM(J35:J38)</f>
        <v>63.150000000000006</v>
      </c>
      <c r="K39" s="69">
        <f>SUM(K35:K38)</f>
        <v>63.150000000000006</v>
      </c>
      <c r="L39" s="68"/>
      <c r="M39" s="68"/>
      <c r="N39" s="69">
        <f>SUM(N35:N38)</f>
        <v>200</v>
      </c>
      <c r="O39" s="71">
        <f>N39-C39</f>
        <v>-4</v>
      </c>
    </row>
    <row r="40" spans="1:15" ht="15" thickTop="1" x14ac:dyDescent="0.3">
      <c r="A40" s="66" t="s">
        <v>382</v>
      </c>
      <c r="B40" s="66"/>
      <c r="C40" s="72"/>
      <c r="D40" s="73"/>
      <c r="E40" s="73"/>
      <c r="F40" s="73"/>
      <c r="G40" s="72"/>
      <c r="H40" s="72"/>
      <c r="I40" s="72"/>
      <c r="J40" s="72"/>
      <c r="K40" s="72"/>
      <c r="L40" s="66"/>
      <c r="M40" s="66"/>
      <c r="N40" s="74"/>
      <c r="O40" s="75"/>
    </row>
    <row r="41" spans="1:15" x14ac:dyDescent="0.3">
      <c r="A41">
        <v>7100</v>
      </c>
      <c r="B41" t="s">
        <v>103</v>
      </c>
      <c r="C41" s="49">
        <f>IFERROR('ATA7100'!D4,0)</f>
        <v>856</v>
      </c>
      <c r="D41" s="54">
        <f>IFERROR('ATA7100'!E4,0)</f>
        <v>28.503504672897197</v>
      </c>
      <c r="E41" s="54">
        <f>IFERROR('ATA7100'!F4,0)</f>
        <v>0</v>
      </c>
      <c r="F41" s="54">
        <f>IFERROR('ATA7100'!G4,0)</f>
        <v>3</v>
      </c>
      <c r="G41" s="49">
        <f>C41*D41</f>
        <v>24399</v>
      </c>
      <c r="H41" s="49">
        <f>C41*E41</f>
        <v>0</v>
      </c>
      <c r="I41" s="49">
        <f>C41*F41</f>
        <v>2568</v>
      </c>
      <c r="J41" s="49">
        <f>IFERROR('ATA7100'!H4,0)</f>
        <v>428</v>
      </c>
      <c r="K41" s="49">
        <f>IFERROR('ATA7100'!I4,0)</f>
        <v>428</v>
      </c>
      <c r="M41" t="s">
        <v>104</v>
      </c>
      <c r="N41" s="47">
        <v>850</v>
      </c>
      <c r="O41" s="52">
        <f>N41-C41</f>
        <v>-6</v>
      </c>
    </row>
    <row r="42" spans="1:15" x14ac:dyDescent="0.3">
      <c r="A42" t="s">
        <v>163</v>
      </c>
      <c r="B42" t="s">
        <v>105</v>
      </c>
      <c r="C42" s="49">
        <f>IFERROR(ATA7100T!D4,0)</f>
        <v>526</v>
      </c>
      <c r="D42" s="54">
        <f>IFERROR(ATA7100T!E4,0)</f>
        <v>27.074144486692017</v>
      </c>
      <c r="E42" s="54">
        <f>IFERROR(ATA7100T!F4,0)</f>
        <v>0</v>
      </c>
      <c r="F42" s="54">
        <f>IFERROR(ATA7100T!G4,0)</f>
        <v>4.0522813688212924</v>
      </c>
      <c r="G42" s="49">
        <f>C42*D42</f>
        <v>14241</v>
      </c>
      <c r="H42" s="49">
        <f>C42*E42</f>
        <v>0</v>
      </c>
      <c r="I42" s="49">
        <f>C42*F42</f>
        <v>2131.5</v>
      </c>
      <c r="J42" s="49">
        <f>IFERROR(ATA7100T!H4,0)</f>
        <v>263</v>
      </c>
      <c r="K42" s="49">
        <f>IFERROR(ATA7100T!I4,0)</f>
        <v>263</v>
      </c>
      <c r="M42" t="s">
        <v>106</v>
      </c>
      <c r="N42" s="47">
        <v>525</v>
      </c>
      <c r="O42" s="52">
        <f>N42-C42</f>
        <v>-1</v>
      </c>
    </row>
    <row r="43" spans="1:15" x14ac:dyDescent="0.3">
      <c r="A43">
        <v>7300</v>
      </c>
      <c r="B43" t="s">
        <v>29</v>
      </c>
      <c r="C43" s="49">
        <f>IFERROR('ATA7300'!D4,0)</f>
        <v>75</v>
      </c>
      <c r="D43" s="54">
        <f>IFERROR('ATA7300'!E4,0)</f>
        <v>27.84</v>
      </c>
      <c r="E43" s="54">
        <f>IFERROR('ATA7300'!F4,0)</f>
        <v>1.6</v>
      </c>
      <c r="F43" s="54">
        <f>IFERROR('ATA7300'!G4,0)</f>
        <v>3.2933333333333334</v>
      </c>
      <c r="G43" s="49">
        <f>C43*D43</f>
        <v>2088</v>
      </c>
      <c r="H43" s="49">
        <f>C43*E43</f>
        <v>120</v>
      </c>
      <c r="I43" s="49">
        <f>C43*F43</f>
        <v>247</v>
      </c>
      <c r="J43" s="49">
        <f>IFERROR('ATA7300'!H4,0)</f>
        <v>37.5</v>
      </c>
      <c r="K43" s="49">
        <f>IFERROR('ATA7300'!I4,0)</f>
        <v>37.5</v>
      </c>
      <c r="N43" s="47">
        <v>75</v>
      </c>
      <c r="O43" s="52">
        <f>N43-C43</f>
        <v>0</v>
      </c>
    </row>
    <row r="44" spans="1:15" x14ac:dyDescent="0.3">
      <c r="A44">
        <v>7500</v>
      </c>
      <c r="B44" t="s">
        <v>146</v>
      </c>
      <c r="C44" s="49">
        <f>IFERROR('ATA7500'!D4,0)</f>
        <v>62</v>
      </c>
      <c r="D44" s="54">
        <f>IFERROR('ATA7500'!E4,0)</f>
        <v>20</v>
      </c>
      <c r="E44" s="54">
        <f>IFERROR('ATA7500'!F4,0)</f>
        <v>0</v>
      </c>
      <c r="F44" s="54">
        <f>IFERROR('ATA7500'!G4,0)</f>
        <v>3.5806451612903225</v>
      </c>
      <c r="G44" s="49">
        <f>C44*D44</f>
        <v>1240</v>
      </c>
      <c r="H44" s="49">
        <f>C44*E44</f>
        <v>0</v>
      </c>
      <c r="I44" s="49">
        <f>C44*F44</f>
        <v>222</v>
      </c>
      <c r="J44" s="49">
        <f>IFERROR('ATA7500'!H4,0)</f>
        <v>31</v>
      </c>
      <c r="K44" s="49">
        <f>IFERROR('ATA7500'!I4,0)</f>
        <v>31</v>
      </c>
      <c r="M44" t="s">
        <v>147</v>
      </c>
      <c r="N44" s="47">
        <v>60</v>
      </c>
      <c r="O44" s="52">
        <f>N44-C44</f>
        <v>-2</v>
      </c>
    </row>
    <row r="45" spans="1:15" x14ac:dyDescent="0.3">
      <c r="A45">
        <v>7800</v>
      </c>
      <c r="B45" t="s">
        <v>31</v>
      </c>
      <c r="C45" s="49">
        <f>IFERROR('ATA7800'!D4,0)</f>
        <v>58</v>
      </c>
      <c r="D45" s="54">
        <f>IFERROR('ATA7800'!E4,0)</f>
        <v>31.931034482758619</v>
      </c>
      <c r="E45" s="54">
        <f>IFERROR('ATA7800'!F4,0)</f>
        <v>0</v>
      </c>
      <c r="F45" s="54">
        <f>IFERROR('ATA7800'!G4,0)</f>
        <v>3</v>
      </c>
      <c r="G45" s="49">
        <f>C45*D45</f>
        <v>1852</v>
      </c>
      <c r="H45" s="49">
        <f>C45*E45</f>
        <v>0</v>
      </c>
      <c r="I45" s="49">
        <f>C45*F45</f>
        <v>174</v>
      </c>
      <c r="J45" s="49">
        <f>IFERROR('ATA7800'!H4,0)</f>
        <v>29</v>
      </c>
      <c r="K45" s="49">
        <f>IFERROR('ATA7800'!I4,0)</f>
        <v>29</v>
      </c>
      <c r="N45" s="47">
        <v>60</v>
      </c>
      <c r="O45" s="52">
        <f>N45-C45</f>
        <v>2</v>
      </c>
    </row>
    <row r="46" spans="1:15" x14ac:dyDescent="0.3">
      <c r="A46">
        <v>8000</v>
      </c>
      <c r="B46" t="s">
        <v>33</v>
      </c>
      <c r="C46" s="49">
        <f>IFERROR('ATA8000'!D4,0)</f>
        <v>26</v>
      </c>
      <c r="D46" s="54">
        <f>IFERROR('ATA8000'!E4,0)</f>
        <v>27.923076923076923</v>
      </c>
      <c r="E46" s="54">
        <f>IFERROR('ATA8000'!F4,0)</f>
        <v>0.92307692307692313</v>
      </c>
      <c r="F46" s="54">
        <f>IFERROR('ATA8000'!G4,0)</f>
        <v>3.3461538461538463</v>
      </c>
      <c r="G46" s="49">
        <f>C46*D46</f>
        <v>726</v>
      </c>
      <c r="H46" s="49">
        <f>C46*E46</f>
        <v>24</v>
      </c>
      <c r="I46" s="49">
        <f>C46*F46</f>
        <v>87</v>
      </c>
      <c r="J46" s="49">
        <f>IFERROR('ATA8000'!H4,0)</f>
        <v>13</v>
      </c>
      <c r="K46" s="49">
        <f>IFERROR('ATA8000'!I4,0)</f>
        <v>13</v>
      </c>
      <c r="N46" s="47">
        <v>25</v>
      </c>
      <c r="O46" s="52">
        <f>N46-C46</f>
        <v>-1</v>
      </c>
    </row>
    <row r="47" spans="1:15" ht="15" thickBot="1" x14ac:dyDescent="0.35">
      <c r="A47" s="68"/>
      <c r="B47" s="68" t="s">
        <v>383</v>
      </c>
      <c r="C47" s="69">
        <f>SUM(C41:C46)</f>
        <v>1603</v>
      </c>
      <c r="D47" s="70">
        <f>IFERROR(SUM(G41:G46)/C47,0)</f>
        <v>27.789145352464129</v>
      </c>
      <c r="E47" s="70">
        <f>IFERROR(SUM(H41:H46)/C47,0)</f>
        <v>8.9831565814098568E-2</v>
      </c>
      <c r="F47" s="70">
        <f>IFERROR(SUM(I41:I46)/C47,0)</f>
        <v>3.3870867124142232</v>
      </c>
      <c r="G47" s="69">
        <f>SUM(G41:G46)</f>
        <v>44546</v>
      </c>
      <c r="H47" s="69">
        <f>SUM(H41:H46)</f>
        <v>144</v>
      </c>
      <c r="I47" s="69">
        <f>SUM(I41:I46)</f>
        <v>5429.5</v>
      </c>
      <c r="J47" s="69">
        <f>SUM(J41:J46)</f>
        <v>801.5</v>
      </c>
      <c r="K47" s="69">
        <f>SUM(K41:K46)</f>
        <v>801.5</v>
      </c>
      <c r="L47" s="68"/>
      <c r="M47" s="68"/>
      <c r="N47" s="69">
        <f>SUM(N41:N46)</f>
        <v>1595</v>
      </c>
      <c r="O47" s="71">
        <f>N47-C47</f>
        <v>-8</v>
      </c>
    </row>
    <row r="48" spans="1:15" ht="15" thickTop="1" x14ac:dyDescent="0.3">
      <c r="A48" s="66" t="s">
        <v>384</v>
      </c>
      <c r="B48" s="66"/>
      <c r="C48" s="72"/>
      <c r="D48" s="73"/>
      <c r="E48" s="73"/>
      <c r="F48" s="73"/>
      <c r="G48" s="72"/>
      <c r="H48" s="72"/>
      <c r="I48" s="72"/>
      <c r="J48" s="72"/>
      <c r="K48" s="72"/>
      <c r="L48" s="66"/>
      <c r="M48" s="66"/>
      <c r="N48" s="74"/>
      <c r="O48" s="75"/>
    </row>
    <row r="49" spans="1:15" x14ac:dyDescent="0.3">
      <c r="A49">
        <v>2500</v>
      </c>
      <c r="B49" t="s">
        <v>99</v>
      </c>
      <c r="C49" s="49">
        <f>IFERROR('ATA2500'!D4,0)</f>
        <v>695</v>
      </c>
      <c r="D49" s="54">
        <f>IFERROR('ATA2500'!E4,0)</f>
        <v>14.03956834532374</v>
      </c>
      <c r="E49" s="54">
        <f>IFERROR('ATA2500'!F4,0)</f>
        <v>0.63669064748201443</v>
      </c>
      <c r="F49" s="54">
        <f>IFERROR('ATA2500'!G4,0)</f>
        <v>3.0949640287769786</v>
      </c>
      <c r="G49" s="49">
        <f>C49*D49</f>
        <v>9757.5</v>
      </c>
      <c r="H49" s="49">
        <f>C49*E49</f>
        <v>442.5</v>
      </c>
      <c r="I49" s="49">
        <f>C49*F49</f>
        <v>2151</v>
      </c>
      <c r="J49" s="49">
        <f>IFERROR('ATA2500'!H4,0)</f>
        <v>259</v>
      </c>
      <c r="K49" s="49">
        <f>IFERROR('ATA2500'!I4,0)</f>
        <v>259</v>
      </c>
      <c r="N49" s="47">
        <v>700</v>
      </c>
      <c r="O49" s="52">
        <f>N49-C49</f>
        <v>5</v>
      </c>
    </row>
    <row r="50" spans="1:15" x14ac:dyDescent="0.3">
      <c r="A50">
        <v>2600</v>
      </c>
      <c r="B50" t="s">
        <v>9</v>
      </c>
      <c r="C50" s="49">
        <f>IFERROR('ATA2600'!D4,0)</f>
        <v>60</v>
      </c>
      <c r="D50" s="54">
        <f>IFERROR('ATA2600'!E4,0)</f>
        <v>20.166666666666668</v>
      </c>
      <c r="E50" s="54">
        <f>IFERROR('ATA2600'!F4,0)</f>
        <v>2</v>
      </c>
      <c r="F50" s="54">
        <f>IFERROR('ATA2600'!G4,0)</f>
        <v>2.5833333333333335</v>
      </c>
      <c r="G50" s="49">
        <f>C50*D50</f>
        <v>1210</v>
      </c>
      <c r="H50" s="49">
        <f>C50*E50</f>
        <v>120</v>
      </c>
      <c r="I50" s="49">
        <f>C50*F50</f>
        <v>155</v>
      </c>
      <c r="J50" s="49">
        <f>IFERROR('ATA2600'!H4,0)</f>
        <v>16.5</v>
      </c>
      <c r="K50" s="49">
        <f>IFERROR('ATA2600'!I4,0)</f>
        <v>16.5</v>
      </c>
      <c r="N50" s="47">
        <v>60</v>
      </c>
      <c r="O50" s="52">
        <f>N50-C50</f>
        <v>0</v>
      </c>
    </row>
    <row r="51" spans="1:15" ht="15" thickBot="1" x14ac:dyDescent="0.35">
      <c r="A51" s="62"/>
      <c r="B51" s="62" t="s">
        <v>385</v>
      </c>
      <c r="C51" s="63">
        <f>SUM(C49:C50)</f>
        <v>755</v>
      </c>
      <c r="D51" s="64">
        <f>IFERROR(SUM(G49:G50)/C51,0)</f>
        <v>14.526490066225165</v>
      </c>
      <c r="E51" s="64">
        <f>IFERROR(SUM(H49:H50)/C51,0)</f>
        <v>0.74503311258278149</v>
      </c>
      <c r="F51" s="64">
        <f>IFERROR(SUM(I49:I50)/C51,0)</f>
        <v>3.0543046357615893</v>
      </c>
      <c r="G51" s="63">
        <f>SUM(G49:G50)</f>
        <v>10967.5</v>
      </c>
      <c r="H51" s="63">
        <f>SUM(H49:H50)</f>
        <v>562.5</v>
      </c>
      <c r="I51" s="63">
        <f>SUM(I49:I50)</f>
        <v>2306</v>
      </c>
      <c r="J51" s="63">
        <f>SUM(J49:J50)</f>
        <v>275.5</v>
      </c>
      <c r="K51" s="63">
        <f>SUM(K49:K50)</f>
        <v>275.5</v>
      </c>
      <c r="L51" s="62"/>
      <c r="M51" s="62"/>
      <c r="N51" s="63">
        <f>SUM(N49:N50)</f>
        <v>760</v>
      </c>
      <c r="O51" s="65">
        <f>N51-C51</f>
        <v>5</v>
      </c>
    </row>
    <row r="52" spans="1:15" ht="15.6" thickTop="1" thickBot="1" x14ac:dyDescent="0.35">
      <c r="C52" s="49"/>
      <c r="D52" s="54"/>
      <c r="E52" s="54"/>
      <c r="F52" s="54"/>
      <c r="G52" s="49"/>
      <c r="H52" s="49"/>
      <c r="I52" s="49"/>
      <c r="J52" s="49"/>
      <c r="K52" s="49"/>
      <c r="N52" s="49"/>
      <c r="O52" s="52"/>
    </row>
    <row r="53" spans="1:15" ht="16.8" thickTop="1" thickBot="1" x14ac:dyDescent="0.35">
      <c r="A53" s="76" t="s">
        <v>386</v>
      </c>
      <c r="B53" s="76" t="s">
        <v>387</v>
      </c>
      <c r="C53" s="77">
        <f>C18+C28+C33+C39+C47+C51</f>
        <v>8853.5</v>
      </c>
      <c r="D53" s="78">
        <f>IFERROR((G18+G28+G33+G39+G47+G51)/C53,0)</f>
        <v>18.777093804710002</v>
      </c>
      <c r="E53" s="78">
        <f>IFERROR((H18+H28+H33+H39+H47+H51)/C53,0)</f>
        <v>0.9330095442480375</v>
      </c>
      <c r="F53" s="78">
        <f>IFERROR((I18+I28+I33+I39+I47+I51)/C53,0)</f>
        <v>2.6950302140396456</v>
      </c>
      <c r="G53" s="77">
        <f>G18+G28+G33+G39+G47+G51</f>
        <v>166243</v>
      </c>
      <c r="H53" s="77">
        <f>H18+H28+H33+H39+H47+H51</f>
        <v>8260.4</v>
      </c>
      <c r="I53" s="77">
        <f>I18+I28+I33+I39+I47+I51</f>
        <v>23860.45</v>
      </c>
      <c r="J53" s="77">
        <f>J18+J28+J33+J39+J47+J51</f>
        <v>4201.5249999999996</v>
      </c>
      <c r="K53" s="77">
        <f>K18+K28+K33+K39+K47+K51</f>
        <v>4201.5249999999996</v>
      </c>
      <c r="L53" s="79"/>
      <c r="M53" s="79"/>
      <c r="N53" s="77">
        <f>N18+N28+N33+N39+N47+N51</f>
        <v>8905</v>
      </c>
      <c r="O53" s="80">
        <f>N53-C53</f>
        <v>51.5</v>
      </c>
    </row>
    <row r="54" spans="1:15" ht="15" thickTop="1" x14ac:dyDescent="0.3"/>
    <row r="55" spans="1:15" ht="18" x14ac:dyDescent="0.35">
      <c r="A55" s="42" t="s">
        <v>388</v>
      </c>
      <c r="B55" s="40"/>
      <c r="C55" s="43" t="s">
        <v>389</v>
      </c>
      <c r="D55" s="43" t="s">
        <v>390</v>
      </c>
      <c r="E55" s="43" t="s">
        <v>391</v>
      </c>
      <c r="F55" s="43" t="s">
        <v>392</v>
      </c>
      <c r="G55" s="43" t="s">
        <v>3</v>
      </c>
    </row>
    <row r="56" spans="1:15" x14ac:dyDescent="0.3">
      <c r="A56" s="13" t="s">
        <v>393</v>
      </c>
      <c r="C56" s="46">
        <f>C53</f>
        <v>8853.5</v>
      </c>
      <c r="D56" s="47">
        <v>24500</v>
      </c>
      <c r="E56" s="51">
        <f>D56-C56</f>
        <v>15646.5</v>
      </c>
      <c r="F56" s="34">
        <f>IFERROR((D56-C56)/D56,0)</f>
        <v>0.63863265306122452</v>
      </c>
      <c r="G56" t="s">
        <v>394</v>
      </c>
    </row>
    <row r="57" spans="1:15" x14ac:dyDescent="0.3">
      <c r="A57" t="s">
        <v>449</v>
      </c>
      <c r="B57" t="s">
        <v>395</v>
      </c>
      <c r="C57" s="47">
        <v>450</v>
      </c>
      <c r="D57" s="49"/>
      <c r="E57" s="52"/>
      <c r="G57" t="s">
        <v>396</v>
      </c>
    </row>
    <row r="58" spans="1:15" x14ac:dyDescent="0.3">
      <c r="A58" s="44" t="s">
        <v>397</v>
      </c>
      <c r="B58" s="4"/>
      <c r="C58" s="48">
        <f>C56+C57</f>
        <v>9303.5</v>
      </c>
      <c r="D58" s="50">
        <v>24950</v>
      </c>
      <c r="E58" s="53">
        <f>D58-C58</f>
        <v>15646.5</v>
      </c>
      <c r="F58" s="45">
        <f>IFERROR((D58-C58)/D58,0)</f>
        <v>0.62711422845691378</v>
      </c>
      <c r="G58" s="4"/>
    </row>
    <row r="59" spans="1:15" x14ac:dyDescent="0.3">
      <c r="A59" t="s">
        <v>450</v>
      </c>
      <c r="B59" t="s">
        <v>398</v>
      </c>
      <c r="C59" s="47">
        <v>1300</v>
      </c>
      <c r="D59" s="49"/>
      <c r="E59" s="52"/>
      <c r="G59" t="s">
        <v>399</v>
      </c>
    </row>
    <row r="60" spans="1:15" x14ac:dyDescent="0.3">
      <c r="A60" s="44" t="s">
        <v>400</v>
      </c>
      <c r="B60" s="4"/>
      <c r="C60" s="48">
        <f>C58+C59</f>
        <v>10603.5</v>
      </c>
      <c r="D60" s="50">
        <v>28500</v>
      </c>
      <c r="E60" s="53">
        <f>D60-C60</f>
        <v>17896.5</v>
      </c>
      <c r="F60" s="45">
        <f>IFERROR((D60-C60)/D60,0)</f>
        <v>0.62794736842105259</v>
      </c>
      <c r="G60" s="4" t="s">
        <v>401</v>
      </c>
    </row>
    <row r="61" spans="1:15" x14ac:dyDescent="0.3">
      <c r="A61" t="s">
        <v>451</v>
      </c>
      <c r="B61" t="s">
        <v>402</v>
      </c>
      <c r="C61" s="47">
        <v>8000</v>
      </c>
      <c r="D61" s="49"/>
      <c r="E61" s="52"/>
      <c r="G61" t="s">
        <v>403</v>
      </c>
    </row>
    <row r="62" spans="1:15" x14ac:dyDescent="0.3">
      <c r="A62" s="44" t="s">
        <v>404</v>
      </c>
      <c r="B62" s="4"/>
      <c r="C62" s="48">
        <f>C60+C61</f>
        <v>18603.5</v>
      </c>
      <c r="D62" s="50">
        <v>37500</v>
      </c>
      <c r="E62" s="53">
        <f>D62-C62</f>
        <v>18896.5</v>
      </c>
      <c r="F62" s="45">
        <f>IFERROR((D62-C62)/D62,0)</f>
        <v>0.50390666666666661</v>
      </c>
      <c r="G62" s="4" t="s">
        <v>405</v>
      </c>
    </row>
    <row r="63" spans="1:15" x14ac:dyDescent="0.3">
      <c r="A63" t="s">
        <v>452</v>
      </c>
      <c r="C63" s="47">
        <v>5500</v>
      </c>
      <c r="D63" s="49"/>
      <c r="E63" s="52"/>
      <c r="G63" t="s">
        <v>406</v>
      </c>
    </row>
    <row r="64" spans="1:15" x14ac:dyDescent="0.3">
      <c r="A64" s="44" t="s">
        <v>407</v>
      </c>
      <c r="B64" s="4"/>
      <c r="C64" s="48">
        <f>C62-C63</f>
        <v>13103.5</v>
      </c>
      <c r="D64" s="50">
        <v>33000</v>
      </c>
      <c r="E64" s="53">
        <f>D64-C64</f>
        <v>19896.5</v>
      </c>
      <c r="F64" s="45">
        <f>IFERROR((D64-C64)/D64,0)</f>
        <v>0.60292424242424247</v>
      </c>
      <c r="G64" s="4" t="s">
        <v>408</v>
      </c>
    </row>
  </sheetData>
  <mergeCells count="7">
    <mergeCell ref="A7:K7"/>
    <mergeCell ref="A8:K8"/>
    <mergeCell ref="D1:K1"/>
    <mergeCell ref="D2:K2"/>
    <mergeCell ref="D3:K3"/>
    <mergeCell ref="D4:K4"/>
    <mergeCell ref="D5:K5"/>
  </mergeCells>
  <conditionalFormatting sqref="E56">
    <cfRule type="cellIs" dxfId="27" priority="1" operator="lessThan">
      <formula>0</formula>
    </cfRule>
  </conditionalFormatting>
  <conditionalFormatting sqref="E56">
    <cfRule type="cellIs" dxfId="26" priority="2" operator="greaterThan">
      <formula>0</formula>
    </cfRule>
  </conditionalFormatting>
  <conditionalFormatting sqref="E58">
    <cfRule type="cellIs" dxfId="25" priority="3" operator="lessThan">
      <formula>0</formula>
    </cfRule>
  </conditionalFormatting>
  <conditionalFormatting sqref="E58">
    <cfRule type="cellIs" dxfId="24" priority="4" operator="greaterThan">
      <formula>0</formula>
    </cfRule>
  </conditionalFormatting>
  <conditionalFormatting sqref="E60">
    <cfRule type="cellIs" dxfId="23" priority="5" operator="lessThan">
      <formula>0</formula>
    </cfRule>
  </conditionalFormatting>
  <conditionalFormatting sqref="E60">
    <cfRule type="cellIs" dxfId="22" priority="6" operator="greaterThan">
      <formula>0</formula>
    </cfRule>
  </conditionalFormatting>
  <conditionalFormatting sqref="E62">
    <cfRule type="cellIs" dxfId="21" priority="7" operator="lessThan">
      <formula>0</formula>
    </cfRule>
  </conditionalFormatting>
  <conditionalFormatting sqref="E62">
    <cfRule type="cellIs" dxfId="20" priority="8" operator="greaterThan">
      <formula>0</formula>
    </cfRule>
  </conditionalFormatting>
  <conditionalFormatting sqref="E64">
    <cfRule type="cellIs" dxfId="19" priority="9" operator="lessThan">
      <formula>0</formula>
    </cfRule>
  </conditionalFormatting>
  <conditionalFormatting sqref="E64">
    <cfRule type="cellIs" dxfId="18" priority="10" operator="greaterThan">
      <formula>0</formula>
    </cfRule>
  </conditionalFormatting>
  <conditionalFormatting sqref="F56">
    <cfRule type="cellIs" dxfId="17" priority="11" operator="lessThan">
      <formula>0</formula>
    </cfRule>
  </conditionalFormatting>
  <conditionalFormatting sqref="F56">
    <cfRule type="cellIs" dxfId="16" priority="12" operator="greaterThan">
      <formula>0</formula>
    </cfRule>
  </conditionalFormatting>
  <conditionalFormatting sqref="F58">
    <cfRule type="cellIs" dxfId="15" priority="13" operator="lessThan">
      <formula>0</formula>
    </cfRule>
  </conditionalFormatting>
  <conditionalFormatting sqref="F58">
    <cfRule type="cellIs" dxfId="14" priority="14" operator="greaterThan">
      <formula>0</formula>
    </cfRule>
  </conditionalFormatting>
  <conditionalFormatting sqref="F60">
    <cfRule type="cellIs" dxfId="13" priority="15" operator="lessThan">
      <formula>0</formula>
    </cfRule>
  </conditionalFormatting>
  <conditionalFormatting sqref="F60">
    <cfRule type="cellIs" dxfId="12" priority="16" operator="greaterThan">
      <formula>0</formula>
    </cfRule>
  </conditionalFormatting>
  <conditionalFormatting sqref="F62">
    <cfRule type="cellIs" dxfId="11" priority="17" operator="lessThan">
      <formula>0</formula>
    </cfRule>
  </conditionalFormatting>
  <conditionalFormatting sqref="F62">
    <cfRule type="cellIs" dxfId="10" priority="18" operator="greaterThan">
      <formula>0</formula>
    </cfRule>
  </conditionalFormatting>
  <conditionalFormatting sqref="F64">
    <cfRule type="cellIs" dxfId="9" priority="19" operator="lessThan">
      <formula>0</formula>
    </cfRule>
  </conditionalFormatting>
  <conditionalFormatting sqref="F64">
    <cfRule type="cellIs" dxfId="8" priority="20" operator="greaterThan">
      <formula>0</formula>
    </cfRule>
  </conditionalFormatting>
  <conditionalFormatting sqref="O12:O51">
    <cfRule type="cellIs" dxfId="7" priority="21" operator="lessThan">
      <formula>0</formula>
    </cfRule>
  </conditionalFormatting>
  <conditionalFormatting sqref="O12:O51">
    <cfRule type="cellIs" dxfId="6" priority="22" operator="greaterThan">
      <formula>0</formula>
    </cfRule>
  </conditionalFormatting>
  <conditionalFormatting sqref="O53">
    <cfRule type="cellIs" dxfId="5" priority="23" operator="lessThan">
      <formula>0</formula>
    </cfRule>
  </conditionalFormatting>
  <conditionalFormatting sqref="O53">
    <cfRule type="cellIs" dxfId="4" priority="24" operator="greaterThan">
      <formula>0</formula>
    </cfRule>
  </conditionalFormatting>
  <dataValidations disablePrompts="1"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5" activePane="bottomLeft" state="frozen"/>
      <selection pane="bottomLeft" activeCell="F42" sqref="F42"/>
    </sheetView>
  </sheetViews>
  <sheetFormatPr defaultRowHeight="14.4" x14ac:dyDescent="0.3"/>
  <cols>
    <col min="1" max="1" width="9.21875" customWidth="1"/>
    <col min="2" max="2" width="33.33203125" customWidth="1"/>
    <col min="3" max="3" width="20.33203125" customWidth="1"/>
    <col min="4" max="4" width="18.5546875" customWidth="1"/>
    <col min="5" max="5" width="24.109375" customWidth="1"/>
    <col min="6" max="6" width="51.88671875" customWidth="1"/>
  </cols>
  <sheetData>
    <row r="1" spans="1:6" ht="18" x14ac:dyDescent="0.35">
      <c r="A1" s="5" t="s">
        <v>46</v>
      </c>
    </row>
    <row r="2" spans="1:6" x14ac:dyDescent="0.3">
      <c r="A2" s="1" t="s">
        <v>47</v>
      </c>
    </row>
    <row r="4" spans="1:6" x14ac:dyDescent="0.3">
      <c r="A4" s="14" t="s">
        <v>1</v>
      </c>
      <c r="B4" s="15" t="s">
        <v>48</v>
      </c>
      <c r="C4" s="16" t="s">
        <v>78</v>
      </c>
      <c r="D4" s="16" t="s">
        <v>79</v>
      </c>
      <c r="E4" s="16" t="s">
        <v>49</v>
      </c>
      <c r="F4" s="17" t="s">
        <v>3</v>
      </c>
    </row>
    <row r="5" spans="1:6" x14ac:dyDescent="0.3">
      <c r="A5" s="18">
        <v>21</v>
      </c>
      <c r="B5" s="19" t="s">
        <v>4</v>
      </c>
      <c r="C5" s="26">
        <v>187.39269999999999</v>
      </c>
      <c r="D5" s="27">
        <f>'Roll Up'!D15</f>
        <v>9.1612903225806459</v>
      </c>
      <c r="E5" s="28">
        <f t="shared" ref="E5:E34" si="0">D5-C5</f>
        <v>-178.23140967741935</v>
      </c>
      <c r="F5" s="20"/>
    </row>
    <row r="6" spans="1:6" x14ac:dyDescent="0.3">
      <c r="A6" s="18">
        <v>22</v>
      </c>
      <c r="B6" s="19" t="s">
        <v>5</v>
      </c>
      <c r="C6" s="26">
        <v>41.887779999999999</v>
      </c>
      <c r="D6" s="27">
        <f>'Roll Up'!D20</f>
        <v>17.743589743589745</v>
      </c>
      <c r="E6" s="28">
        <f t="shared" si="0"/>
        <v>-24.144190256410255</v>
      </c>
      <c r="F6" s="20"/>
    </row>
    <row r="7" spans="1:6" x14ac:dyDescent="0.3">
      <c r="A7" s="18">
        <v>23</v>
      </c>
      <c r="B7" s="19" t="s">
        <v>6</v>
      </c>
      <c r="C7" s="26">
        <v>55.115499999999997</v>
      </c>
      <c r="D7" s="27">
        <f>'Roll Up'!D26</f>
        <v>25</v>
      </c>
      <c r="E7" s="28">
        <f t="shared" si="0"/>
        <v>-30.115499999999997</v>
      </c>
      <c r="F7" s="20"/>
    </row>
    <row r="8" spans="1:6" x14ac:dyDescent="0.3">
      <c r="A8" s="18">
        <v>24</v>
      </c>
      <c r="B8" s="19" t="s">
        <v>7</v>
      </c>
      <c r="C8" s="26">
        <v>374.78539999999998</v>
      </c>
      <c r="D8" s="27">
        <f>'Roll Up'!D34</f>
        <v>0</v>
      </c>
      <c r="E8" s="28">
        <f t="shared" si="0"/>
        <v>-374.78539999999998</v>
      </c>
      <c r="F8" s="20"/>
    </row>
    <row r="9" spans="1:6" x14ac:dyDescent="0.3">
      <c r="A9" s="18">
        <v>25</v>
      </c>
      <c r="B9" s="19" t="s">
        <v>8</v>
      </c>
      <c r="C9" s="26">
        <v>1807.7883999999999</v>
      </c>
      <c r="D9" s="27">
        <f>'Roll Up'!D43</f>
        <v>27.84</v>
      </c>
      <c r="E9" s="28">
        <f t="shared" si="0"/>
        <v>-1779.9484</v>
      </c>
      <c r="F9" s="20"/>
    </row>
    <row r="10" spans="1:6" x14ac:dyDescent="0.3">
      <c r="A10" s="18">
        <v>26</v>
      </c>
      <c r="B10" s="19" t="s">
        <v>9</v>
      </c>
      <c r="C10" s="26">
        <v>77.161699999999996</v>
      </c>
      <c r="D10" s="27">
        <f>'Roll Up'!D49</f>
        <v>14.03956834532374</v>
      </c>
      <c r="E10" s="28">
        <f t="shared" si="0"/>
        <v>-63.122131654676252</v>
      </c>
      <c r="F10" s="20"/>
    </row>
    <row r="11" spans="1:6" x14ac:dyDescent="0.3">
      <c r="A11" s="18">
        <v>27</v>
      </c>
      <c r="B11" s="19" t="s">
        <v>10</v>
      </c>
      <c r="C11" s="26">
        <v>749.57079999999996</v>
      </c>
      <c r="D11" s="27">
        <f>'Roll Up'!D60</f>
        <v>28500</v>
      </c>
      <c r="E11" s="28">
        <f t="shared" si="0"/>
        <v>27750.429199999999</v>
      </c>
      <c r="F11" s="20"/>
    </row>
    <row r="12" spans="1:6" x14ac:dyDescent="0.3">
      <c r="A12" s="18">
        <v>28</v>
      </c>
      <c r="B12" s="19" t="s">
        <v>11</v>
      </c>
      <c r="C12" s="26">
        <v>13889.105999999998</v>
      </c>
      <c r="D12" s="27">
        <f>'Roll Up'!D67</f>
        <v>0</v>
      </c>
      <c r="E12" s="28">
        <f t="shared" si="0"/>
        <v>-13889.105999999998</v>
      </c>
      <c r="F12" s="20"/>
    </row>
    <row r="13" spans="1:6" x14ac:dyDescent="0.3">
      <c r="A13" s="18">
        <v>29</v>
      </c>
      <c r="B13" s="19" t="s">
        <v>12</v>
      </c>
      <c r="C13" s="26">
        <v>114.64023999999999</v>
      </c>
      <c r="D13" s="27">
        <f>'Roll Up'!D73</f>
        <v>0</v>
      </c>
      <c r="E13" s="28">
        <f t="shared" si="0"/>
        <v>-114.64023999999999</v>
      </c>
      <c r="F13" s="20"/>
    </row>
    <row r="14" spans="1:6" x14ac:dyDescent="0.3">
      <c r="A14" s="18">
        <v>30</v>
      </c>
      <c r="B14" s="19" t="s">
        <v>13</v>
      </c>
      <c r="C14" s="26">
        <v>105.82175999999998</v>
      </c>
      <c r="D14" s="27">
        <f>'Roll Up'!D78</f>
        <v>0</v>
      </c>
      <c r="E14" s="28">
        <f t="shared" si="0"/>
        <v>-105.82175999999998</v>
      </c>
      <c r="F14" s="20"/>
    </row>
    <row r="15" spans="1:6" x14ac:dyDescent="0.3">
      <c r="A15" s="18">
        <v>31</v>
      </c>
      <c r="B15" s="19" t="s">
        <v>14</v>
      </c>
      <c r="C15" s="26">
        <v>101.41251999999999</v>
      </c>
      <c r="D15" s="27">
        <f>'Roll Up'!D82</f>
        <v>0</v>
      </c>
      <c r="E15" s="28">
        <f t="shared" si="0"/>
        <v>-101.41251999999999</v>
      </c>
      <c r="F15" s="20"/>
    </row>
    <row r="16" spans="1:6" x14ac:dyDescent="0.3">
      <c r="A16" s="18">
        <v>32</v>
      </c>
      <c r="B16" s="19" t="s">
        <v>15</v>
      </c>
      <c r="C16" s="26">
        <v>2425.0819999999999</v>
      </c>
      <c r="D16" s="27">
        <f>'Roll Up'!D89</f>
        <v>0</v>
      </c>
      <c r="E16" s="28">
        <f t="shared" si="0"/>
        <v>-2425.0819999999999</v>
      </c>
      <c r="F16" s="20"/>
    </row>
    <row r="17" spans="1:6" x14ac:dyDescent="0.3">
      <c r="A17" s="18">
        <v>33</v>
      </c>
      <c r="B17" s="19" t="s">
        <v>16</v>
      </c>
      <c r="C17" s="26">
        <v>74.957079999999991</v>
      </c>
      <c r="D17" s="27">
        <f>'Roll Up'!D94</f>
        <v>0</v>
      </c>
      <c r="E17" s="28">
        <f t="shared" si="0"/>
        <v>-74.957079999999991</v>
      </c>
      <c r="F17" s="20"/>
    </row>
    <row r="18" spans="1:6" x14ac:dyDescent="0.3">
      <c r="A18" s="18">
        <v>34</v>
      </c>
      <c r="B18" s="19" t="s">
        <v>17</v>
      </c>
      <c r="C18" s="26">
        <v>138.89105999999998</v>
      </c>
      <c r="D18" s="27">
        <f>'Roll Up'!D101</f>
        <v>0</v>
      </c>
      <c r="E18" s="28">
        <f t="shared" si="0"/>
        <v>-138.89105999999998</v>
      </c>
      <c r="F18" s="20"/>
    </row>
    <row r="19" spans="1:6" x14ac:dyDescent="0.3">
      <c r="A19" s="18">
        <v>35</v>
      </c>
      <c r="B19" s="19" t="s">
        <v>18</v>
      </c>
      <c r="C19" s="26">
        <v>132.27719999999999</v>
      </c>
      <c r="D19" s="27">
        <f>'Roll Up'!D105</f>
        <v>0</v>
      </c>
      <c r="E19" s="28">
        <f t="shared" si="0"/>
        <v>-132.27719999999999</v>
      </c>
      <c r="F19" s="20"/>
    </row>
    <row r="20" spans="1:6" x14ac:dyDescent="0.3">
      <c r="A20" s="18">
        <v>36</v>
      </c>
      <c r="B20" s="19" t="s">
        <v>19</v>
      </c>
      <c r="C20" s="26">
        <v>209.43889999999999</v>
      </c>
      <c r="D20" s="27">
        <f>'Roll Up'!D109</f>
        <v>0</v>
      </c>
      <c r="E20" s="28">
        <f t="shared" si="0"/>
        <v>-209.43889999999999</v>
      </c>
      <c r="F20" s="20"/>
    </row>
    <row r="21" spans="1:6" x14ac:dyDescent="0.3">
      <c r="A21" s="18">
        <v>38</v>
      </c>
      <c r="B21" s="19" t="s">
        <v>20</v>
      </c>
      <c r="C21" s="26">
        <v>308.64679999999998</v>
      </c>
      <c r="D21" s="27">
        <f>'Roll Up'!D113</f>
        <v>0</v>
      </c>
      <c r="E21" s="28">
        <f t="shared" si="0"/>
        <v>-308.64679999999998</v>
      </c>
      <c r="F21" s="20"/>
    </row>
    <row r="22" spans="1:6" x14ac:dyDescent="0.3">
      <c r="A22" s="18">
        <v>49</v>
      </c>
      <c r="B22" s="19" t="s">
        <v>21</v>
      </c>
      <c r="C22" s="26">
        <v>396.83159999999998</v>
      </c>
      <c r="D22" s="27">
        <f>'Roll Up'!D118</f>
        <v>0</v>
      </c>
      <c r="E22" s="28">
        <f t="shared" si="0"/>
        <v>-396.83159999999998</v>
      </c>
      <c r="F22" s="20"/>
    </row>
    <row r="23" spans="1:6" x14ac:dyDescent="0.3">
      <c r="A23" s="18">
        <v>52</v>
      </c>
      <c r="B23" s="19" t="s">
        <v>22</v>
      </c>
      <c r="C23" s="26">
        <v>595.24739999999997</v>
      </c>
      <c r="D23" s="27">
        <f>'Roll Up'!D126</f>
        <v>0</v>
      </c>
      <c r="E23" s="28">
        <f t="shared" si="0"/>
        <v>-595.24739999999997</v>
      </c>
      <c r="F23" s="20"/>
    </row>
    <row r="24" spans="1:6" x14ac:dyDescent="0.3">
      <c r="A24" s="18">
        <v>53</v>
      </c>
      <c r="B24" s="19" t="s">
        <v>23</v>
      </c>
      <c r="C24" s="26">
        <v>4938.3487999999998</v>
      </c>
      <c r="D24" s="27">
        <f>'Roll Up'!D132</f>
        <v>0</v>
      </c>
      <c r="E24" s="28">
        <f t="shared" si="0"/>
        <v>-4938.3487999999998</v>
      </c>
      <c r="F24" s="20"/>
    </row>
    <row r="25" spans="1:6" x14ac:dyDescent="0.3">
      <c r="A25" s="18">
        <v>54</v>
      </c>
      <c r="B25" s="19" t="s">
        <v>24</v>
      </c>
      <c r="C25" s="26">
        <v>1245.6102999999998</v>
      </c>
      <c r="D25" s="27">
        <f>'Roll Up'!D138</f>
        <v>0</v>
      </c>
      <c r="E25" s="28">
        <f t="shared" si="0"/>
        <v>-1245.6102999999998</v>
      </c>
      <c r="F25" s="20"/>
    </row>
    <row r="26" spans="1:6" x14ac:dyDescent="0.3">
      <c r="A26" s="18">
        <v>55</v>
      </c>
      <c r="B26" s="19" t="s">
        <v>25</v>
      </c>
      <c r="C26" s="26">
        <v>1300.7257999999999</v>
      </c>
      <c r="D26" s="27">
        <f>'Roll Up'!D142</f>
        <v>0</v>
      </c>
      <c r="E26" s="28">
        <f t="shared" si="0"/>
        <v>-1300.7257999999999</v>
      </c>
      <c r="F26" s="20"/>
    </row>
    <row r="27" spans="1:6" x14ac:dyDescent="0.3">
      <c r="A27" s="18">
        <v>56</v>
      </c>
      <c r="B27" s="19" t="s">
        <v>26</v>
      </c>
      <c r="C27" s="26">
        <v>485.01639999999998</v>
      </c>
      <c r="D27" s="27">
        <f>'Roll Up'!D146</f>
        <v>0</v>
      </c>
      <c r="E27" s="28">
        <f t="shared" si="0"/>
        <v>-485.01639999999998</v>
      </c>
      <c r="F27" s="20"/>
    </row>
    <row r="28" spans="1:6" x14ac:dyDescent="0.3">
      <c r="A28" s="18">
        <v>57</v>
      </c>
      <c r="B28" s="19" t="s">
        <v>27</v>
      </c>
      <c r="C28" s="26">
        <v>3615.5767999999998</v>
      </c>
      <c r="D28" s="27">
        <f>'Roll Up'!D154</f>
        <v>0</v>
      </c>
      <c r="E28" s="28">
        <f t="shared" si="0"/>
        <v>-3615.5767999999998</v>
      </c>
      <c r="F28" s="20"/>
    </row>
    <row r="29" spans="1:6" x14ac:dyDescent="0.3">
      <c r="A29" s="18">
        <v>71</v>
      </c>
      <c r="B29" s="19" t="s">
        <v>28</v>
      </c>
      <c r="C29" s="26">
        <v>3483.2995999999998</v>
      </c>
      <c r="D29" s="27">
        <f>'Roll Up'!D160</f>
        <v>0</v>
      </c>
      <c r="E29" s="28">
        <f t="shared" si="0"/>
        <v>-3483.2995999999998</v>
      </c>
      <c r="F29" s="20"/>
    </row>
    <row r="30" spans="1:6" x14ac:dyDescent="0.3">
      <c r="A30" s="18">
        <v>73</v>
      </c>
      <c r="B30" s="19" t="s">
        <v>29</v>
      </c>
      <c r="C30" s="26">
        <v>85.98017999999999</v>
      </c>
      <c r="D30" s="27">
        <f>'Roll Up'!D166</f>
        <v>0</v>
      </c>
      <c r="E30" s="28">
        <f t="shared" si="0"/>
        <v>-85.98017999999999</v>
      </c>
      <c r="F30" s="20"/>
    </row>
    <row r="31" spans="1:6" x14ac:dyDescent="0.3">
      <c r="A31" s="18">
        <v>75</v>
      </c>
      <c r="B31" s="19" t="s">
        <v>30</v>
      </c>
      <c r="C31" s="26">
        <v>59.524739999999994</v>
      </c>
      <c r="D31" s="27">
        <f>'Roll Up'!D170</f>
        <v>0</v>
      </c>
      <c r="E31" s="28">
        <f t="shared" si="0"/>
        <v>-59.524739999999994</v>
      </c>
      <c r="F31" s="20"/>
    </row>
    <row r="32" spans="1:6" x14ac:dyDescent="0.3">
      <c r="A32" s="18">
        <v>78</v>
      </c>
      <c r="B32" s="19" t="s">
        <v>31</v>
      </c>
      <c r="C32" s="26">
        <v>540.13189999999997</v>
      </c>
      <c r="D32" s="27">
        <f>'Roll Up'!D176</f>
        <v>0</v>
      </c>
      <c r="E32" s="28">
        <f t="shared" si="0"/>
        <v>-540.13189999999997</v>
      </c>
      <c r="F32" s="20"/>
    </row>
    <row r="33" spans="1:6" x14ac:dyDescent="0.3">
      <c r="A33" s="18">
        <v>79</v>
      </c>
      <c r="B33" s="19" t="s">
        <v>32</v>
      </c>
      <c r="C33" s="26">
        <v>85.98017999999999</v>
      </c>
      <c r="D33" s="27">
        <f>'Roll Up'!D181</f>
        <v>0</v>
      </c>
      <c r="E33" s="28">
        <f t="shared" si="0"/>
        <v>-85.98017999999999</v>
      </c>
      <c r="F33" s="20"/>
    </row>
    <row r="34" spans="1:6" x14ac:dyDescent="0.3">
      <c r="A34" s="21">
        <v>80</v>
      </c>
      <c r="B34" s="22" t="s">
        <v>33</v>
      </c>
      <c r="C34" s="29">
        <v>44.092399999999998</v>
      </c>
      <c r="D34" s="30">
        <f>'Roll Up'!D185</f>
        <v>0</v>
      </c>
      <c r="E34" s="31">
        <f t="shared" si="0"/>
        <v>-44.092399999999998</v>
      </c>
      <c r="F34" s="23"/>
    </row>
    <row r="37" spans="1:6" ht="15.6" x14ac:dyDescent="0.3">
      <c r="A37" s="12" t="s">
        <v>71</v>
      </c>
      <c r="B37" s="15" t="s">
        <v>48</v>
      </c>
      <c r="C37" s="16" t="s">
        <v>78</v>
      </c>
      <c r="D37" s="16" t="s">
        <v>79</v>
      </c>
      <c r="E37" s="16" t="s">
        <v>49</v>
      </c>
      <c r="F37" s="17" t="s">
        <v>3</v>
      </c>
    </row>
    <row r="38" spans="1:6" x14ac:dyDescent="0.3">
      <c r="A38" s="24" t="s">
        <v>50</v>
      </c>
      <c r="B38" s="19" t="s">
        <v>51</v>
      </c>
      <c r="C38" s="26">
        <v>23589.433999999997</v>
      </c>
      <c r="D38" s="27">
        <f>'Roll Up'!D189-'Roll Up'!D67</f>
        <v>0</v>
      </c>
      <c r="E38" s="32">
        <f>IF(C38="","",D38-C38)</f>
        <v>-23589.433999999997</v>
      </c>
      <c r="F38" s="20" t="s">
        <v>52</v>
      </c>
    </row>
    <row r="39" spans="1:6" x14ac:dyDescent="0.3">
      <c r="A39" s="24" t="s">
        <v>53</v>
      </c>
      <c r="B39" s="19" t="s">
        <v>54</v>
      </c>
      <c r="C39" s="26">
        <v>24300</v>
      </c>
      <c r="D39" s="28">
        <f>D38</f>
        <v>0</v>
      </c>
      <c r="E39" s="32">
        <f>IF(C39="","",D39-C39)</f>
        <v>-24300</v>
      </c>
      <c r="F39" s="20" t="s">
        <v>55</v>
      </c>
    </row>
    <row r="40" spans="1:6" x14ac:dyDescent="0.3">
      <c r="A40" s="24" t="s">
        <v>56</v>
      </c>
      <c r="B40" s="19" t="s">
        <v>57</v>
      </c>
      <c r="C40" s="26">
        <v>28660.059999999998</v>
      </c>
      <c r="D40" s="28">
        <f>D39</f>
        <v>0</v>
      </c>
      <c r="E40" s="32">
        <f>IF(C40="","",D40-C40)</f>
        <v>-28660.059999999998</v>
      </c>
      <c r="F40" s="20" t="s">
        <v>58</v>
      </c>
    </row>
    <row r="41" spans="1:6" x14ac:dyDescent="0.3">
      <c r="A41" s="24" t="s">
        <v>59</v>
      </c>
      <c r="B41" s="19" t="s">
        <v>60</v>
      </c>
      <c r="C41" s="26">
        <v>29100.983999999997</v>
      </c>
      <c r="D41" s="32"/>
      <c r="E41" s="32" t="str">
        <f>IF(OR(C41="",D41=""),"",D41-C41)</f>
        <v/>
      </c>
      <c r="F41" s="20" t="s">
        <v>61</v>
      </c>
    </row>
    <row r="42" spans="1:6" x14ac:dyDescent="0.3">
      <c r="A42" s="24" t="s">
        <v>62</v>
      </c>
      <c r="B42" s="19" t="s">
        <v>63</v>
      </c>
      <c r="C42" s="26">
        <v>37699.001999999993</v>
      </c>
      <c r="D42" s="32"/>
      <c r="E42" s="32" t="str">
        <f>IF(OR(C42="",D42=""),"",D42-C42)</f>
        <v/>
      </c>
      <c r="F42" s="20" t="s">
        <v>64</v>
      </c>
    </row>
    <row r="43" spans="1:6" x14ac:dyDescent="0.3">
      <c r="A43" s="24" t="s">
        <v>65</v>
      </c>
      <c r="B43" s="19" t="s">
        <v>66</v>
      </c>
      <c r="C43" s="26">
        <v>40565.007999999994</v>
      </c>
      <c r="D43" s="27">
        <f>'Roll Up'!D189</f>
        <v>0</v>
      </c>
      <c r="E43" s="32">
        <f>IF(C43="","",D43-C43)</f>
        <v>-40565.007999999994</v>
      </c>
      <c r="F43" s="20" t="s">
        <v>67</v>
      </c>
    </row>
    <row r="44" spans="1:6" x14ac:dyDescent="0.3">
      <c r="A44" s="25" t="s">
        <v>68</v>
      </c>
      <c r="B44" s="22" t="s">
        <v>69</v>
      </c>
      <c r="C44" s="29">
        <v>40785.469999999994</v>
      </c>
      <c r="D44" s="33"/>
      <c r="E44" s="33" t="str">
        <f>IF(OR(C44="",D44=""),"",D44-C44)</f>
        <v/>
      </c>
      <c r="F44" s="23" t="s">
        <v>70</v>
      </c>
    </row>
  </sheetData>
  <conditionalFormatting sqref="E5:E34">
    <cfRule type="cellIs" dxfId="37" priority="1" operator="greaterThan">
      <formula>0</formula>
    </cfRule>
  </conditionalFormatting>
  <conditionalFormatting sqref="E5:E34">
    <cfRule type="cellIs" dxfId="36" priority="2" operator="lessThan">
      <formula>0</formula>
    </cfRule>
  </conditionalFormatting>
  <conditionalFormatting sqref="E38:E44">
    <cfRule type="cellIs" dxfId="35" priority="3" operator="greaterThan">
      <formula>0</formula>
    </cfRule>
  </conditionalFormatting>
  <conditionalFormatting sqref="E38:E44">
    <cfRule type="cellIs" dxfId="34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P31"/>
  <sheetViews>
    <sheetView zoomScale="64"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16.6640625" customWidth="1"/>
    <col min="2" max="2" width="33.33203125" customWidth="1"/>
    <col min="3" max="11" width="16.6640625" customWidth="1"/>
    <col min="12" max="12" width="37" customWidth="1"/>
    <col min="14" max="14" width="74.109375" customWidth="1"/>
  </cols>
  <sheetData>
    <row r="1" spans="1:16" x14ac:dyDescent="0.3">
      <c r="A1" s="39" t="s">
        <v>43</v>
      </c>
      <c r="B1" s="39" t="s">
        <v>431</v>
      </c>
      <c r="C1" s="39" t="s">
        <v>432</v>
      </c>
      <c r="D1" s="39" t="s">
        <v>433</v>
      </c>
      <c r="E1" s="39" t="s">
        <v>434</v>
      </c>
      <c r="F1" s="39" t="s">
        <v>435</v>
      </c>
      <c r="G1" s="39" t="s">
        <v>436</v>
      </c>
      <c r="H1" s="39" t="s">
        <v>437</v>
      </c>
      <c r="I1" s="39" t="s">
        <v>438</v>
      </c>
      <c r="J1" s="39" t="s">
        <v>439</v>
      </c>
      <c r="K1" s="39" t="s">
        <v>440</v>
      </c>
      <c r="L1" s="39" t="s">
        <v>441</v>
      </c>
      <c r="M1" s="39" t="s">
        <v>442</v>
      </c>
      <c r="N1" s="39" t="s">
        <v>443</v>
      </c>
      <c r="O1" s="39" t="s">
        <v>444</v>
      </c>
      <c r="P1" s="39" t="s">
        <v>44</v>
      </c>
    </row>
    <row r="2" spans="1:16" x14ac:dyDescent="0.3">
      <c r="A2">
        <f>'Roll Up'!A12</f>
        <v>5200</v>
      </c>
      <c r="B2" t="str">
        <f>'Roll Up'!B12</f>
        <v>Door</v>
      </c>
      <c r="C2" t="s">
        <v>445</v>
      </c>
      <c r="D2" s="49">
        <f>'Roll Up'!C12</f>
        <v>103</v>
      </c>
      <c r="E2" s="49">
        <f>'Roll Up'!N12</f>
        <v>100</v>
      </c>
      <c r="F2" s="49">
        <f>'Roll Up'!O12</f>
        <v>-3</v>
      </c>
      <c r="G2" s="54">
        <f>'Roll Up'!D12</f>
        <v>8</v>
      </c>
      <c r="H2" s="54">
        <f>'Roll Up'!E12</f>
        <v>-2.5</v>
      </c>
      <c r="I2" s="54">
        <f>'Roll Up'!F12</f>
        <v>3</v>
      </c>
      <c r="J2" s="49">
        <f>'Roll Up'!G12</f>
        <v>824</v>
      </c>
      <c r="K2" s="49">
        <f>'Roll Up'!H12</f>
        <v>-257.5</v>
      </c>
      <c r="L2" s="49">
        <f>'Roll Up'!I12</f>
        <v>309</v>
      </c>
      <c r="M2" s="49">
        <f>'Roll Up'!J12</f>
        <v>51.5</v>
      </c>
      <c r="N2" s="49">
        <f>'Roll Up'!K12</f>
        <v>51.5</v>
      </c>
      <c r="O2">
        <f>'Roll Up'!L12</f>
        <v>0</v>
      </c>
      <c r="P2">
        <f>'Roll Up'!M12</f>
        <v>0</v>
      </c>
    </row>
    <row r="3" spans="1:16" x14ac:dyDescent="0.3">
      <c r="A3">
        <f>'Roll Up'!A13</f>
        <v>5300</v>
      </c>
      <c r="B3" t="str">
        <f>'Roll Up'!B13</f>
        <v>Fuselage</v>
      </c>
      <c r="C3" t="s">
        <v>445</v>
      </c>
      <c r="D3" s="49">
        <f>'Roll Up'!C13</f>
        <v>1785</v>
      </c>
      <c r="E3" s="49">
        <f>'Roll Up'!N13</f>
        <v>1800</v>
      </c>
      <c r="F3" s="49">
        <f>'Roll Up'!O13</f>
        <v>15</v>
      </c>
      <c r="G3" s="54">
        <f>'Roll Up'!D13</f>
        <v>16.595518207282915</v>
      </c>
      <c r="H3" s="54">
        <f>'Roll Up'!E13</f>
        <v>0</v>
      </c>
      <c r="I3" s="54">
        <f>'Roll Up'!F13</f>
        <v>2.7512605042016807</v>
      </c>
      <c r="J3" s="49">
        <f>'Roll Up'!G13</f>
        <v>29623.000000000004</v>
      </c>
      <c r="K3" s="49">
        <f>'Roll Up'!H13</f>
        <v>0</v>
      </c>
      <c r="L3" s="49">
        <f>'Roll Up'!I13</f>
        <v>4911</v>
      </c>
      <c r="M3" s="49">
        <f>'Roll Up'!J13</f>
        <v>892.5</v>
      </c>
      <c r="N3" s="49">
        <f>'Roll Up'!K13</f>
        <v>892.5</v>
      </c>
      <c r="O3">
        <f>'Roll Up'!L13</f>
        <v>0</v>
      </c>
      <c r="P3">
        <f>'Roll Up'!M13</f>
        <v>0</v>
      </c>
    </row>
    <row r="4" spans="1:16" x14ac:dyDescent="0.3">
      <c r="A4">
        <f>'Roll Up'!A14</f>
        <v>5500</v>
      </c>
      <c r="B4" t="str">
        <f>'Roll Up'!B14</f>
        <v>V-Tail</v>
      </c>
      <c r="C4" t="s">
        <v>445</v>
      </c>
      <c r="D4" s="49">
        <f>'Roll Up'!C14</f>
        <v>330</v>
      </c>
      <c r="E4" s="49">
        <f>'Roll Up'!N14</f>
        <v>330</v>
      </c>
      <c r="F4" s="49">
        <f>'Roll Up'!O14</f>
        <v>0</v>
      </c>
      <c r="G4" s="54">
        <f>'Roll Up'!D14</f>
        <v>32.103030303030302</v>
      </c>
      <c r="H4" s="54">
        <f>'Roll Up'!E14</f>
        <v>0.72727272727272729</v>
      </c>
      <c r="I4" s="54">
        <f>'Roll Up'!F14</f>
        <v>5.9030303030303033</v>
      </c>
      <c r="J4" s="49">
        <f>'Roll Up'!G14</f>
        <v>10594</v>
      </c>
      <c r="K4" s="49">
        <f>'Roll Up'!H14</f>
        <v>240</v>
      </c>
      <c r="L4" s="49">
        <f>'Roll Up'!I14</f>
        <v>1948</v>
      </c>
      <c r="M4" s="49">
        <f>'Roll Up'!J14</f>
        <v>165</v>
      </c>
      <c r="N4" s="49">
        <f>'Roll Up'!K14</f>
        <v>165</v>
      </c>
      <c r="O4">
        <f>'Roll Up'!L14</f>
        <v>0</v>
      </c>
      <c r="P4" t="str">
        <f>'Roll Up'!M14</f>
        <v>Combined HTP+VTP ruddervators</v>
      </c>
    </row>
    <row r="5" spans="1:16" x14ac:dyDescent="0.3">
      <c r="A5">
        <f>'Roll Up'!A15</f>
        <v>5600</v>
      </c>
      <c r="B5" t="str">
        <f>'Roll Up'!B15</f>
        <v>Windows</v>
      </c>
      <c r="C5" t="s">
        <v>445</v>
      </c>
      <c r="D5" s="49">
        <f>'Roll Up'!C15</f>
        <v>124</v>
      </c>
      <c r="E5" s="49">
        <f>'Roll Up'!N15</f>
        <v>125</v>
      </c>
      <c r="F5" s="49">
        <f>'Roll Up'!O15</f>
        <v>1</v>
      </c>
      <c r="G5" s="54">
        <f>'Roll Up'!D15</f>
        <v>9.1612903225806459</v>
      </c>
      <c r="H5" s="54">
        <f>'Roll Up'!E15</f>
        <v>2.2129032258064516</v>
      </c>
      <c r="I5" s="54">
        <f>'Roll Up'!F15</f>
        <v>4.725806451612903</v>
      </c>
      <c r="J5" s="49">
        <f>'Roll Up'!G15</f>
        <v>1136</v>
      </c>
      <c r="K5" s="49">
        <f>'Roll Up'!H15</f>
        <v>274.39999999999998</v>
      </c>
      <c r="L5" s="49">
        <f>'Roll Up'!I15</f>
        <v>586</v>
      </c>
      <c r="M5" s="49">
        <f>'Roll Up'!J15</f>
        <v>30.800000000000004</v>
      </c>
      <c r="N5" s="49">
        <f>'Roll Up'!K15</f>
        <v>30.800000000000004</v>
      </c>
      <c r="O5">
        <f>'Roll Up'!L15</f>
        <v>0</v>
      </c>
      <c r="P5">
        <f>'Roll Up'!M15</f>
        <v>0</v>
      </c>
    </row>
    <row r="6" spans="1:16" x14ac:dyDescent="0.3">
      <c r="A6">
        <f>'Roll Up'!A16</f>
        <v>5700</v>
      </c>
      <c r="B6" t="str">
        <f>'Roll Up'!B16</f>
        <v>Wings</v>
      </c>
      <c r="C6" t="s">
        <v>445</v>
      </c>
      <c r="D6" s="49">
        <f>'Roll Up'!C16</f>
        <v>1158</v>
      </c>
      <c r="E6" s="49">
        <f>'Roll Up'!N16</f>
        <v>1160</v>
      </c>
      <c r="F6" s="49">
        <f>'Roll Up'!O16</f>
        <v>2</v>
      </c>
      <c r="G6" s="54">
        <f>'Roll Up'!D16</f>
        <v>17.26511226252159</v>
      </c>
      <c r="H6" s="54">
        <f>'Roll Up'!E16</f>
        <v>1.4093264248704662</v>
      </c>
      <c r="I6" s="54">
        <f>'Roll Up'!F16</f>
        <v>2</v>
      </c>
      <c r="J6" s="49">
        <f>'Roll Up'!G16</f>
        <v>19993</v>
      </c>
      <c r="K6" s="49">
        <f>'Roll Up'!H16</f>
        <v>1631.9999999999998</v>
      </c>
      <c r="L6" s="49">
        <f>'Roll Up'!I16</f>
        <v>2316</v>
      </c>
      <c r="M6" s="49">
        <f>'Roll Up'!J16</f>
        <v>579</v>
      </c>
      <c r="N6" s="49">
        <f>'Roll Up'!K16</f>
        <v>579</v>
      </c>
      <c r="O6">
        <f>'Roll Up'!L16</f>
        <v>0</v>
      </c>
      <c r="P6">
        <f>'Roll Up'!M16</f>
        <v>0</v>
      </c>
    </row>
    <row r="7" spans="1:16" x14ac:dyDescent="0.3">
      <c r="A7">
        <f>'Roll Up'!A17</f>
        <v>3200</v>
      </c>
      <c r="B7" t="str">
        <f>'Roll Up'!B17</f>
        <v>Landing Gear</v>
      </c>
      <c r="C7" t="s">
        <v>445</v>
      </c>
      <c r="D7" s="49">
        <f>'Roll Up'!C17</f>
        <v>970</v>
      </c>
      <c r="E7" s="49">
        <f>'Roll Up'!N17</f>
        <v>970</v>
      </c>
      <c r="F7" s="49">
        <f>'Roll Up'!O17</f>
        <v>0</v>
      </c>
      <c r="G7" s="54">
        <f>'Roll Up'!D17</f>
        <v>16.020618556701031</v>
      </c>
      <c r="H7" s="54">
        <f>'Roll Up'!E17</f>
        <v>4.0206185567010309</v>
      </c>
      <c r="I7" s="54">
        <f>'Roll Up'!F17</f>
        <v>0.52319587628865982</v>
      </c>
      <c r="J7" s="49">
        <f>'Roll Up'!G17</f>
        <v>15540</v>
      </c>
      <c r="K7" s="49">
        <f>'Roll Up'!H17</f>
        <v>3900</v>
      </c>
      <c r="L7" s="49">
        <f>'Roll Up'!I17</f>
        <v>507.5</v>
      </c>
      <c r="M7" s="49">
        <f>'Roll Up'!J17</f>
        <v>485</v>
      </c>
      <c r="N7" s="49">
        <f>'Roll Up'!K17</f>
        <v>485</v>
      </c>
      <c r="O7">
        <f>'Roll Up'!L17</f>
        <v>0</v>
      </c>
      <c r="P7">
        <f>'Roll Up'!M17</f>
        <v>0</v>
      </c>
    </row>
    <row r="8" spans="1:16" x14ac:dyDescent="0.3">
      <c r="A8">
        <f>'Roll Up'!A20</f>
        <v>2100</v>
      </c>
      <c r="B8" t="str">
        <f>'Roll Up'!B20</f>
        <v>Air Conditioning</v>
      </c>
      <c r="C8" t="s">
        <v>446</v>
      </c>
      <c r="D8" s="49">
        <f>'Roll Up'!C20</f>
        <v>78</v>
      </c>
      <c r="E8" s="49">
        <f>'Roll Up'!N20</f>
        <v>80</v>
      </c>
      <c r="F8" s="49">
        <f>'Roll Up'!O20</f>
        <v>2</v>
      </c>
      <c r="G8" s="54">
        <f>'Roll Up'!D20</f>
        <v>17.743589743589745</v>
      </c>
      <c r="H8" s="54">
        <f>'Roll Up'!E20</f>
        <v>0.42307692307692307</v>
      </c>
      <c r="I8" s="54">
        <f>'Roll Up'!F20</f>
        <v>2.5576923076923075</v>
      </c>
      <c r="J8" s="49">
        <f>'Roll Up'!G20</f>
        <v>1384</v>
      </c>
      <c r="K8" s="49">
        <f>'Roll Up'!H20</f>
        <v>33</v>
      </c>
      <c r="L8" s="49">
        <f>'Roll Up'!I20</f>
        <v>199.49999999999997</v>
      </c>
      <c r="M8" s="49">
        <f>'Roll Up'!J20</f>
        <v>39</v>
      </c>
      <c r="N8" s="49">
        <f>'Roll Up'!K20</f>
        <v>39</v>
      </c>
      <c r="O8">
        <f>'Roll Up'!L20</f>
        <v>0</v>
      </c>
      <c r="P8">
        <f>'Roll Up'!M20</f>
        <v>0</v>
      </c>
    </row>
    <row r="9" spans="1:16" x14ac:dyDescent="0.3">
      <c r="A9">
        <f>'Roll Up'!A21</f>
        <v>2700</v>
      </c>
      <c r="B9" t="str">
        <f>'Roll Up'!B21</f>
        <v>Flight Controls</v>
      </c>
      <c r="C9" t="s">
        <v>446</v>
      </c>
      <c r="D9" s="49">
        <f>'Roll Up'!C21</f>
        <v>220</v>
      </c>
      <c r="E9" s="49">
        <f>'Roll Up'!N21</f>
        <v>220</v>
      </c>
      <c r="F9" s="49">
        <f>'Roll Up'!O21</f>
        <v>0</v>
      </c>
      <c r="G9" s="54">
        <f>'Roll Up'!D21</f>
        <v>19.645454545454545</v>
      </c>
      <c r="H9" s="54">
        <f>'Roll Up'!E21</f>
        <v>3.7454545454545456</v>
      </c>
      <c r="I9" s="54">
        <f>'Roll Up'!F21</f>
        <v>3.9295454545454547</v>
      </c>
      <c r="J9" s="49">
        <f>'Roll Up'!G21</f>
        <v>4322</v>
      </c>
      <c r="K9" s="49">
        <f>'Roll Up'!H21</f>
        <v>824</v>
      </c>
      <c r="L9" s="49">
        <f>'Roll Up'!I21</f>
        <v>864.5</v>
      </c>
      <c r="M9" s="49">
        <f>'Roll Up'!J21</f>
        <v>102.8</v>
      </c>
      <c r="N9" s="49">
        <f>'Roll Up'!K21</f>
        <v>102.8</v>
      </c>
      <c r="O9">
        <f>'Roll Up'!L21</f>
        <v>0</v>
      </c>
      <c r="P9">
        <f>'Roll Up'!M21</f>
        <v>0</v>
      </c>
    </row>
    <row r="10" spans="1:16" x14ac:dyDescent="0.3">
      <c r="A10">
        <f>'Roll Up'!A22</f>
        <v>2800</v>
      </c>
      <c r="B10" t="str">
        <f>'Roll Up'!B22</f>
        <v>Fuel System</v>
      </c>
      <c r="C10" t="s">
        <v>446</v>
      </c>
      <c r="D10" s="49">
        <f>'Roll Up'!C22</f>
        <v>220</v>
      </c>
      <c r="E10" s="49">
        <f>'Roll Up'!N22</f>
        <v>220</v>
      </c>
      <c r="F10" s="49">
        <f>'Roll Up'!O22</f>
        <v>0</v>
      </c>
      <c r="G10" s="54">
        <f>'Roll Up'!D22</f>
        <v>18.045454545454547</v>
      </c>
      <c r="H10" s="54">
        <f>'Roll Up'!E22</f>
        <v>0</v>
      </c>
      <c r="I10" s="54">
        <f>'Roll Up'!F22</f>
        <v>2.0327272727272727</v>
      </c>
      <c r="J10" s="49">
        <f>'Roll Up'!G22</f>
        <v>3970.0000000000005</v>
      </c>
      <c r="K10" s="49">
        <f>'Roll Up'!H22</f>
        <v>0</v>
      </c>
      <c r="L10" s="49">
        <f>'Roll Up'!I22</f>
        <v>447.2</v>
      </c>
      <c r="M10" s="49">
        <f>'Roll Up'!J22</f>
        <v>110</v>
      </c>
      <c r="N10" s="49">
        <f>'Roll Up'!K22</f>
        <v>110</v>
      </c>
      <c r="O10">
        <f>'Roll Up'!L22</f>
        <v>0</v>
      </c>
      <c r="P10" t="str">
        <f>'Roll Up'!M22</f>
        <v>Plumbing/pumps only (fuel mass in Fuel block below)</v>
      </c>
    </row>
    <row r="11" spans="1:16" x14ac:dyDescent="0.3">
      <c r="A11">
        <f>'Roll Up'!A23</f>
        <v>2900</v>
      </c>
      <c r="B11" t="str">
        <f>'Roll Up'!B23</f>
        <v>Hydraulic Power</v>
      </c>
      <c r="C11" t="s">
        <v>446</v>
      </c>
      <c r="D11" s="49">
        <f>'Roll Up'!C23</f>
        <v>90</v>
      </c>
      <c r="E11" s="49">
        <f>'Roll Up'!N23</f>
        <v>90</v>
      </c>
      <c r="F11" s="49">
        <f>'Roll Up'!O23</f>
        <v>0</v>
      </c>
      <c r="G11" s="54">
        <f>'Roll Up'!D23</f>
        <v>20.133333333333333</v>
      </c>
      <c r="H11" s="54">
        <f>'Roll Up'!E23</f>
        <v>1.4222222222222223</v>
      </c>
      <c r="I11" s="54">
        <f>'Roll Up'!F23</f>
        <v>2.8444444444444446</v>
      </c>
      <c r="J11" s="49">
        <f>'Roll Up'!G23</f>
        <v>1812</v>
      </c>
      <c r="K11" s="49">
        <f>'Roll Up'!H23</f>
        <v>128</v>
      </c>
      <c r="L11" s="49">
        <f>'Roll Up'!I23</f>
        <v>256</v>
      </c>
      <c r="M11" s="49">
        <f>'Roll Up'!J23</f>
        <v>45</v>
      </c>
      <c r="N11" s="49">
        <f>'Roll Up'!K23</f>
        <v>45</v>
      </c>
      <c r="O11">
        <f>'Roll Up'!L23</f>
        <v>0</v>
      </c>
      <c r="P11">
        <f>'Roll Up'!M23</f>
        <v>0</v>
      </c>
    </row>
    <row r="12" spans="1:16" x14ac:dyDescent="0.3">
      <c r="A12">
        <f>'Roll Up'!A24</f>
        <v>3000</v>
      </c>
      <c r="B12" t="str">
        <f>'Roll Up'!B24</f>
        <v>Ice &amp; Rain Protection</v>
      </c>
      <c r="C12" t="s">
        <v>446</v>
      </c>
      <c r="D12" s="49">
        <f>'Roll Up'!C24</f>
        <v>67</v>
      </c>
      <c r="E12" s="49">
        <f>'Roll Up'!N24</f>
        <v>70</v>
      </c>
      <c r="F12" s="49">
        <f>'Roll Up'!O24</f>
        <v>3</v>
      </c>
      <c r="G12" s="54">
        <f>'Roll Up'!D24</f>
        <v>14.388059701492537</v>
      </c>
      <c r="H12" s="54">
        <f>'Roll Up'!E24</f>
        <v>0.94029850746268662</v>
      </c>
      <c r="I12" s="54">
        <f>'Roll Up'!F24</f>
        <v>3.8955223880597014</v>
      </c>
      <c r="J12" s="49">
        <f>'Roll Up'!G24</f>
        <v>964</v>
      </c>
      <c r="K12" s="49">
        <f>'Roll Up'!H24</f>
        <v>63</v>
      </c>
      <c r="L12" s="49">
        <f>'Roll Up'!I24</f>
        <v>261</v>
      </c>
      <c r="M12" s="49">
        <f>'Roll Up'!J24</f>
        <v>33.5</v>
      </c>
      <c r="N12" s="49">
        <f>'Roll Up'!K24</f>
        <v>33.5</v>
      </c>
      <c r="O12">
        <f>'Roll Up'!L24</f>
        <v>0</v>
      </c>
      <c r="P12">
        <f>'Roll Up'!M24</f>
        <v>0</v>
      </c>
    </row>
    <row r="13" spans="1:16" x14ac:dyDescent="0.3">
      <c r="A13">
        <f>'Roll Up'!A25</f>
        <v>3500</v>
      </c>
      <c r="B13" t="str">
        <f>'Roll Up'!B25</f>
        <v>Oxygen</v>
      </c>
      <c r="C13" t="s">
        <v>446</v>
      </c>
      <c r="D13" s="49">
        <f>'Roll Up'!C25</f>
        <v>48</v>
      </c>
      <c r="E13" s="49">
        <f>'Roll Up'!N25</f>
        <v>50</v>
      </c>
      <c r="F13" s="49">
        <f>'Roll Up'!O25</f>
        <v>2</v>
      </c>
      <c r="G13" s="54">
        <f>'Roll Up'!D25</f>
        <v>9.5416666666666661</v>
      </c>
      <c r="H13" s="54">
        <f>'Roll Up'!E25</f>
        <v>0</v>
      </c>
      <c r="I13" s="54">
        <f>'Roll Up'!F25</f>
        <v>3</v>
      </c>
      <c r="J13" s="49">
        <f>'Roll Up'!G25</f>
        <v>458</v>
      </c>
      <c r="K13" s="49">
        <f>'Roll Up'!H25</f>
        <v>0</v>
      </c>
      <c r="L13" s="49">
        <f>'Roll Up'!I25</f>
        <v>144</v>
      </c>
      <c r="M13" s="49">
        <f>'Roll Up'!J25</f>
        <v>17.399999999999999</v>
      </c>
      <c r="N13" s="49">
        <f>'Roll Up'!K25</f>
        <v>17.399999999999999</v>
      </c>
      <c r="O13">
        <f>'Roll Up'!L25</f>
        <v>0</v>
      </c>
      <c r="P13">
        <f>'Roll Up'!M25</f>
        <v>0</v>
      </c>
    </row>
    <row r="14" spans="1:16" x14ac:dyDescent="0.3">
      <c r="A14">
        <f>'Roll Up'!A26</f>
        <v>3600</v>
      </c>
      <c r="B14" t="str">
        <f>'Roll Up'!B26</f>
        <v>Pneumatic</v>
      </c>
      <c r="C14" t="s">
        <v>446</v>
      </c>
      <c r="D14" s="49">
        <f>'Roll Up'!C26</f>
        <v>58</v>
      </c>
      <c r="E14" s="49">
        <f>'Roll Up'!N26</f>
        <v>60</v>
      </c>
      <c r="F14" s="49">
        <f>'Roll Up'!O26</f>
        <v>2</v>
      </c>
      <c r="G14" s="54">
        <f>'Roll Up'!D26</f>
        <v>25</v>
      </c>
      <c r="H14" s="54">
        <f>'Roll Up'!E26</f>
        <v>0</v>
      </c>
      <c r="I14" s="54">
        <f>'Roll Up'!F26</f>
        <v>2.5</v>
      </c>
      <c r="J14" s="49">
        <f>'Roll Up'!G26</f>
        <v>1450</v>
      </c>
      <c r="K14" s="49">
        <f>'Roll Up'!H26</f>
        <v>0</v>
      </c>
      <c r="L14" s="49">
        <f>'Roll Up'!I26</f>
        <v>145</v>
      </c>
      <c r="M14" s="49">
        <f>'Roll Up'!J26</f>
        <v>29</v>
      </c>
      <c r="N14" s="49">
        <f>'Roll Up'!K26</f>
        <v>29</v>
      </c>
      <c r="O14">
        <f>'Roll Up'!L26</f>
        <v>0</v>
      </c>
      <c r="P14">
        <f>'Roll Up'!M26</f>
        <v>0</v>
      </c>
    </row>
    <row r="15" spans="1:16" x14ac:dyDescent="0.3">
      <c r="A15">
        <f>'Roll Up'!A27</f>
        <v>3800</v>
      </c>
      <c r="B15" t="str">
        <f>'Roll Up'!B27</f>
        <v>Water &amp; Waste</v>
      </c>
      <c r="C15" t="s">
        <v>446</v>
      </c>
      <c r="D15" s="49">
        <f>'Roll Up'!C27</f>
        <v>46</v>
      </c>
      <c r="E15" s="49">
        <f>'Roll Up'!N27</f>
        <v>45</v>
      </c>
      <c r="F15" s="49">
        <f>'Roll Up'!O27</f>
        <v>-1</v>
      </c>
      <c r="G15" s="54">
        <f>'Roll Up'!D27</f>
        <v>22.086956521739129</v>
      </c>
      <c r="H15" s="54">
        <f>'Roll Up'!E27</f>
        <v>0</v>
      </c>
      <c r="I15" s="54">
        <f>'Roll Up'!F27</f>
        <v>1.9565217391304348</v>
      </c>
      <c r="J15" s="49">
        <f>'Roll Up'!G27</f>
        <v>1015.9999999999999</v>
      </c>
      <c r="K15" s="49">
        <f>'Roll Up'!H27</f>
        <v>0</v>
      </c>
      <c r="L15" s="49">
        <f>'Roll Up'!I27</f>
        <v>90</v>
      </c>
      <c r="M15" s="49">
        <f>'Roll Up'!J27</f>
        <v>23</v>
      </c>
      <c r="N15" s="49">
        <f>'Roll Up'!K27</f>
        <v>23</v>
      </c>
      <c r="O15">
        <f>'Roll Up'!L27</f>
        <v>0</v>
      </c>
      <c r="P15">
        <f>'Roll Up'!M27</f>
        <v>0</v>
      </c>
    </row>
    <row r="16" spans="1:16" x14ac:dyDescent="0.3">
      <c r="A16" t="str">
        <f>'Roll Up'!A30</f>
        <v>2400LV</v>
      </c>
      <c r="B16" t="str">
        <f>'Roll Up'!B30</f>
        <v>Electrical Power (Low Voltage)</v>
      </c>
      <c r="C16" t="s">
        <v>122</v>
      </c>
      <c r="D16" s="49">
        <f>'Roll Up'!C30</f>
        <v>386</v>
      </c>
      <c r="E16" s="49">
        <f>'Roll Up'!N30</f>
        <v>400</v>
      </c>
      <c r="F16" s="49">
        <f>'Roll Up'!O30</f>
        <v>14</v>
      </c>
      <c r="G16" s="54">
        <f>'Roll Up'!D30</f>
        <v>12.160621761658032</v>
      </c>
      <c r="H16" s="54">
        <f>'Roll Up'!E30</f>
        <v>0</v>
      </c>
      <c r="I16" s="54">
        <f>'Roll Up'!F30</f>
        <v>2.5984455958549222</v>
      </c>
      <c r="J16" s="49">
        <f>'Roll Up'!G30</f>
        <v>4694</v>
      </c>
      <c r="K16" s="49">
        <f>'Roll Up'!H30</f>
        <v>0</v>
      </c>
      <c r="L16" s="49">
        <f>'Roll Up'!I30</f>
        <v>1003</v>
      </c>
      <c r="M16" s="49">
        <f>'Roll Up'!J30</f>
        <v>157</v>
      </c>
      <c r="N16" s="49">
        <f>'Roll Up'!K30</f>
        <v>157</v>
      </c>
      <c r="O16">
        <f>'Roll Up'!L30</f>
        <v>0</v>
      </c>
      <c r="P16">
        <f>'Roll Up'!M30</f>
        <v>0</v>
      </c>
    </row>
    <row r="17" spans="1:16" x14ac:dyDescent="0.3">
      <c r="A17" t="str">
        <f>'Roll Up'!A31</f>
        <v>2400HV</v>
      </c>
      <c r="B17" t="str">
        <f>'Roll Up'!B31</f>
        <v>Electrical Power (High Voltage Hybrid)</v>
      </c>
      <c r="C17" t="s">
        <v>122</v>
      </c>
      <c r="D17" s="49">
        <f>'Roll Up'!C31</f>
        <v>580</v>
      </c>
      <c r="E17" s="49">
        <f>'Roll Up'!N31</f>
        <v>600</v>
      </c>
      <c r="F17" s="49">
        <f>'Roll Up'!O31</f>
        <v>20</v>
      </c>
      <c r="G17" s="54">
        <f>'Roll Up'!D31</f>
        <v>18.448275862068964</v>
      </c>
      <c r="H17" s="54">
        <f>'Roll Up'!E31</f>
        <v>1.1724137931034482</v>
      </c>
      <c r="I17" s="54">
        <f>'Roll Up'!F31</f>
        <v>2.0301724137931036</v>
      </c>
      <c r="J17" s="49">
        <f>'Roll Up'!G31</f>
        <v>10700</v>
      </c>
      <c r="K17" s="49">
        <f>'Roll Up'!H31</f>
        <v>679.99999999999989</v>
      </c>
      <c r="L17" s="49">
        <f>'Roll Up'!I31</f>
        <v>1177.5000000000002</v>
      </c>
      <c r="M17" s="49">
        <f>'Roll Up'!J31</f>
        <v>290</v>
      </c>
      <c r="N17" s="49">
        <f>'Roll Up'!K31</f>
        <v>290</v>
      </c>
      <c r="O17">
        <f>'Roll Up'!L31</f>
        <v>0</v>
      </c>
      <c r="P17" t="str">
        <f>'Roll Up'!M31</f>
        <v>Generators, inverters, motor controllers, HV cables</v>
      </c>
    </row>
    <row r="18" spans="1:16" x14ac:dyDescent="0.3">
      <c r="A18">
        <f>'Roll Up'!A32</f>
        <v>3300</v>
      </c>
      <c r="B18" t="str">
        <f>'Roll Up'!B32</f>
        <v>Lights</v>
      </c>
      <c r="C18" t="s">
        <v>122</v>
      </c>
      <c r="D18" s="49">
        <f>'Roll Up'!C32</f>
        <v>28.5</v>
      </c>
      <c r="E18" s="49">
        <f>'Roll Up'!N32</f>
        <v>30</v>
      </c>
      <c r="F18" s="49">
        <f>'Roll Up'!O32</f>
        <v>1.5</v>
      </c>
      <c r="G18" s="54">
        <f>'Roll Up'!D32</f>
        <v>12.473684210526315</v>
      </c>
      <c r="H18" s="54">
        <f>'Roll Up'!E32</f>
        <v>0.73684210526315785</v>
      </c>
      <c r="I18" s="54">
        <f>'Roll Up'!F32</f>
        <v>4.2719298245614032</v>
      </c>
      <c r="J18" s="49">
        <f>'Roll Up'!G32</f>
        <v>355.5</v>
      </c>
      <c r="K18" s="49">
        <f>'Roll Up'!H32</f>
        <v>21</v>
      </c>
      <c r="L18" s="49">
        <f>'Roll Up'!I32</f>
        <v>121.74999999999999</v>
      </c>
      <c r="M18" s="49">
        <f>'Roll Up'!J32</f>
        <v>10.874999999999998</v>
      </c>
      <c r="N18" s="49">
        <f>'Roll Up'!K32</f>
        <v>10.874999999999998</v>
      </c>
      <c r="O18">
        <f>'Roll Up'!L32</f>
        <v>0</v>
      </c>
      <c r="P18">
        <f>'Roll Up'!M32</f>
        <v>0</v>
      </c>
    </row>
    <row r="19" spans="1:16" x14ac:dyDescent="0.3">
      <c r="A19">
        <f>'Roll Up'!A35</f>
        <v>2200</v>
      </c>
      <c r="B19" t="str">
        <f>'Roll Up'!B35</f>
        <v>Auto Flight</v>
      </c>
      <c r="C19" t="s">
        <v>120</v>
      </c>
      <c r="D19" s="49">
        <f>'Roll Up'!C35</f>
        <v>16</v>
      </c>
      <c r="E19" s="49">
        <f>'Roll Up'!N35</f>
        <v>15</v>
      </c>
      <c r="F19" s="49">
        <f>'Roll Up'!O35</f>
        <v>-1</v>
      </c>
      <c r="G19" s="54">
        <f>'Roll Up'!D35</f>
        <v>11.75</v>
      </c>
      <c r="H19" s="54">
        <f>'Roll Up'!E35</f>
        <v>0</v>
      </c>
      <c r="I19" s="54">
        <f>'Roll Up'!F35</f>
        <v>4</v>
      </c>
      <c r="J19" s="49">
        <f>'Roll Up'!G35</f>
        <v>188</v>
      </c>
      <c r="K19" s="49">
        <f>'Roll Up'!H35</f>
        <v>0</v>
      </c>
      <c r="L19" s="49">
        <f>'Roll Up'!I35</f>
        <v>64</v>
      </c>
      <c r="M19" s="49">
        <f>'Roll Up'!J35</f>
        <v>4.4000000000000004</v>
      </c>
      <c r="N19" s="49">
        <f>'Roll Up'!K35</f>
        <v>4.4000000000000004</v>
      </c>
      <c r="O19">
        <f>'Roll Up'!L35</f>
        <v>0</v>
      </c>
      <c r="P19">
        <f>'Roll Up'!M35</f>
        <v>0</v>
      </c>
    </row>
    <row r="20" spans="1:16" x14ac:dyDescent="0.3">
      <c r="A20">
        <f>'Roll Up'!A36</f>
        <v>2300</v>
      </c>
      <c r="B20" t="str">
        <f>'Roll Up'!B36</f>
        <v>Communications</v>
      </c>
      <c r="C20" t="s">
        <v>120</v>
      </c>
      <c r="D20" s="49">
        <f>'Roll Up'!C36</f>
        <v>37</v>
      </c>
      <c r="E20" s="49">
        <f>'Roll Up'!N36</f>
        <v>35</v>
      </c>
      <c r="F20" s="49">
        <f>'Roll Up'!O36</f>
        <v>-2</v>
      </c>
      <c r="G20" s="54">
        <f>'Roll Up'!D36</f>
        <v>13.810810810810811</v>
      </c>
      <c r="H20" s="54">
        <f>'Roll Up'!E36</f>
        <v>0</v>
      </c>
      <c r="I20" s="54">
        <f>'Roll Up'!F36</f>
        <v>5.3918918918918921</v>
      </c>
      <c r="J20" s="49">
        <f>'Roll Up'!G36</f>
        <v>511</v>
      </c>
      <c r="K20" s="49">
        <f>'Roll Up'!H36</f>
        <v>0</v>
      </c>
      <c r="L20" s="49">
        <f>'Roll Up'!I36</f>
        <v>199.5</v>
      </c>
      <c r="M20" s="49">
        <f>'Roll Up'!J36</f>
        <v>15.5</v>
      </c>
      <c r="N20" s="49">
        <f>'Roll Up'!K36</f>
        <v>15.5</v>
      </c>
      <c r="O20">
        <f>'Roll Up'!L36</f>
        <v>0</v>
      </c>
      <c r="P20">
        <f>'Roll Up'!M36</f>
        <v>0</v>
      </c>
    </row>
    <row r="21" spans="1:16" x14ac:dyDescent="0.3">
      <c r="A21">
        <f>'Roll Up'!A37</f>
        <v>3100</v>
      </c>
      <c r="B21" t="str">
        <f>'Roll Up'!B37</f>
        <v>Instruments</v>
      </c>
      <c r="C21" t="s">
        <v>120</v>
      </c>
      <c r="D21" s="49">
        <f>'Roll Up'!C37</f>
        <v>61</v>
      </c>
      <c r="E21" s="49">
        <f>'Roll Up'!N37</f>
        <v>60</v>
      </c>
      <c r="F21" s="49">
        <f>'Roll Up'!O37</f>
        <v>-1</v>
      </c>
      <c r="G21" s="54">
        <f>'Roll Up'!D37</f>
        <v>12.409836065573771</v>
      </c>
      <c r="H21" s="54">
        <f>'Roll Up'!E37</f>
        <v>0.26229508196721313</v>
      </c>
      <c r="I21" s="54">
        <f>'Roll Up'!F37</f>
        <v>4.0081967213114753</v>
      </c>
      <c r="J21" s="49">
        <f>'Roll Up'!G37</f>
        <v>757</v>
      </c>
      <c r="K21" s="49">
        <f>'Roll Up'!H37</f>
        <v>16</v>
      </c>
      <c r="L21" s="49">
        <f>'Roll Up'!I37</f>
        <v>244.5</v>
      </c>
      <c r="M21" s="49">
        <f>'Roll Up'!J37</f>
        <v>11.450000000000001</v>
      </c>
      <c r="N21" s="49">
        <f>'Roll Up'!K37</f>
        <v>11.450000000000001</v>
      </c>
      <c r="O21">
        <f>'Roll Up'!L37</f>
        <v>0</v>
      </c>
      <c r="P21">
        <f>'Roll Up'!M37</f>
        <v>0</v>
      </c>
    </row>
    <row r="22" spans="1:16" x14ac:dyDescent="0.3">
      <c r="A22">
        <f>'Roll Up'!A38</f>
        <v>3400</v>
      </c>
      <c r="B22" t="str">
        <f>'Roll Up'!B38</f>
        <v>Navigation</v>
      </c>
      <c r="C22" t="s">
        <v>120</v>
      </c>
      <c r="D22" s="49">
        <f>'Roll Up'!C38</f>
        <v>90</v>
      </c>
      <c r="E22" s="49">
        <f>'Roll Up'!N38</f>
        <v>90</v>
      </c>
      <c r="F22" s="49">
        <f>'Roll Up'!O38</f>
        <v>0</v>
      </c>
      <c r="G22" s="54">
        <f>'Roll Up'!D38</f>
        <v>4.8666666666666663</v>
      </c>
      <c r="H22" s="54">
        <f>'Roll Up'!E38</f>
        <v>0</v>
      </c>
      <c r="I22" s="54">
        <f>'Roll Up'!F38</f>
        <v>3.6666666666666665</v>
      </c>
      <c r="J22" s="49">
        <f>'Roll Up'!G38</f>
        <v>437.99999999999994</v>
      </c>
      <c r="K22" s="49">
        <f>'Roll Up'!H38</f>
        <v>0</v>
      </c>
      <c r="L22" s="49">
        <f>'Roll Up'!I38</f>
        <v>330</v>
      </c>
      <c r="M22" s="49">
        <f>'Roll Up'!J38</f>
        <v>31.8</v>
      </c>
      <c r="N22" s="49">
        <f>'Roll Up'!K38</f>
        <v>31.8</v>
      </c>
      <c r="O22">
        <f>'Roll Up'!L38</f>
        <v>0</v>
      </c>
      <c r="P22">
        <f>'Roll Up'!M38</f>
        <v>0</v>
      </c>
    </row>
    <row r="23" spans="1:16" x14ac:dyDescent="0.3">
      <c r="A23">
        <f>'Roll Up'!A41</f>
        <v>7100</v>
      </c>
      <c r="B23" t="str">
        <f>'Roll Up'!B41</f>
        <v>Duality Engines</v>
      </c>
      <c r="C23" t="s">
        <v>447</v>
      </c>
      <c r="D23" s="49">
        <f>'Roll Up'!C41</f>
        <v>856</v>
      </c>
      <c r="E23" s="49">
        <f>'Roll Up'!N41</f>
        <v>850</v>
      </c>
      <c r="F23" s="49">
        <f>'Roll Up'!O41</f>
        <v>-6</v>
      </c>
      <c r="G23" s="54">
        <f>'Roll Up'!D41</f>
        <v>28.503504672897197</v>
      </c>
      <c r="H23" s="54">
        <f>'Roll Up'!E41</f>
        <v>0</v>
      </c>
      <c r="I23" s="54">
        <f>'Roll Up'!F41</f>
        <v>3</v>
      </c>
      <c r="J23" s="49">
        <f>'Roll Up'!G41</f>
        <v>24399</v>
      </c>
      <c r="K23" s="49">
        <f>'Roll Up'!H41</f>
        <v>0</v>
      </c>
      <c r="L23" s="49">
        <f>'Roll Up'!I41</f>
        <v>2568</v>
      </c>
      <c r="M23" s="49">
        <f>'Roll Up'!J41</f>
        <v>428</v>
      </c>
      <c r="N23" s="49">
        <f>'Roll Up'!K41</f>
        <v>428</v>
      </c>
      <c r="O23">
        <f>'Roll Up'!L41</f>
        <v>0</v>
      </c>
      <c r="P23" t="str">
        <f>'Roll Up'!M41</f>
        <v>Intake, 2-stage fan, motors, burner, nozzle (LH + RH)</v>
      </c>
    </row>
    <row r="24" spans="1:16" x14ac:dyDescent="0.3">
      <c r="A24" t="str">
        <f>'Roll Up'!A42</f>
        <v>7100T</v>
      </c>
      <c r="B24" t="str">
        <f>'Roll Up'!B42</f>
        <v>Turbo Generator</v>
      </c>
      <c r="C24" t="s">
        <v>447</v>
      </c>
      <c r="D24" s="49">
        <f>'Roll Up'!C42</f>
        <v>526</v>
      </c>
      <c r="E24" s="49">
        <f>'Roll Up'!N42</f>
        <v>525</v>
      </c>
      <c r="F24" s="49">
        <f>'Roll Up'!O42</f>
        <v>-1</v>
      </c>
      <c r="G24" s="54">
        <f>'Roll Up'!D42</f>
        <v>27.074144486692017</v>
      </c>
      <c r="H24" s="54">
        <f>'Roll Up'!E42</f>
        <v>0</v>
      </c>
      <c r="I24" s="54">
        <f>'Roll Up'!F42</f>
        <v>4.0522813688212924</v>
      </c>
      <c r="J24" s="49">
        <f>'Roll Up'!G42</f>
        <v>14241</v>
      </c>
      <c r="K24" s="49">
        <f>'Roll Up'!H42</f>
        <v>0</v>
      </c>
      <c r="L24" s="49">
        <f>'Roll Up'!I42</f>
        <v>2131.5</v>
      </c>
      <c r="M24" s="49">
        <f>'Roll Up'!J42</f>
        <v>263</v>
      </c>
      <c r="N24" s="49">
        <f>'Roll Up'!K42</f>
        <v>263</v>
      </c>
      <c r="O24">
        <f>'Roll Up'!L42</f>
        <v>0</v>
      </c>
      <c r="P24" t="str">
        <f>'Roll Up'!M42</f>
        <v>Turbine + generator powering duality motors</v>
      </c>
    </row>
    <row r="25" spans="1:16" x14ac:dyDescent="0.3">
      <c r="A25">
        <f>'Roll Up'!A43</f>
        <v>7300</v>
      </c>
      <c r="B25" t="str">
        <f>'Roll Up'!B43</f>
        <v>Engine Fuel &amp; Control</v>
      </c>
      <c r="C25" t="s">
        <v>447</v>
      </c>
      <c r="D25" s="49">
        <f>'Roll Up'!C43</f>
        <v>75</v>
      </c>
      <c r="E25" s="49">
        <f>'Roll Up'!N43</f>
        <v>75</v>
      </c>
      <c r="F25" s="49">
        <f>'Roll Up'!O43</f>
        <v>0</v>
      </c>
      <c r="G25" s="54">
        <f>'Roll Up'!D43</f>
        <v>27.84</v>
      </c>
      <c r="H25" s="54">
        <f>'Roll Up'!E43</f>
        <v>1.6</v>
      </c>
      <c r="I25" s="54">
        <f>'Roll Up'!F43</f>
        <v>3.2933333333333334</v>
      </c>
      <c r="J25" s="49">
        <f>'Roll Up'!G43</f>
        <v>2088</v>
      </c>
      <c r="K25" s="49">
        <f>'Roll Up'!H43</f>
        <v>120</v>
      </c>
      <c r="L25" s="49">
        <f>'Roll Up'!I43</f>
        <v>247</v>
      </c>
      <c r="M25" s="49">
        <f>'Roll Up'!J43</f>
        <v>37.5</v>
      </c>
      <c r="N25" s="49">
        <f>'Roll Up'!K43</f>
        <v>37.5</v>
      </c>
      <c r="O25">
        <f>'Roll Up'!L43</f>
        <v>0</v>
      </c>
      <c r="P25">
        <f>'Roll Up'!M43</f>
        <v>0</v>
      </c>
    </row>
    <row r="26" spans="1:16" x14ac:dyDescent="0.3">
      <c r="A26">
        <f>'Roll Up'!A44</f>
        <v>7500</v>
      </c>
      <c r="B26" t="str">
        <f>'Roll Up'!B44</f>
        <v>Air (Intakes)</v>
      </c>
      <c r="C26" t="s">
        <v>447</v>
      </c>
      <c r="D26" s="49">
        <f>'Roll Up'!C44</f>
        <v>62</v>
      </c>
      <c r="E26" s="49">
        <f>'Roll Up'!N44</f>
        <v>60</v>
      </c>
      <c r="F26" s="49">
        <f>'Roll Up'!O44</f>
        <v>-2</v>
      </c>
      <c r="G26" s="54">
        <f>'Roll Up'!D44</f>
        <v>20</v>
      </c>
      <c r="H26" s="54">
        <f>'Roll Up'!E44</f>
        <v>0</v>
      </c>
      <c r="I26" s="54">
        <f>'Roll Up'!F44</f>
        <v>3.5806451612903225</v>
      </c>
      <c r="J26" s="49">
        <f>'Roll Up'!G44</f>
        <v>1240</v>
      </c>
      <c r="K26" s="49">
        <f>'Roll Up'!H44</f>
        <v>0</v>
      </c>
      <c r="L26" s="49">
        <f>'Roll Up'!I44</f>
        <v>222</v>
      </c>
      <c r="M26" s="49">
        <f>'Roll Up'!J44</f>
        <v>31</v>
      </c>
      <c r="N26" s="49">
        <f>'Roll Up'!K44</f>
        <v>31</v>
      </c>
      <c r="O26">
        <f>'Roll Up'!L44</f>
        <v>0</v>
      </c>
      <c r="P26" t="str">
        <f>'Roll Up'!M44</f>
        <v>2 duality + 1 turbogen intakes</v>
      </c>
    </row>
    <row r="27" spans="1:16" x14ac:dyDescent="0.3">
      <c r="A27">
        <f>'Roll Up'!A45</f>
        <v>7800</v>
      </c>
      <c r="B27" t="str">
        <f>'Roll Up'!B45</f>
        <v>Exhaust</v>
      </c>
      <c r="C27" t="s">
        <v>447</v>
      </c>
      <c r="D27" s="49">
        <f>'Roll Up'!C45</f>
        <v>58</v>
      </c>
      <c r="E27" s="49">
        <f>'Roll Up'!N45</f>
        <v>60</v>
      </c>
      <c r="F27" s="49">
        <f>'Roll Up'!O45</f>
        <v>2</v>
      </c>
      <c r="G27" s="54">
        <f>'Roll Up'!D45</f>
        <v>31.931034482758619</v>
      </c>
      <c r="H27" s="54">
        <f>'Roll Up'!E45</f>
        <v>0</v>
      </c>
      <c r="I27" s="54">
        <f>'Roll Up'!F45</f>
        <v>3</v>
      </c>
      <c r="J27" s="49">
        <f>'Roll Up'!G45</f>
        <v>1852</v>
      </c>
      <c r="K27" s="49">
        <f>'Roll Up'!H45</f>
        <v>0</v>
      </c>
      <c r="L27" s="49">
        <f>'Roll Up'!I45</f>
        <v>174</v>
      </c>
      <c r="M27" s="49">
        <f>'Roll Up'!J45</f>
        <v>29</v>
      </c>
      <c r="N27" s="49">
        <f>'Roll Up'!K45</f>
        <v>29</v>
      </c>
      <c r="O27">
        <f>'Roll Up'!L45</f>
        <v>0</v>
      </c>
      <c r="P27">
        <f>'Roll Up'!M45</f>
        <v>0</v>
      </c>
    </row>
    <row r="28" spans="1:16" x14ac:dyDescent="0.3">
      <c r="A28">
        <f>'Roll Up'!A46</f>
        <v>8000</v>
      </c>
      <c r="B28" t="str">
        <f>'Roll Up'!B46</f>
        <v>Starting</v>
      </c>
      <c r="C28" t="s">
        <v>447</v>
      </c>
      <c r="D28" s="49">
        <f>'Roll Up'!C46</f>
        <v>26</v>
      </c>
      <c r="E28" s="49">
        <f>'Roll Up'!N46</f>
        <v>25</v>
      </c>
      <c r="F28" s="49">
        <f>'Roll Up'!O46</f>
        <v>-1</v>
      </c>
      <c r="G28" s="54">
        <f>'Roll Up'!D46</f>
        <v>27.923076923076923</v>
      </c>
      <c r="H28" s="54">
        <f>'Roll Up'!E46</f>
        <v>0.92307692307692313</v>
      </c>
      <c r="I28" s="54">
        <f>'Roll Up'!F46</f>
        <v>3.3461538461538463</v>
      </c>
      <c r="J28" s="49">
        <f>'Roll Up'!G46</f>
        <v>726</v>
      </c>
      <c r="K28" s="49">
        <f>'Roll Up'!H46</f>
        <v>24</v>
      </c>
      <c r="L28" s="49">
        <f>'Roll Up'!I46</f>
        <v>87</v>
      </c>
      <c r="M28" s="49">
        <f>'Roll Up'!J46</f>
        <v>13</v>
      </c>
      <c r="N28" s="49">
        <f>'Roll Up'!K46</f>
        <v>13</v>
      </c>
      <c r="O28">
        <f>'Roll Up'!L46</f>
        <v>0</v>
      </c>
      <c r="P28">
        <f>'Roll Up'!M46</f>
        <v>0</v>
      </c>
    </row>
    <row r="29" spans="1:16" x14ac:dyDescent="0.3">
      <c r="A29">
        <f>'Roll Up'!A49</f>
        <v>2500</v>
      </c>
      <c r="B29" t="str">
        <f>'Roll Up'!B49</f>
        <v>Equipment &amp; Furnishings</v>
      </c>
      <c r="C29" t="s">
        <v>448</v>
      </c>
      <c r="D29" s="49">
        <f>'Roll Up'!C49</f>
        <v>695</v>
      </c>
      <c r="E29" s="49">
        <f>'Roll Up'!N49</f>
        <v>700</v>
      </c>
      <c r="F29" s="49">
        <f>'Roll Up'!O49</f>
        <v>5</v>
      </c>
      <c r="G29" s="54">
        <f>'Roll Up'!D49</f>
        <v>14.03956834532374</v>
      </c>
      <c r="H29" s="54">
        <f>'Roll Up'!E49</f>
        <v>0.63669064748201443</v>
      </c>
      <c r="I29" s="54">
        <f>'Roll Up'!F49</f>
        <v>3.0949640287769786</v>
      </c>
      <c r="J29" s="49">
        <f>'Roll Up'!G49</f>
        <v>9757.5</v>
      </c>
      <c r="K29" s="49">
        <f>'Roll Up'!H49</f>
        <v>442.5</v>
      </c>
      <c r="L29" s="49">
        <f>'Roll Up'!I49</f>
        <v>2151</v>
      </c>
      <c r="M29" s="49">
        <f>'Roll Up'!J49</f>
        <v>259</v>
      </c>
      <c r="N29" s="49">
        <f>'Roll Up'!K49</f>
        <v>259</v>
      </c>
      <c r="O29">
        <f>'Roll Up'!L49</f>
        <v>0</v>
      </c>
      <c r="P29">
        <f>'Roll Up'!M49</f>
        <v>0</v>
      </c>
    </row>
    <row r="30" spans="1:16" x14ac:dyDescent="0.3">
      <c r="A30">
        <f>'Roll Up'!A50</f>
        <v>2600</v>
      </c>
      <c r="B30" t="str">
        <f>'Roll Up'!B50</f>
        <v>Fire Protection</v>
      </c>
      <c r="C30" t="s">
        <v>448</v>
      </c>
      <c r="D30" s="49">
        <f>'Roll Up'!C50</f>
        <v>60</v>
      </c>
      <c r="E30" s="49">
        <f>'Roll Up'!N50</f>
        <v>60</v>
      </c>
      <c r="F30" s="49">
        <f>'Roll Up'!O50</f>
        <v>0</v>
      </c>
      <c r="G30" s="54">
        <f>'Roll Up'!D50</f>
        <v>20.166666666666668</v>
      </c>
      <c r="H30" s="54">
        <f>'Roll Up'!E50</f>
        <v>2</v>
      </c>
      <c r="I30" s="54">
        <f>'Roll Up'!F50</f>
        <v>2.5833333333333335</v>
      </c>
      <c r="J30" s="49">
        <f>'Roll Up'!G50</f>
        <v>1210</v>
      </c>
      <c r="K30" s="49">
        <f>'Roll Up'!H50</f>
        <v>120</v>
      </c>
      <c r="L30" s="49">
        <f>'Roll Up'!I50</f>
        <v>155</v>
      </c>
      <c r="M30" s="49">
        <f>'Roll Up'!J50</f>
        <v>16.5</v>
      </c>
      <c r="N30" s="49">
        <f>'Roll Up'!K50</f>
        <v>16.5</v>
      </c>
      <c r="O30">
        <f>'Roll Up'!L50</f>
        <v>0</v>
      </c>
      <c r="P30">
        <f>'Roll Up'!M50</f>
        <v>0</v>
      </c>
    </row>
    <row r="31" spans="1:16" x14ac:dyDescent="0.3">
      <c r="A31" s="2" t="s">
        <v>82</v>
      </c>
      <c r="B31" s="2"/>
      <c r="C31" s="2" t="s">
        <v>393</v>
      </c>
      <c r="D31" s="60">
        <f>'Roll Up'!C53</f>
        <v>8853.5</v>
      </c>
      <c r="E31" s="60">
        <f>'Roll Up'!N53</f>
        <v>8905</v>
      </c>
      <c r="F31" s="60">
        <f>'Roll Up'!O53</f>
        <v>51.5</v>
      </c>
      <c r="G31" s="61">
        <f>'Roll Up'!D53</f>
        <v>18.777093804710002</v>
      </c>
      <c r="H31" s="61">
        <f>'Roll Up'!E53</f>
        <v>0.9330095442480375</v>
      </c>
      <c r="I31" s="61">
        <f>'Roll Up'!F53</f>
        <v>2.6950302140396456</v>
      </c>
      <c r="J31" s="60">
        <f>'Roll Up'!G53</f>
        <v>166243</v>
      </c>
      <c r="K31" s="60">
        <f>'Roll Up'!H53</f>
        <v>8260.4</v>
      </c>
      <c r="L31" s="60">
        <f>'Roll Up'!I53</f>
        <v>23860.45</v>
      </c>
      <c r="M31" s="60">
        <f>'Roll Up'!J53</f>
        <v>4201.5249999999996</v>
      </c>
      <c r="N31" s="60">
        <f>'Roll Up'!K53</f>
        <v>4201.5249999999996</v>
      </c>
      <c r="O31" s="2"/>
      <c r="P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O86"/>
  <sheetViews>
    <sheetView topLeftCell="B1" zoomScale="50" workbookViewId="0">
      <selection activeCell="G16" sqref="G16"/>
    </sheetView>
  </sheetViews>
  <sheetFormatPr defaultRowHeight="14.4" x14ac:dyDescent="0.3"/>
  <cols>
    <col min="1" max="1" width="11.109375" customWidth="1"/>
    <col min="2" max="2" width="37" customWidth="1"/>
    <col min="3" max="6" width="20.33203125" customWidth="1"/>
    <col min="7" max="7" width="29.6640625" customWidth="1"/>
    <col min="9" max="9" width="9.44140625" bestFit="1" customWidth="1"/>
    <col min="10" max="10" width="14.109375" bestFit="1" customWidth="1"/>
  </cols>
  <sheetData>
    <row r="1" spans="1:15" ht="18" x14ac:dyDescent="0.35">
      <c r="A1" s="5" t="s">
        <v>80</v>
      </c>
    </row>
    <row r="3" spans="1:15" ht="45" customHeight="1" x14ac:dyDescent="0.3">
      <c r="A3" t="s">
        <v>418</v>
      </c>
    </row>
    <row r="5" spans="1:15" x14ac:dyDescent="0.3">
      <c r="A5" s="39" t="s">
        <v>1</v>
      </c>
      <c r="B5" s="39" t="s">
        <v>48</v>
      </c>
      <c r="C5" s="39" t="s">
        <v>81</v>
      </c>
      <c r="D5" s="39" t="s">
        <v>86</v>
      </c>
      <c r="E5" s="39" t="s">
        <v>87</v>
      </c>
      <c r="F5" s="39" t="s">
        <v>90</v>
      </c>
      <c r="G5" s="39" t="s">
        <v>419</v>
      </c>
      <c r="I5" s="39" t="s">
        <v>453</v>
      </c>
      <c r="J5" s="39" t="s">
        <v>454</v>
      </c>
      <c r="K5" s="39" t="s">
        <v>455</v>
      </c>
      <c r="M5" s="39" t="s">
        <v>456</v>
      </c>
      <c r="N5" s="39" t="s">
        <v>457</v>
      </c>
      <c r="O5" s="39" t="s">
        <v>458</v>
      </c>
    </row>
    <row r="6" spans="1:15" x14ac:dyDescent="0.3">
      <c r="A6">
        <v>5200</v>
      </c>
      <c r="B6" t="s">
        <v>100</v>
      </c>
      <c r="C6" s="49">
        <f>'Roll Up'!C12</f>
        <v>103</v>
      </c>
      <c r="D6" s="49">
        <f>('Roll Up'!J12-'Roll Up'!K12)/3</f>
        <v>0</v>
      </c>
      <c r="E6" s="49">
        <f>C6+D6</f>
        <v>103</v>
      </c>
      <c r="F6" s="49">
        <f>SQRT(('Roll Up'!J12^2+'Roll Up'!K12^2-'Roll Up'!J12*'Roll Up'!K12)/18)</f>
        <v>12.138666410369066</v>
      </c>
      <c r="G6" t="str">
        <f>"["&amp;TEXT(E6-1.96*F6,"#,##0")&amp;" – "&amp;TEXT(E6+1.96*F6,"#,##0")&amp;"]"</f>
        <v>[79 – 127]</v>
      </c>
      <c r="I6">
        <v>7567.6074148454081</v>
      </c>
      <c r="J6">
        <f>IF(I6&lt;=$B$39, _xlfn.NORM.DIST(I6,$D$39,$F$39,FALSE), NA())</f>
        <v>4.1630297059001521E-7</v>
      </c>
      <c r="K6" t="e">
        <f>IF(I6&gt;=$B$39, _xlfn.NORM.DIST(I6,$D$39,$F$39,FALSE), NA())</f>
        <v>#N/A</v>
      </c>
      <c r="M6" t="s">
        <v>459</v>
      </c>
      <c r="N6">
        <v>8905</v>
      </c>
      <c r="O6">
        <v>0</v>
      </c>
    </row>
    <row r="7" spans="1:15" x14ac:dyDescent="0.3">
      <c r="A7">
        <v>5300</v>
      </c>
      <c r="B7" t="s">
        <v>23</v>
      </c>
      <c r="C7" s="49">
        <f>'Roll Up'!C13</f>
        <v>1785</v>
      </c>
      <c r="D7" s="49">
        <f>('Roll Up'!J13-'Roll Up'!K13)/3</f>
        <v>0</v>
      </c>
      <c r="E7" s="49">
        <f>C7+D7</f>
        <v>1785</v>
      </c>
      <c r="F7" s="49">
        <f>SQRT(('Roll Up'!J13^2+'Roll Up'!K13^2-'Roll Up'!J13*'Roll Up'!K13)/18)</f>
        <v>210.36426740299788</v>
      </c>
      <c r="G7" t="str">
        <f>"["&amp;TEXT(E7-1.96*F7,"#,##0")&amp;" – "&amp;TEXT(E7+1.96*F7,"#,##0")&amp;"]"</f>
        <v>[1,373 – 2,197]</v>
      </c>
      <c r="I7">
        <v>7599.7547294742726</v>
      </c>
      <c r="J7">
        <f>IF(I7&lt;=$B$39, _xlfn.NORM.DIST(I7,$D$39,$F$39,FALSE), NA())</f>
        <v>6.1795354817723254E-7</v>
      </c>
      <c r="K7" t="e">
        <f>IF(I7&gt;=$B$39, _xlfn.NORM.DIST(I7,$D$39,$F$39,FALSE), NA())</f>
        <v>#N/A</v>
      </c>
      <c r="M7" t="str">
        <f>"Target"</f>
        <v>Target</v>
      </c>
      <c r="N7" s="49">
        <f>$B$39</f>
        <v>8905</v>
      </c>
      <c r="O7">
        <f>1.05/($F$39*SQRT(2*PI()))</f>
        <v>1.3030307484700066E-3</v>
      </c>
    </row>
    <row r="8" spans="1:15" x14ac:dyDescent="0.3">
      <c r="A8">
        <v>5500</v>
      </c>
      <c r="B8" t="s">
        <v>101</v>
      </c>
      <c r="C8" s="49">
        <f>'Roll Up'!C14</f>
        <v>330</v>
      </c>
      <c r="D8" s="49">
        <f>('Roll Up'!J14-'Roll Up'!K14)/3</f>
        <v>0</v>
      </c>
      <c r="E8" s="49">
        <f>C8+D8</f>
        <v>330</v>
      </c>
      <c r="F8" s="49">
        <f>SQRT(('Roll Up'!J14^2+'Roll Up'!K14^2-'Roll Up'!J14*'Roll Up'!K14)/18)</f>
        <v>38.890872965260115</v>
      </c>
      <c r="G8" t="str">
        <f>"["&amp;TEXT(E8-1.96*F8,"#,##0")&amp;" – "&amp;TEXT(E8+1.96*F8,"#,##0")&amp;"]"</f>
        <v>[254 – 406]</v>
      </c>
      <c r="I8">
        <v>7631.902044103138</v>
      </c>
      <c r="J8">
        <f>IF(I8&lt;=$B$39, _xlfn.NORM.DIST(I8,$D$39,$F$39,FALSE), NA())</f>
        <v>9.0815338438663733E-7</v>
      </c>
      <c r="K8" t="e">
        <f>IF(I8&gt;=$B$39, _xlfn.NORM.DIST(I8,$D$39,$F$39,FALSE), NA())</f>
        <v>#N/A</v>
      </c>
      <c r="M8" t="s">
        <v>460</v>
      </c>
      <c r="N8">
        <v>8853.5</v>
      </c>
      <c r="O8">
        <v>0</v>
      </c>
    </row>
    <row r="9" spans="1:15" x14ac:dyDescent="0.3">
      <c r="A9">
        <v>5600</v>
      </c>
      <c r="B9" t="s">
        <v>26</v>
      </c>
      <c r="C9" s="49">
        <f>'Roll Up'!C15</f>
        <v>124</v>
      </c>
      <c r="D9" s="49">
        <f>('Roll Up'!J15-'Roll Up'!K15)/3</f>
        <v>0</v>
      </c>
      <c r="E9" s="49">
        <f>C9+D9</f>
        <v>124</v>
      </c>
      <c r="F9" s="49">
        <f>SQRT(('Roll Up'!J15^2+'Roll Up'!K15^2-'Roll Up'!J15*'Roll Up'!K15)/18)</f>
        <v>7.2596296201818884</v>
      </c>
      <c r="G9" t="str">
        <f>"["&amp;TEXT(E9-1.96*F9,"#,##0")&amp;" – "&amp;TEXT(E9+1.96*F9,"#,##0")&amp;"]"</f>
        <v>[110 – 138]</v>
      </c>
      <c r="I9">
        <v>7664.0493587320025</v>
      </c>
      <c r="J9">
        <f>IF(I9&lt;=$B$39, _xlfn.NORM.DIST(I9,$D$39,$F$39,FALSE), NA())</f>
        <v>1.3213553774390172E-6</v>
      </c>
      <c r="K9" t="e">
        <f>IF(I9&gt;=$B$39, _xlfn.NORM.DIST(I9,$D$39,$F$39,FALSE), NA())</f>
        <v>#N/A</v>
      </c>
      <c r="M9" t="str">
        <f>"Adjusted Mean"</f>
        <v>Adjusted Mean</v>
      </c>
      <c r="N9" s="49">
        <f>$D$39</f>
        <v>8853.5</v>
      </c>
      <c r="O9">
        <f>1.05/($F$39*SQRT(2*PI()))</f>
        <v>1.3030307484700066E-3</v>
      </c>
    </row>
    <row r="10" spans="1:15" x14ac:dyDescent="0.3">
      <c r="A10">
        <v>5700</v>
      </c>
      <c r="B10" t="s">
        <v>27</v>
      </c>
      <c r="C10" s="49">
        <f>'Roll Up'!C16</f>
        <v>1158</v>
      </c>
      <c r="D10" s="49">
        <f>('Roll Up'!J16-'Roll Up'!K16)/3</f>
        <v>0</v>
      </c>
      <c r="E10" s="49">
        <f>C10+D10</f>
        <v>1158</v>
      </c>
      <c r="F10" s="49">
        <f>SQRT(('Roll Up'!J16^2+'Roll Up'!K16^2-'Roll Up'!J16*'Roll Up'!K16)/18)</f>
        <v>136.47160876900367</v>
      </c>
      <c r="G10" t="str">
        <f>"["&amp;TEXT(E10-1.96*F10,"#,##0")&amp;" – "&amp;TEXT(E10+1.96*F10,"#,##0")&amp;"]"</f>
        <v>[891 – 1,425]</v>
      </c>
      <c r="I10">
        <v>7696.196673360867</v>
      </c>
      <c r="J10">
        <f>IF(I10&lt;=$B$39, _xlfn.NORM.DIST(I10,$D$39,$F$39,FALSE), NA())</f>
        <v>1.9034309309441972E-6</v>
      </c>
      <c r="K10" t="e">
        <f>IF(I10&gt;=$B$39, _xlfn.NORM.DIST(I10,$D$39,$F$39,FALSE), NA())</f>
        <v>#N/A</v>
      </c>
      <c r="M10" t="str">
        <f>"P95"</f>
        <v>P95</v>
      </c>
      <c r="N10">
        <f>$D$39+1.96*$F$39</f>
        <v>9483.5873667257492</v>
      </c>
      <c r="O10">
        <f>0</f>
        <v>0</v>
      </c>
    </row>
    <row r="11" spans="1:15" x14ac:dyDescent="0.3">
      <c r="A11">
        <v>3200</v>
      </c>
      <c r="B11" t="s">
        <v>15</v>
      </c>
      <c r="C11" s="49">
        <f>'Roll Up'!C17</f>
        <v>970</v>
      </c>
      <c r="D11" s="49">
        <f>('Roll Up'!J17-'Roll Up'!K17)/3</f>
        <v>0</v>
      </c>
      <c r="E11" s="49">
        <f>C11+D11</f>
        <v>970</v>
      </c>
      <c r="F11" s="49">
        <f>SQRT(('Roll Up'!J17^2+'Roll Up'!K17^2-'Roll Up'!J17*'Roll Up'!K17)/18)</f>
        <v>114.31559629182517</v>
      </c>
      <c r="G11" t="str">
        <f>"["&amp;TEXT(E11-1.96*F11,"#,##0")&amp;" – "&amp;TEXT(E11+1.96*F11,"#,##0")&amp;"]"</f>
        <v>[746 – 1,194]</v>
      </c>
      <c r="I11">
        <v>7728.3439879897323</v>
      </c>
      <c r="J11">
        <f>IF(I11&lt;=$B$39, _xlfn.NORM.DIST(I11,$D$39,$F$39,FALSE), NA())</f>
        <v>2.7146363704736196E-6</v>
      </c>
      <c r="K11" t="e">
        <f>IF(I11&gt;=$B$39, _xlfn.NORM.DIST(I11,$D$39,$F$39,FALSE), NA())</f>
        <v>#N/A</v>
      </c>
      <c r="M11" t="str">
        <f>"P95"</f>
        <v>P95</v>
      </c>
      <c r="N11">
        <f>$D$39+1.96*$F$39</f>
        <v>9483.5873667257492</v>
      </c>
      <c r="O11">
        <f>1.05/($F$39*SQRT(2*PI()))</f>
        <v>1.3030307484700066E-3</v>
      </c>
    </row>
    <row r="12" spans="1:15" x14ac:dyDescent="0.3">
      <c r="A12">
        <v>2100</v>
      </c>
      <c r="B12" t="s">
        <v>4</v>
      </c>
      <c r="C12" s="49">
        <f>'Roll Up'!C20</f>
        <v>78</v>
      </c>
      <c r="D12" s="49">
        <f>('Roll Up'!J20-'Roll Up'!K20)/3</f>
        <v>0</v>
      </c>
      <c r="E12" s="49">
        <f>C12+D12</f>
        <v>78</v>
      </c>
      <c r="F12" s="49">
        <f>SQRT(('Roll Up'!J20^2+'Roll Up'!K20^2-'Roll Up'!J20*'Roll Up'!K20)/18)</f>
        <v>9.1923881554251174</v>
      </c>
      <c r="G12" t="str">
        <f>"["&amp;TEXT(E12-1.96*F12,"#,##0")&amp;" – "&amp;TEXT(E12+1.96*F12,"#,##0")&amp;"]"</f>
        <v>[60 – 96]</v>
      </c>
      <c r="I12">
        <v>7760.4913026185968</v>
      </c>
      <c r="J12">
        <f>IF(I12&lt;=$B$39, _xlfn.NORM.DIST(I12,$D$39,$F$39,FALSE), NA())</f>
        <v>3.8330391906719441E-6</v>
      </c>
      <c r="K12" t="e">
        <f>IF(I12&gt;=$B$39, _xlfn.NORM.DIST(I12,$D$39,$F$39,FALSE), NA())</f>
        <v>#N/A</v>
      </c>
    </row>
    <row r="13" spans="1:15" x14ac:dyDescent="0.3">
      <c r="A13">
        <v>2700</v>
      </c>
      <c r="B13" t="s">
        <v>10</v>
      </c>
      <c r="C13" s="49">
        <f>'Roll Up'!C21</f>
        <v>220</v>
      </c>
      <c r="D13" s="49">
        <f>('Roll Up'!J21-'Roll Up'!K21)/3</f>
        <v>0</v>
      </c>
      <c r="E13" s="49">
        <f>C13+D13</f>
        <v>220</v>
      </c>
      <c r="F13" s="49">
        <f>SQRT(('Roll Up'!J21^2+'Roll Up'!K21^2-'Roll Up'!J21*'Roll Up'!K21)/18)</f>
        <v>24.230192368659029</v>
      </c>
      <c r="G13" t="str">
        <f>"["&amp;TEXT(E13-1.96*F13,"#,##0")&amp;" – "&amp;TEXT(E13+1.96*F13,"#,##0")&amp;"]"</f>
        <v>[173 – 267]</v>
      </c>
      <c r="I13">
        <v>7792.6386172474613</v>
      </c>
      <c r="J13">
        <f>IF(I13&lt;=$B$39, _xlfn.NORM.DIST(I13,$D$39,$F$39,FALSE), NA())</f>
        <v>5.3583602827807365E-6</v>
      </c>
      <c r="K13" t="e">
        <f>IF(I13&gt;=$B$39, _xlfn.NORM.DIST(I13,$D$39,$F$39,FALSE), NA())</f>
        <v>#N/A</v>
      </c>
    </row>
    <row r="14" spans="1:15" x14ac:dyDescent="0.3">
      <c r="A14">
        <v>2800</v>
      </c>
      <c r="B14" t="s">
        <v>374</v>
      </c>
      <c r="C14" s="49">
        <f>'Roll Up'!C22</f>
        <v>220</v>
      </c>
      <c r="D14" s="49">
        <f>('Roll Up'!J22-'Roll Up'!K22)/3</f>
        <v>0</v>
      </c>
      <c r="E14" s="49">
        <f>C14+D14</f>
        <v>220</v>
      </c>
      <c r="F14" s="49">
        <f>SQRT(('Roll Up'!J22^2+'Roll Up'!K22^2-'Roll Up'!J22*'Roll Up'!K22)/18)</f>
        <v>25.92724864350674</v>
      </c>
      <c r="G14" t="str">
        <f>"["&amp;TEXT(E14-1.96*F14,"#,##0")&amp;" – "&amp;TEXT(E14+1.96*F14,"#,##0")&amp;"]"</f>
        <v>[169 – 271]</v>
      </c>
      <c r="I14">
        <v>7824.7859318763267</v>
      </c>
      <c r="J14">
        <f>IF(I14&lt;=$B$39, _xlfn.NORM.DIST(I14,$D$39,$F$39,FALSE), NA())</f>
        <v>7.4161348435746732E-6</v>
      </c>
      <c r="K14" t="e">
        <f>IF(I14&gt;=$B$39, _xlfn.NORM.DIST(I14,$D$39,$F$39,FALSE), NA())</f>
        <v>#N/A</v>
      </c>
    </row>
    <row r="15" spans="1:15" x14ac:dyDescent="0.3">
      <c r="A15">
        <v>2900</v>
      </c>
      <c r="B15" t="s">
        <v>12</v>
      </c>
      <c r="C15" s="49">
        <f>'Roll Up'!C23</f>
        <v>90</v>
      </c>
      <c r="D15" s="49">
        <f>('Roll Up'!J23-'Roll Up'!K23)/3</f>
        <v>0</v>
      </c>
      <c r="E15" s="49">
        <f>C15+D15</f>
        <v>90</v>
      </c>
      <c r="F15" s="49">
        <f>SQRT(('Roll Up'!J23^2+'Roll Up'!K23^2-'Roll Up'!J23*'Roll Up'!K23)/18)</f>
        <v>10.606601717798213</v>
      </c>
      <c r="G15" t="str">
        <f>"["&amp;TEXT(E15-1.96*F15,"#,##0")&amp;" – "&amp;TEXT(E15+1.96*F15,"#,##0")&amp;"]"</f>
        <v>[69 – 111]</v>
      </c>
      <c r="I15">
        <v>7856.9332465051912</v>
      </c>
      <c r="J15">
        <f>IF(I15&lt;=$B$39, _xlfn.NORM.DIST(I15,$D$39,$F$39,FALSE), NA())</f>
        <v>1.0162027820720781E-5</v>
      </c>
      <c r="K15" t="e">
        <f>IF(I15&gt;=$B$39, _xlfn.NORM.DIST(I15,$D$39,$F$39,FALSE), NA())</f>
        <v>#N/A</v>
      </c>
    </row>
    <row r="16" spans="1:15" x14ac:dyDescent="0.3">
      <c r="A16">
        <v>3000</v>
      </c>
      <c r="B16" t="s">
        <v>420</v>
      </c>
      <c r="C16" s="49">
        <f>'Roll Up'!C24</f>
        <v>67</v>
      </c>
      <c r="D16" s="49">
        <f>('Roll Up'!J24-'Roll Up'!K24)/3</f>
        <v>0</v>
      </c>
      <c r="E16" s="49">
        <f>C16+D16</f>
        <v>67</v>
      </c>
      <c r="F16" s="49">
        <f>SQRT(('Roll Up'!J24^2+'Roll Up'!K24^2-'Roll Up'!J24*'Roll Up'!K24)/18)</f>
        <v>7.8960257232497808</v>
      </c>
      <c r="G16" t="str">
        <f>"["&amp;TEXT(E16-1.96*F16,"#,##0")&amp;" – "&amp;TEXT(E16+1.96*F16,"#,##0")&amp;"]"</f>
        <v>[52 – 82]</v>
      </c>
      <c r="I16">
        <v>7889.0805611340566</v>
      </c>
      <c r="J16">
        <f>IF(I16&lt;=$B$39, _xlfn.NORM.DIST(I16,$D$39,$F$39,FALSE), NA())</f>
        <v>1.3786061022834744E-5</v>
      </c>
      <c r="K16" t="e">
        <f>IF(I16&gt;=$B$39, _xlfn.NORM.DIST(I16,$D$39,$F$39,FALSE), NA())</f>
        <v>#N/A</v>
      </c>
    </row>
    <row r="17" spans="1:11" x14ac:dyDescent="0.3">
      <c r="A17">
        <v>3500</v>
      </c>
      <c r="B17" t="s">
        <v>18</v>
      </c>
      <c r="C17" s="49">
        <f>'Roll Up'!C25</f>
        <v>48</v>
      </c>
      <c r="D17" s="49">
        <f>('Roll Up'!J25-'Roll Up'!K25)/3</f>
        <v>0</v>
      </c>
      <c r="E17" s="49">
        <f>C17+D17</f>
        <v>48</v>
      </c>
      <c r="F17" s="49">
        <f>SQRT(('Roll Up'!J25^2+'Roll Up'!K25^2-'Roll Up'!J25*'Roll Up'!K25)/18)</f>
        <v>4.1012193308819755</v>
      </c>
      <c r="G17" t="str">
        <f>"["&amp;TEXT(E17-1.96*F17,"#,##0")&amp;" – "&amp;TEXT(E17+1.96*F17,"#,##0")&amp;"]"</f>
        <v>[40 – 56]</v>
      </c>
      <c r="I17">
        <v>7921.227875762921</v>
      </c>
      <c r="J17">
        <f>IF(I17&lt;=$B$39, _xlfn.NORM.DIST(I17,$D$39,$F$39,FALSE), NA())</f>
        <v>1.8516421942226805E-5</v>
      </c>
      <c r="K17" t="e">
        <f>IF(I17&gt;=$B$39, _xlfn.NORM.DIST(I17,$D$39,$F$39,FALSE), NA())</f>
        <v>#N/A</v>
      </c>
    </row>
    <row r="18" spans="1:11" x14ac:dyDescent="0.3">
      <c r="A18">
        <v>3600</v>
      </c>
      <c r="B18" t="s">
        <v>19</v>
      </c>
      <c r="C18" s="49">
        <f>'Roll Up'!C26</f>
        <v>58</v>
      </c>
      <c r="D18" s="49">
        <f>('Roll Up'!J26-'Roll Up'!K26)/3</f>
        <v>0</v>
      </c>
      <c r="E18" s="49">
        <f>C18+D18</f>
        <v>58</v>
      </c>
      <c r="F18" s="49">
        <f>SQRT(('Roll Up'!J26^2+'Roll Up'!K26^2-'Roll Up'!J26*'Roll Up'!K26)/18)</f>
        <v>6.8353655514699589</v>
      </c>
      <c r="G18" t="str">
        <f>"["&amp;TEXT(E18-1.96*F18,"#,##0")&amp;" – "&amp;TEXT(E18+1.96*F18,"#,##0")&amp;"]"</f>
        <v>[45 – 71]</v>
      </c>
      <c r="I18">
        <v>7953.3751903917855</v>
      </c>
      <c r="J18">
        <f>IF(I18&lt;=$B$39, _xlfn.NORM.DIST(I18,$D$39,$F$39,FALSE), NA())</f>
        <v>2.462243479544843E-5</v>
      </c>
      <c r="K18" t="e">
        <f>IF(I18&gt;=$B$39, _xlfn.NORM.DIST(I18,$D$39,$F$39,FALSE), NA())</f>
        <v>#N/A</v>
      </c>
    </row>
    <row r="19" spans="1:11" x14ac:dyDescent="0.3">
      <c r="A19">
        <v>3800</v>
      </c>
      <c r="B19" t="s">
        <v>145</v>
      </c>
      <c r="C19" s="49">
        <f>'Roll Up'!C27</f>
        <v>46</v>
      </c>
      <c r="D19" s="49">
        <f>('Roll Up'!J27-'Roll Up'!K27)/3</f>
        <v>0</v>
      </c>
      <c r="E19" s="49">
        <f>C19+D19</f>
        <v>46</v>
      </c>
      <c r="F19" s="49">
        <f>SQRT(('Roll Up'!J27^2+'Roll Up'!K27^2-'Roll Up'!J27*'Roll Up'!K27)/18)</f>
        <v>5.421151989096864</v>
      </c>
      <c r="G19" t="str">
        <f>"["&amp;TEXT(E19-1.96*F19,"#,##0")&amp;" – "&amp;TEXT(E19+1.96*F19,"#,##0")&amp;"]"</f>
        <v>[35 – 57]</v>
      </c>
      <c r="I19">
        <v>7985.5225050206509</v>
      </c>
      <c r="J19">
        <f>IF(I19&lt;=$B$39, _xlfn.NORM.DIST(I19,$D$39,$F$39,FALSE), NA())</f>
        <v>3.2416190698135901E-5</v>
      </c>
      <c r="K19" t="e">
        <f>IF(I19&gt;=$B$39, _xlfn.NORM.DIST(I19,$D$39,$F$39,FALSE), NA())</f>
        <v>#N/A</v>
      </c>
    </row>
    <row r="20" spans="1:11" x14ac:dyDescent="0.3">
      <c r="A20" t="s">
        <v>161</v>
      </c>
      <c r="B20" t="s">
        <v>144</v>
      </c>
      <c r="C20" s="49">
        <f>'Roll Up'!C30</f>
        <v>386</v>
      </c>
      <c r="D20" s="49">
        <f>('Roll Up'!J30-'Roll Up'!K30)/3</f>
        <v>0</v>
      </c>
      <c r="E20" s="49">
        <f>C20+D20</f>
        <v>386</v>
      </c>
      <c r="F20" s="49">
        <f>SQRT(('Roll Up'!J30^2+'Roll Up'!K30^2-'Roll Up'!J30*'Roll Up'!K30)/18)</f>
        <v>37.00525488209599</v>
      </c>
      <c r="G20" t="str">
        <f>"["&amp;TEXT(E20-1.96*F20,"#,##0")&amp;" – "&amp;TEXT(E20+1.96*F20,"#,##0")&amp;"]"</f>
        <v>[313 – 459]</v>
      </c>
      <c r="I20">
        <v>8017.6698196495154</v>
      </c>
      <c r="J20">
        <f>IF(I20&lt;=$B$39, _xlfn.NORM.DIST(I20,$D$39,$F$39,FALSE), NA())</f>
        <v>4.225226707268889E-5</v>
      </c>
      <c r="K20" t="e">
        <f>IF(I20&gt;=$B$39, _xlfn.NORM.DIST(I20,$D$39,$F$39,FALSE), NA())</f>
        <v>#N/A</v>
      </c>
    </row>
    <row r="21" spans="1:11" x14ac:dyDescent="0.3">
      <c r="A21" t="s">
        <v>162</v>
      </c>
      <c r="B21" t="s">
        <v>421</v>
      </c>
      <c r="C21" s="49">
        <f>'Roll Up'!C31</f>
        <v>580</v>
      </c>
      <c r="D21" s="49">
        <f>('Roll Up'!J31-'Roll Up'!K31)/3</f>
        <v>0</v>
      </c>
      <c r="E21" s="49">
        <f>C21+D21</f>
        <v>580</v>
      </c>
      <c r="F21" s="49">
        <f>SQRT(('Roll Up'!J31^2+'Roll Up'!K31^2-'Roll Up'!J31*'Roll Up'!K31)/18)</f>
        <v>68.353655514699597</v>
      </c>
      <c r="G21" t="str">
        <f>"["&amp;TEXT(E21-1.96*F21,"#,##0")&amp;" – "&amp;TEXT(E21+1.96*F21,"#,##0")&amp;"]"</f>
        <v>[446 – 714]</v>
      </c>
      <c r="I21">
        <v>8049.8171342783799</v>
      </c>
      <c r="J21">
        <f>IF(I21&lt;=$B$39, _xlfn.NORM.DIST(I21,$D$39,$F$39,FALSE), NA())</f>
        <v>5.4524929052176196E-5</v>
      </c>
      <c r="K21" t="e">
        <f>IF(I21&gt;=$B$39, _xlfn.NORM.DIST(I21,$D$39,$F$39,FALSE), NA())</f>
        <v>#N/A</v>
      </c>
    </row>
    <row r="22" spans="1:11" x14ac:dyDescent="0.3">
      <c r="A22">
        <v>3300</v>
      </c>
      <c r="B22" t="s">
        <v>16</v>
      </c>
      <c r="C22" s="49">
        <f>'Roll Up'!C32</f>
        <v>28.5</v>
      </c>
      <c r="D22" s="49">
        <f>('Roll Up'!J32-'Roll Up'!K32)/3</f>
        <v>0</v>
      </c>
      <c r="E22" s="49">
        <f>C22+D22</f>
        <v>28.5</v>
      </c>
      <c r="F22" s="49">
        <f>SQRT(('Roll Up'!J32^2+'Roll Up'!K32^2-'Roll Up'!J32*'Roll Up'!K32)/18)</f>
        <v>2.5632620818012342</v>
      </c>
      <c r="G22" t="str">
        <f>"["&amp;TEXT(E22-1.96*F22,"#,##0")&amp;" – "&amp;TEXT(E22+1.96*F22,"#,##0")&amp;"]"</f>
        <v>[23 – 34]</v>
      </c>
      <c r="I22">
        <v>8081.9644489072452</v>
      </c>
      <c r="J22">
        <f>IF(I22&lt;=$B$39, _xlfn.NORM.DIST(I22,$D$39,$F$39,FALSE), NA())</f>
        <v>6.9662211458045028E-5</v>
      </c>
      <c r="K22" t="e">
        <f>IF(I22&gt;=$B$39, _xlfn.NORM.DIST(I22,$D$39,$F$39,FALSE), NA())</f>
        <v>#N/A</v>
      </c>
    </row>
    <row r="23" spans="1:11" x14ac:dyDescent="0.3">
      <c r="A23">
        <v>2200</v>
      </c>
      <c r="B23" t="s">
        <v>5</v>
      </c>
      <c r="C23" s="49">
        <f>'Roll Up'!C35</f>
        <v>16</v>
      </c>
      <c r="D23" s="49">
        <f>('Roll Up'!J35-'Roll Up'!K35)/3</f>
        <v>0</v>
      </c>
      <c r="E23" s="49">
        <f>C23+D23</f>
        <v>16</v>
      </c>
      <c r="F23" s="49">
        <f>SQRT(('Roll Up'!J35^2+'Roll Up'!K35^2-'Roll Up'!J35*'Roll Up'!K35)/18)</f>
        <v>1.0370899457402698</v>
      </c>
      <c r="G23" t="str">
        <f>"["&amp;TEXT(E23-1.96*F23,"#,##0")&amp;" – "&amp;TEXT(E23+1.96*F23,"#,##0")&amp;"]"</f>
        <v>[14 – 18]</v>
      </c>
      <c r="I23">
        <v>8114.1117635361097</v>
      </c>
      <c r="J23">
        <f>IF(I23&lt;=$B$39, _xlfn.NORM.DIST(I23,$D$39,$F$39,FALSE), NA())</f>
        <v>8.8116342122605915E-5</v>
      </c>
      <c r="K23" t="e">
        <f>IF(I23&gt;=$B$39, _xlfn.NORM.DIST(I23,$D$39,$F$39,FALSE), NA())</f>
        <v>#N/A</v>
      </c>
    </row>
    <row r="24" spans="1:11" x14ac:dyDescent="0.3">
      <c r="A24">
        <v>2300</v>
      </c>
      <c r="B24" t="s">
        <v>6</v>
      </c>
      <c r="C24" s="49">
        <f>'Roll Up'!C36</f>
        <v>37</v>
      </c>
      <c r="D24" s="49">
        <f>('Roll Up'!J36-'Roll Up'!K36)/3</f>
        <v>0</v>
      </c>
      <c r="E24" s="49">
        <f>C24+D24</f>
        <v>37</v>
      </c>
      <c r="F24" s="49">
        <f>SQRT(('Roll Up'!J36^2+'Roll Up'!K36^2-'Roll Up'!J36*'Roll Up'!K36)/18)</f>
        <v>3.6533850361304956</v>
      </c>
      <c r="G24" t="str">
        <f>"["&amp;TEXT(E24-1.96*F24,"#,##0")&amp;" – "&amp;TEXT(E24+1.96*F24,"#,##0")&amp;"]"</f>
        <v>[30 – 44]</v>
      </c>
      <c r="I24">
        <v>8146.2590781649742</v>
      </c>
      <c r="J24">
        <f>IF(I24&lt;=$B$39, _xlfn.NORM.DIST(I24,$D$39,$F$39,FALSE), NA())</f>
        <v>1.1035009690787315E-4</v>
      </c>
      <c r="K24" t="e">
        <f>IF(I24&gt;=$B$39, _xlfn.NORM.DIST(I24,$D$39,$F$39,FALSE), NA())</f>
        <v>#N/A</v>
      </c>
    </row>
    <row r="25" spans="1:11" x14ac:dyDescent="0.3">
      <c r="A25">
        <v>3100</v>
      </c>
      <c r="B25" t="s">
        <v>380</v>
      </c>
      <c r="C25" s="49">
        <f>'Roll Up'!C37</f>
        <v>61</v>
      </c>
      <c r="D25" s="49">
        <f>('Roll Up'!J37-'Roll Up'!K37)/3</f>
        <v>0</v>
      </c>
      <c r="E25" s="49">
        <f>C25+D25</f>
        <v>61</v>
      </c>
      <c r="F25" s="49">
        <f>SQRT(('Roll Up'!J37^2+'Roll Up'!K37^2-'Roll Up'!J37*'Roll Up'!K37)/18)</f>
        <v>2.6987908815286565</v>
      </c>
      <c r="G25" t="str">
        <f>"["&amp;TEXT(E25-1.96*F25,"#,##0")&amp;" – "&amp;TEXT(E25+1.96*F25,"#,##0")&amp;"]"</f>
        <v>[56 – 66]</v>
      </c>
      <c r="I25">
        <v>8178.4063927938396</v>
      </c>
      <c r="J25">
        <f>IF(I25&lt;=$B$39, _xlfn.NORM.DIST(I25,$D$39,$F$39,FALSE), NA())</f>
        <v>1.3681888048258504E-4</v>
      </c>
      <c r="K25" t="e">
        <f>IF(I25&gt;=$B$39, _xlfn.NORM.DIST(I25,$D$39,$F$39,FALSE), NA())</f>
        <v>#N/A</v>
      </c>
    </row>
    <row r="26" spans="1:11" x14ac:dyDescent="0.3">
      <c r="A26">
        <v>3400</v>
      </c>
      <c r="B26" t="s">
        <v>17</v>
      </c>
      <c r="C26" s="49">
        <f>'Roll Up'!C38</f>
        <v>90</v>
      </c>
      <c r="D26" s="49">
        <f>('Roll Up'!J38-'Roll Up'!K38)/3</f>
        <v>0</v>
      </c>
      <c r="E26" s="49">
        <f>C26+D26</f>
        <v>90</v>
      </c>
      <c r="F26" s="49">
        <f>SQRT(('Roll Up'!J38^2+'Roll Up'!K38^2-'Roll Up'!J38*'Roll Up'!K38)/18)</f>
        <v>7.4953318805774041</v>
      </c>
      <c r="G26" t="str">
        <f>"["&amp;TEXT(E26-1.96*F26,"#,##0")&amp;" – "&amp;TEXT(E26+1.96*F26,"#,##0")&amp;"]"</f>
        <v>[75 – 105]</v>
      </c>
      <c r="I26">
        <v>8210.5537074227032</v>
      </c>
      <c r="J26">
        <f>IF(I26&lt;=$B$39, _xlfn.NORM.DIST(I26,$D$39,$F$39,FALSE), NA())</f>
        <v>1.6794860515257322E-4</v>
      </c>
      <c r="K26" t="e">
        <f>IF(I26&gt;=$B$39, _xlfn.NORM.DIST(I26,$D$39,$F$39,FALSE), NA())</f>
        <v>#N/A</v>
      </c>
    </row>
    <row r="27" spans="1:11" x14ac:dyDescent="0.3">
      <c r="A27">
        <v>7100</v>
      </c>
      <c r="B27" t="s">
        <v>103</v>
      </c>
      <c r="C27" s="49">
        <f>'Roll Up'!C41</f>
        <v>856</v>
      </c>
      <c r="D27" s="49">
        <f>('Roll Up'!J41-'Roll Up'!K41)/3</f>
        <v>0</v>
      </c>
      <c r="E27" s="49">
        <f>C27+D27</f>
        <v>856</v>
      </c>
      <c r="F27" s="49">
        <f>SQRT(('Roll Up'!J41^2+'Roll Up'!K41^2-'Roll Up'!J41*'Roll Up'!K41)/18)</f>
        <v>100.88056744928078</v>
      </c>
      <c r="G27" t="str">
        <f>"["&amp;TEXT(E27-1.96*F27,"#,##0")&amp;" – "&amp;TEXT(E27+1.96*F27,"#,##0")&amp;"]"</f>
        <v>[658 – 1,054]</v>
      </c>
      <c r="I27">
        <v>8242.7010220515695</v>
      </c>
      <c r="J27">
        <f>IF(I27&lt;=$B$39, _xlfn.NORM.DIST(I27,$D$39,$F$39,FALSE), NA())</f>
        <v>2.0410978500755002E-4</v>
      </c>
      <c r="K27" t="e">
        <f>IF(I27&gt;=$B$39, _xlfn.NORM.DIST(I27,$D$39,$F$39,FALSE), NA())</f>
        <v>#N/A</v>
      </c>
    </row>
    <row r="28" spans="1:11" x14ac:dyDescent="0.3">
      <c r="A28" t="s">
        <v>163</v>
      </c>
      <c r="B28" t="s">
        <v>105</v>
      </c>
      <c r="C28" s="49">
        <f>'Roll Up'!C42</f>
        <v>526</v>
      </c>
      <c r="D28" s="49">
        <f>('Roll Up'!J42-'Roll Up'!K42)/3</f>
        <v>0</v>
      </c>
      <c r="E28" s="49">
        <f>C28+D28</f>
        <v>526</v>
      </c>
      <c r="F28" s="49">
        <f>SQRT(('Roll Up'!J42^2+'Roll Up'!K42^2-'Roll Up'!J42*'Roll Up'!K42)/18)</f>
        <v>61.989694484020667</v>
      </c>
      <c r="G28" t="str">
        <f>"["&amp;TEXT(E28-1.96*F28,"#,##0")&amp;" – "&amp;TEXT(E28+1.96*F28,"#,##0")&amp;"]"</f>
        <v>[405 – 647]</v>
      </c>
      <c r="I28">
        <v>8274.8483366804339</v>
      </c>
      <c r="J28">
        <f>IF(I28&lt;=$B$39, _xlfn.NORM.DIST(I28,$D$39,$F$39,FALSE), NA())</f>
        <v>2.4558865713158323E-4</v>
      </c>
      <c r="K28" t="e">
        <f>IF(I28&gt;=$B$39, _xlfn.NORM.DIST(I28,$D$39,$F$39,FALSE), NA())</f>
        <v>#N/A</v>
      </c>
    </row>
    <row r="29" spans="1:11" x14ac:dyDescent="0.3">
      <c r="A29">
        <v>7300</v>
      </c>
      <c r="B29" t="s">
        <v>29</v>
      </c>
      <c r="C29" s="49">
        <f>'Roll Up'!C43</f>
        <v>75</v>
      </c>
      <c r="D29" s="49">
        <f>('Roll Up'!J43-'Roll Up'!K43)/3</f>
        <v>0</v>
      </c>
      <c r="E29" s="49">
        <f>C29+D29</f>
        <v>75</v>
      </c>
      <c r="F29" s="49">
        <f>SQRT(('Roll Up'!J43^2+'Roll Up'!K43^2-'Roll Up'!J43*'Roll Up'!K43)/18)</f>
        <v>8.8388347648318444</v>
      </c>
      <c r="G29" t="str">
        <f>"["&amp;TEXT(E29-1.96*F29,"#,##0")&amp;" – "&amp;TEXT(E29+1.96*F29,"#,##0")&amp;"]"</f>
        <v>[58 – 92]</v>
      </c>
      <c r="I29">
        <v>8306.9956513092984</v>
      </c>
      <c r="J29">
        <f>IF(I29&lt;=$B$39, _xlfn.NORM.DIST(I29,$D$39,$F$39,FALSE), NA())</f>
        <v>2.9255655865090784E-4</v>
      </c>
      <c r="K29" t="e">
        <f>IF(I29&gt;=$B$39, _xlfn.NORM.DIST(I29,$D$39,$F$39,FALSE), NA())</f>
        <v>#N/A</v>
      </c>
    </row>
    <row r="30" spans="1:11" x14ac:dyDescent="0.3">
      <c r="A30">
        <v>7500</v>
      </c>
      <c r="B30" t="s">
        <v>146</v>
      </c>
      <c r="C30" s="49">
        <f>'Roll Up'!C44</f>
        <v>62</v>
      </c>
      <c r="D30" s="49">
        <f>('Roll Up'!J44-'Roll Up'!K44)/3</f>
        <v>0</v>
      </c>
      <c r="E30" s="49">
        <f>C30+D30</f>
        <v>62</v>
      </c>
      <c r="F30" s="49">
        <f>SQRT(('Roll Up'!J44^2+'Roll Up'!K44^2-'Roll Up'!J44*'Roll Up'!K44)/18)</f>
        <v>7.3067700722609912</v>
      </c>
      <c r="G30" t="str">
        <f>"["&amp;TEXT(E30-1.96*F30,"#,##0")&amp;" – "&amp;TEXT(E30+1.96*F30,"#,##0")&amp;"]"</f>
        <v>[48 – 76]</v>
      </c>
      <c r="I30">
        <v>8339.1429659381629</v>
      </c>
      <c r="J30">
        <f>IF(I30&lt;=$B$39, _xlfn.NORM.DIST(I30,$D$39,$F$39,FALSE), NA())</f>
        <v>3.4503919210676545E-4</v>
      </c>
      <c r="K30" t="e">
        <f>IF(I30&gt;=$B$39, _xlfn.NORM.DIST(I30,$D$39,$F$39,FALSE), NA())</f>
        <v>#N/A</v>
      </c>
    </row>
    <row r="31" spans="1:11" x14ac:dyDescent="0.3">
      <c r="A31">
        <v>7800</v>
      </c>
      <c r="B31" t="s">
        <v>31</v>
      </c>
      <c r="C31" s="49">
        <f>'Roll Up'!C45</f>
        <v>58</v>
      </c>
      <c r="D31" s="49">
        <f>('Roll Up'!J45-'Roll Up'!K45)/3</f>
        <v>0</v>
      </c>
      <c r="E31" s="49">
        <f>C31+D31</f>
        <v>58</v>
      </c>
      <c r="F31" s="49">
        <f>SQRT(('Roll Up'!J45^2+'Roll Up'!K45^2-'Roll Up'!J45*'Roll Up'!K45)/18)</f>
        <v>6.8353655514699589</v>
      </c>
      <c r="G31" t="str">
        <f>"["&amp;TEXT(E31-1.96*F31,"#,##0")&amp;" – "&amp;TEXT(E31+1.96*F31,"#,##0")&amp;"]"</f>
        <v>[45 – 71]</v>
      </c>
      <c r="I31">
        <v>8371.2902805670274</v>
      </c>
      <c r="J31">
        <f>IF(I31&lt;=$B$39, _xlfn.NORM.DIST(I31,$D$39,$F$39,FALSE), NA())</f>
        <v>4.0288775955674508E-4</v>
      </c>
      <c r="K31" t="e">
        <f>IF(I31&gt;=$B$39, _xlfn.NORM.DIST(I31,$D$39,$F$39,FALSE), NA())</f>
        <v>#N/A</v>
      </c>
    </row>
    <row r="32" spans="1:11" x14ac:dyDescent="0.3">
      <c r="A32">
        <v>8000</v>
      </c>
      <c r="B32" t="s">
        <v>33</v>
      </c>
      <c r="C32" s="49">
        <f>'Roll Up'!C46</f>
        <v>26</v>
      </c>
      <c r="D32" s="49">
        <f>('Roll Up'!J46-'Roll Up'!K46)/3</f>
        <v>0</v>
      </c>
      <c r="E32" s="49">
        <f>C32+D32</f>
        <v>26</v>
      </c>
      <c r="F32" s="49">
        <f>SQRT(('Roll Up'!J46^2+'Roll Up'!K46^2-'Roll Up'!J46*'Roll Up'!K46)/18)</f>
        <v>3.064129385141706</v>
      </c>
      <c r="G32" t="str">
        <f>"["&amp;TEXT(E32-1.96*F32,"#,##0")&amp;" – "&amp;TEXT(E32+1.96*F32,"#,##0")&amp;"]"</f>
        <v>[20 – 32]</v>
      </c>
      <c r="I32">
        <v>8403.4375951958937</v>
      </c>
      <c r="J32">
        <f>IF(I32&lt;=$B$39, _xlfn.NORM.DIST(I32,$D$39,$F$39,FALSE), NA())</f>
        <v>4.6575419242422881E-4</v>
      </c>
      <c r="K32" t="e">
        <f>IF(I32&gt;=$B$39, _xlfn.NORM.DIST(I32,$D$39,$F$39,FALSE), NA())</f>
        <v>#N/A</v>
      </c>
    </row>
    <row r="33" spans="1:11" x14ac:dyDescent="0.3">
      <c r="A33">
        <v>2500</v>
      </c>
      <c r="B33" t="s">
        <v>99</v>
      </c>
      <c r="C33" s="49">
        <f>'Roll Up'!C49</f>
        <v>695</v>
      </c>
      <c r="D33" s="49">
        <f>('Roll Up'!J49-'Roll Up'!K49)/3</f>
        <v>0</v>
      </c>
      <c r="E33" s="49">
        <f>C33+D33</f>
        <v>695</v>
      </c>
      <c r="F33" s="49">
        <f>SQRT(('Roll Up'!J49^2+'Roll Up'!K49^2-'Roll Up'!J49*'Roll Up'!K49)/18)</f>
        <v>61.046885442438601</v>
      </c>
      <c r="G33" t="str">
        <f>"["&amp;TEXT(E33-1.96*F33,"#,##0")&amp;" – "&amp;TEXT(E33+1.96*F33,"#,##0")&amp;"]"</f>
        <v>[575 – 815]</v>
      </c>
      <c r="I33">
        <v>8435.5849098247581</v>
      </c>
      <c r="J33">
        <f>IF(I33&lt;=$B$39, _xlfn.NORM.DIST(I33,$D$39,$F$39,FALSE), NA())</f>
        <v>5.3307280569536957E-4</v>
      </c>
      <c r="K33" t="e">
        <f>IF(I33&gt;=$B$39, _xlfn.NORM.DIST(I33,$D$39,$F$39,FALSE), NA())</f>
        <v>#N/A</v>
      </c>
    </row>
    <row r="34" spans="1:11" x14ac:dyDescent="0.3">
      <c r="A34">
        <v>2600</v>
      </c>
      <c r="B34" t="s">
        <v>9</v>
      </c>
      <c r="C34" s="49">
        <f>'Roll Up'!C50</f>
        <v>60</v>
      </c>
      <c r="D34" s="49">
        <f>('Roll Up'!J50-'Roll Up'!K50)/3</f>
        <v>0</v>
      </c>
      <c r="E34" s="49">
        <f>C34+D34</f>
        <v>60</v>
      </c>
      <c r="F34" s="49">
        <f>SQRT(('Roll Up'!J50^2+'Roll Up'!K50^2-'Roll Up'!J50*'Roll Up'!K50)/18)</f>
        <v>3.8890872965260113</v>
      </c>
      <c r="G34" t="str">
        <f>"["&amp;TEXT(E34-1.96*F34,"#,##0")&amp;" – "&amp;TEXT(E34+1.96*F34,"#,##0")&amp;"]"</f>
        <v>[52 – 68]</v>
      </c>
      <c r="I34">
        <v>8467.7322244536226</v>
      </c>
      <c r="J34">
        <f>IF(I34&lt;=$B$39, _xlfn.NORM.DIST(I34,$D$39,$F$39,FALSE), NA())</f>
        <v>6.0405062514570036E-4</v>
      </c>
      <c r="K34" t="e">
        <f>IF(I34&gt;=$B$39, _xlfn.NORM.DIST(I34,$D$39,$F$39,FALSE), NA())</f>
        <v>#N/A</v>
      </c>
    </row>
    <row r="35" spans="1:11" x14ac:dyDescent="0.3">
      <c r="A35" s="2" t="s">
        <v>82</v>
      </c>
      <c r="B35" s="2" t="s">
        <v>83</v>
      </c>
      <c r="C35" s="60">
        <f>SUM(C6:C34)</f>
        <v>8853.5</v>
      </c>
      <c r="D35" s="60">
        <f>SUM(D6:D34)</f>
        <v>0</v>
      </c>
      <c r="E35" s="60">
        <f>C35+D35</f>
        <v>8853.5</v>
      </c>
      <c r="F35" s="60">
        <f>SQRT(SUMSQ(F6:F34))</f>
        <v>321.47314628864757</v>
      </c>
      <c r="G35" s="2" t="str">
        <f>"["&amp;TEXT(E35-1.96*F35,"#,##0")&amp;" – "&amp;TEXT(E35+1.96*F35,"#,##0")&amp;"]"</f>
        <v>[8,223 – 9,484]</v>
      </c>
      <c r="I35">
        <v>8499.8795390824871</v>
      </c>
      <c r="J35">
        <f>IF(I35&lt;=$B$39, _xlfn.NORM.DIST(I35,$D$39,$F$39,FALSE), NA())</f>
        <v>6.7766835129968452E-4</v>
      </c>
      <c r="K35" t="e">
        <f>IF(I35&gt;=$B$39, _xlfn.NORM.DIST(I35,$D$39,$F$39,FALSE), NA())</f>
        <v>#N/A</v>
      </c>
    </row>
    <row r="36" spans="1:11" x14ac:dyDescent="0.3">
      <c r="I36">
        <v>8532.0268537113516</v>
      </c>
      <c r="J36">
        <f>IF(I36&lt;=$B$39, _xlfn.NORM.DIST(I36,$D$39,$F$39,FALSE), NA())</f>
        <v>7.5269342809081662E-4</v>
      </c>
      <c r="K36" t="e">
        <f>IF(I36&gt;=$B$39, _xlfn.NORM.DIST(I36,$D$39,$F$39,FALSE), NA())</f>
        <v>#N/A</v>
      </c>
    </row>
    <row r="37" spans="1:11" ht="15.6" x14ac:dyDescent="0.3">
      <c r="A37" s="81" t="s">
        <v>422</v>
      </c>
      <c r="I37">
        <v>8564.1741683402161</v>
      </c>
      <c r="J37">
        <f>IF(I37&lt;=$B$39, _xlfn.NORM.DIST(I37,$D$39,$F$39,FALSE), NA())</f>
        <v>8.2770599339528875E-4</v>
      </c>
      <c r="K37" t="e">
        <f>IF(I37&gt;=$B$39, _xlfn.NORM.DIST(I37,$D$39,$F$39,FALSE), NA())</f>
        <v>#N/A</v>
      </c>
    </row>
    <row r="38" spans="1:11" x14ac:dyDescent="0.3">
      <c r="I38">
        <v>8596.3214829690824</v>
      </c>
      <c r="J38">
        <f>IF(I38&lt;=$B$39, _xlfn.NORM.DIST(I38,$D$39,$F$39,FALSE), NA())</f>
        <v>9.0113764121800674E-4</v>
      </c>
      <c r="K38" t="e">
        <f>IF(I38&gt;=$B$39, _xlfn.NORM.DIST(I38,$D$39,$F$39,FALSE), NA())</f>
        <v>#N/A</v>
      </c>
    </row>
    <row r="39" spans="1:11" x14ac:dyDescent="0.3">
      <c r="A39" t="s">
        <v>423</v>
      </c>
      <c r="B39" s="84">
        <f>'Roll Up'!N53</f>
        <v>8905</v>
      </c>
      <c r="C39" t="s">
        <v>87</v>
      </c>
      <c r="D39" s="46">
        <f>E35</f>
        <v>8853.5</v>
      </c>
      <c r="E39" t="s">
        <v>90</v>
      </c>
      <c r="F39" s="46">
        <f>F35</f>
        <v>321.47314628864757</v>
      </c>
      <c r="I39">
        <v>8628.4687975979468</v>
      </c>
      <c r="J39">
        <f>IF(I39&lt;=$B$39, _xlfn.NORM.DIST(I39,$D$39,$F$39,FALSE), NA())</f>
        <v>9.7132198123445006E-4</v>
      </c>
      <c r="K39" t="e">
        <f>IF(I39&gt;=$B$39, _xlfn.NORM.DIST(I39,$D$39,$F$39,FALSE), NA())</f>
        <v>#N/A</v>
      </c>
    </row>
    <row r="40" spans="1:11" x14ac:dyDescent="0.3">
      <c r="A40" t="s">
        <v>424</v>
      </c>
      <c r="B40" s="46">
        <f>B39-D39</f>
        <v>51.5</v>
      </c>
      <c r="C40" t="s">
        <v>425</v>
      </c>
      <c r="D40" s="82">
        <f>IFERROR((B39-D39)/F39,0)</f>
        <v>0.16020000611111279</v>
      </c>
      <c r="I40">
        <v>8660.6161122268113</v>
      </c>
      <c r="J40">
        <f>IF(I40&lt;=$B$39, _xlfn.NORM.DIST(I40,$D$39,$F$39,FALSE), NA())</f>
        <v>1.0365550178570763E-3</v>
      </c>
      <c r="K40" t="e">
        <f>IF(I40&gt;=$B$39, _xlfn.NORM.DIST(I40,$D$39,$F$39,FALSE), NA())</f>
        <v>#N/A</v>
      </c>
    </row>
    <row r="41" spans="1:11" x14ac:dyDescent="0.3">
      <c r="A41" t="s">
        <v>426</v>
      </c>
      <c r="B41" s="83">
        <f>IFERROR(_xlfn.NORM.DIST(B39,D39,F39,TRUE),0)</f>
        <v>0.56363823770975308</v>
      </c>
      <c r="C41" t="s">
        <v>427</v>
      </c>
      <c r="D41" s="83">
        <f>1-B41</f>
        <v>0.43636176229024692</v>
      </c>
      <c r="I41">
        <v>8692.7634268556758</v>
      </c>
      <c r="J41">
        <f>IF(I41&lt;=$B$39, _xlfn.NORM.DIST(I41,$D$39,$F$39,FALSE), NA())</f>
        <v>1.0951624757116827E-3</v>
      </c>
      <c r="K41" t="e">
        <f>IF(I41&gt;=$B$39, _xlfn.NORM.DIST(I41,$D$39,$F$39,FALSE), NA())</f>
        <v>#N/A</v>
      </c>
    </row>
    <row r="42" spans="1:11" x14ac:dyDescent="0.3">
      <c r="A42" t="s">
        <v>88</v>
      </c>
      <c r="B42" s="13" t="str">
        <f>IF(B41&gt;=0.9,"✅ LOW RISK — high confidence under target",IF(B41&gt;=0.7,"⚠ MODERATE — monitor heavy items",IF(B41&gt;=0.5,"⚠ ELEVATED — mass reduction needed","❌ HIGH RISK — over target likely")))</f>
        <v>⚠ ELEVATED — mass reduction needed</v>
      </c>
      <c r="I42">
        <v>8724.9107414845403</v>
      </c>
      <c r="J42">
        <f>IF(I42&lt;=$B$39, _xlfn.NORM.DIST(I42,$D$39,$F$39,FALSE), NA())</f>
        <v>1.1455704607210234E-3</v>
      </c>
      <c r="K42" t="e">
        <f>IF(I42&gt;=$B$39, _xlfn.NORM.DIST(I42,$D$39,$F$39,FALSE), NA())</f>
        <v>#N/A</v>
      </c>
    </row>
    <row r="43" spans="1:11" x14ac:dyDescent="0.3">
      <c r="I43">
        <v>8757.0580561134047</v>
      </c>
      <c r="J43">
        <f>IF(I43&lt;=$B$39, _xlfn.NORM.DIST(I43,$D$39,$F$39,FALSE), NA())</f>
        <v>1.1863753469413569E-3</v>
      </c>
      <c r="K43" t="e">
        <f>IF(I43&gt;=$B$39, _xlfn.NORM.DIST(I43,$D$39,$F$39,FALSE), NA())</f>
        <v>#N/A</v>
      </c>
    </row>
    <row r="44" spans="1:11" ht="15.6" x14ac:dyDescent="0.3">
      <c r="A44" s="81" t="s">
        <v>428</v>
      </c>
      <c r="I44">
        <v>8789.205370742271</v>
      </c>
      <c r="J44">
        <f>IF(I44&lt;=$B$39, _xlfn.NORM.DIST(I44,$D$39,$F$39,FALSE), NA())</f>
        <v>1.2164085818363898E-3</v>
      </c>
      <c r="K44" t="e">
        <f>IF(I44&gt;=$B$39, _xlfn.NORM.DIST(I44,$D$39,$F$39,FALSE), NA())</f>
        <v>#N/A</v>
      </c>
    </row>
    <row r="45" spans="1:11" x14ac:dyDescent="0.3">
      <c r="A45" s="39" t="s">
        <v>89</v>
      </c>
      <c r="B45" s="39" t="s">
        <v>429</v>
      </c>
      <c r="C45" s="39" t="s">
        <v>90</v>
      </c>
      <c r="D45" s="39" t="s">
        <v>430</v>
      </c>
      <c r="I45">
        <v>8821.3526853711355</v>
      </c>
      <c r="J45">
        <f>IF(I45&lt;=$B$39, _xlfn.NORM.DIST(I45,$D$39,$F$39,FALSE), NA())</f>
        <v>1.2347922433327979E-3</v>
      </c>
      <c r="K45" t="e">
        <f>IF(I45&gt;=$B$39, _xlfn.NORM.DIST(I45,$D$39,$F$39,FALSE), NA())</f>
        <v>#N/A</v>
      </c>
    </row>
    <row r="46" spans="1:11" x14ac:dyDescent="0.3">
      <c r="A46">
        <v>1</v>
      </c>
      <c r="B46" t="str">
        <f>INDEX($A$6:$B$34,MATCH(LARGE($F$6:$F$34,1),$F$6:$F$34,0),1)&amp;" — "&amp;INDEX($A$6:$B$34,MATCH(LARGE($F$6:$F$34,1),$F$6:$F$34,0),2)</f>
        <v>5300 — Fuselage</v>
      </c>
      <c r="C46" s="49">
        <f>LARGE($F$6:$F$34,1)</f>
        <v>210.36426740299788</v>
      </c>
      <c r="D46" s="34">
        <f>C46^2/SUMSQ($F$6:$F$34)</f>
        <v>0.42820776954383805</v>
      </c>
      <c r="I46">
        <v>8853.5</v>
      </c>
      <c r="J46">
        <f>IF(I46&lt;=$B$39, _xlfn.NORM.DIST(I46,$D$39,$F$39,FALSE), NA())</f>
        <v>1.24098166520953E-3</v>
      </c>
      <c r="K46" t="e">
        <f>IF(I46&gt;=$B$39, _xlfn.NORM.DIST(I46,$D$39,$F$39,FALSE), NA())</f>
        <v>#N/A</v>
      </c>
    </row>
    <row r="47" spans="1:11" x14ac:dyDescent="0.3">
      <c r="A47">
        <v>2</v>
      </c>
      <c r="B47" t="str">
        <f>INDEX($A$6:$B$34,MATCH(LARGE($F$6:$F$34,2),$F$6:$F$34,0),1)&amp;" — "&amp;INDEX($A$6:$B$34,MATCH(LARGE($F$6:$F$34,2),$F$6:$F$34,0),2)</f>
        <v>5700 — Wings</v>
      </c>
      <c r="C47" s="49">
        <f>LARGE($F$6:$F$34,2)</f>
        <v>136.47160876900367</v>
      </c>
      <c r="D47" s="34">
        <f>C47^2/SUMSQ($F$6:$F$34)</f>
        <v>0.18021677799859809</v>
      </c>
      <c r="I47">
        <v>8885.6473146288645</v>
      </c>
      <c r="J47">
        <f>IF(I47&lt;=$B$39, _xlfn.NORM.DIST(I47,$D$39,$F$39,FALSE), NA())</f>
        <v>1.2347922433327979E-3</v>
      </c>
      <c r="K47" t="e">
        <f>IF(I47&gt;=$B$39, _xlfn.NORM.DIST(I47,$D$39,$F$39,FALSE), NA())</f>
        <v>#N/A</v>
      </c>
    </row>
    <row r="48" spans="1:11" x14ac:dyDescent="0.3">
      <c r="A48">
        <v>3</v>
      </c>
      <c r="B48" t="str">
        <f>INDEX($A$6:$B$34,MATCH(LARGE($F$6:$F$34,3),$F$6:$F$34,0),1)&amp;" — "&amp;INDEX($A$6:$B$34,MATCH(LARGE($F$6:$F$34,3),$F$6:$F$34,0),2)</f>
        <v>3200 — Landing Gear</v>
      </c>
      <c r="C48" s="49">
        <f>LARGE($F$6:$F$34,3)</f>
        <v>114.31559629182517</v>
      </c>
      <c r="D48" s="34">
        <f>C48^2/SUMSQ($F$6:$F$34)</f>
        <v>0.12645079690348207</v>
      </c>
      <c r="I48">
        <v>8917.794629257729</v>
      </c>
      <c r="J48" t="e">
        <f>IF(I48&lt;=$B$39, _xlfn.NORM.DIST(I48,$D$39,$F$39,FALSE), NA())</f>
        <v>#N/A</v>
      </c>
      <c r="K48">
        <f>IF(I48&gt;=$B$39, _xlfn.NORM.DIST(I48,$D$39,$F$39,FALSE), NA())</f>
        <v>1.2164085818363898E-3</v>
      </c>
    </row>
    <row r="49" spans="1:11" x14ac:dyDescent="0.3">
      <c r="A49">
        <v>4</v>
      </c>
      <c r="B49" t="str">
        <f>INDEX($A$6:$B$34,MATCH(LARGE($F$6:$F$34,4),$F$6:$F$34,0),1)&amp;" — "&amp;INDEX($A$6:$B$34,MATCH(LARGE($F$6:$F$34,4),$F$6:$F$34,0),2)</f>
        <v>7100 — Duality Engines</v>
      </c>
      <c r="C49" s="49">
        <f>LARGE($F$6:$F$34,4)</f>
        <v>100.88056744928078</v>
      </c>
      <c r="D49" s="34">
        <f>C49^2/SUMSQ($F$6:$F$34)</f>
        <v>9.847491882226575E-2</v>
      </c>
      <c r="I49">
        <v>8949.9419438865953</v>
      </c>
      <c r="J49" t="e">
        <f>IF(I49&lt;=$B$39, _xlfn.NORM.DIST(I49,$D$39,$F$39,FALSE), NA())</f>
        <v>#N/A</v>
      </c>
      <c r="K49">
        <f>IF(I49&gt;=$B$39, _xlfn.NORM.DIST(I49,$D$39,$F$39,FALSE), NA())</f>
        <v>1.1863753469413569E-3</v>
      </c>
    </row>
    <row r="50" spans="1:11" x14ac:dyDescent="0.3">
      <c r="A50">
        <v>5</v>
      </c>
      <c r="B50" t="str">
        <f>INDEX($A$6:$B$34,MATCH(LARGE($F$6:$F$34,5),$F$6:$F$34,0),1)&amp;" — "&amp;INDEX($A$6:$B$34,MATCH(LARGE($F$6:$F$34,5),$F$6:$F$34,0),2)</f>
        <v>2400HV — Electrical Power (HV)</v>
      </c>
      <c r="C50" s="49">
        <f>LARGE($F$6:$F$34,5)</f>
        <v>68.353655514699597</v>
      </c>
      <c r="D50" s="34">
        <f>C50^2/SUMSQ($F$6:$F$34)</f>
        <v>4.5209956507951302E-2</v>
      </c>
      <c r="I50">
        <v>8982.0892585154597</v>
      </c>
      <c r="J50" t="e">
        <f>IF(I50&lt;=$B$39, _xlfn.NORM.DIST(I50,$D$39,$F$39,FALSE), NA())</f>
        <v>#N/A</v>
      </c>
      <c r="K50">
        <f>IF(I50&gt;=$B$39, _xlfn.NORM.DIST(I50,$D$39,$F$39,FALSE), NA())</f>
        <v>1.1455704607210234E-3</v>
      </c>
    </row>
    <row r="51" spans="1:11" x14ac:dyDescent="0.3">
      <c r="I51">
        <v>9014.2365731443242</v>
      </c>
      <c r="J51" t="e">
        <f>IF(I51&lt;=$B$39, _xlfn.NORM.DIST(I51,$D$39,$F$39,FALSE), NA())</f>
        <v>#N/A</v>
      </c>
      <c r="K51">
        <f>IF(I51&gt;=$B$39, _xlfn.NORM.DIST(I51,$D$39,$F$39,FALSE), NA())</f>
        <v>1.0951624757116827E-3</v>
      </c>
    </row>
    <row r="52" spans="1:11" x14ac:dyDescent="0.3">
      <c r="I52">
        <v>9046.3838877731887</v>
      </c>
      <c r="J52" t="e">
        <f>IF(I52&lt;=$B$39, _xlfn.NORM.DIST(I52,$D$39,$F$39,FALSE), NA())</f>
        <v>#N/A</v>
      </c>
      <c r="K52">
        <f>IF(I52&gt;=$B$39, _xlfn.NORM.DIST(I52,$D$39,$F$39,FALSE), NA())</f>
        <v>1.0365550178570763E-3</v>
      </c>
    </row>
    <row r="53" spans="1:11" x14ac:dyDescent="0.3">
      <c r="I53">
        <v>9078.5312024020532</v>
      </c>
      <c r="J53" t="e">
        <f>IF(I53&lt;=$B$39, _xlfn.NORM.DIST(I53,$D$39,$F$39,FALSE), NA())</f>
        <v>#N/A</v>
      </c>
      <c r="K53">
        <f>IF(I53&gt;=$B$39, _xlfn.NORM.DIST(I53,$D$39,$F$39,FALSE), NA())</f>
        <v>9.7132198123445006E-4</v>
      </c>
    </row>
    <row r="54" spans="1:11" x14ac:dyDescent="0.3">
      <c r="I54">
        <v>9110.6785170309195</v>
      </c>
      <c r="J54" t="e">
        <f>IF(I54&lt;=$B$39, _xlfn.NORM.DIST(I54,$D$39,$F$39,FALSE), NA())</f>
        <v>#N/A</v>
      </c>
      <c r="K54">
        <f>IF(I54&gt;=$B$39, _xlfn.NORM.DIST(I54,$D$39,$F$39,FALSE), NA())</f>
        <v>9.0113764121800262E-4</v>
      </c>
    </row>
    <row r="55" spans="1:11" x14ac:dyDescent="0.3">
      <c r="I55">
        <v>9142.8258316597839</v>
      </c>
      <c r="J55" t="e">
        <f>IF(I55&lt;=$B$39, _xlfn.NORM.DIST(I55,$D$39,$F$39,FALSE), NA())</f>
        <v>#N/A</v>
      </c>
      <c r="K55">
        <f>IF(I55&gt;=$B$39, _xlfn.NORM.DIST(I55,$D$39,$F$39,FALSE), NA())</f>
        <v>8.2770599339528875E-4</v>
      </c>
    </row>
    <row r="56" spans="1:11" x14ac:dyDescent="0.3">
      <c r="I56">
        <v>9174.9731462886484</v>
      </c>
      <c r="J56" t="e">
        <f>IF(I56&lt;=$B$39, _xlfn.NORM.DIST(I56,$D$39,$F$39,FALSE), NA())</f>
        <v>#N/A</v>
      </c>
      <c r="K56">
        <f>IF(I56&gt;=$B$39, _xlfn.NORM.DIST(I56,$D$39,$F$39,FALSE), NA())</f>
        <v>7.5269342809081662E-4</v>
      </c>
    </row>
    <row r="57" spans="1:11" x14ac:dyDescent="0.3">
      <c r="I57">
        <v>9207.1204609175129</v>
      </c>
      <c r="J57" t="e">
        <f>IF(I57&lt;=$B$39, _xlfn.NORM.DIST(I57,$D$39,$F$39,FALSE), NA())</f>
        <v>#N/A</v>
      </c>
      <c r="K57">
        <f>IF(I57&gt;=$B$39, _xlfn.NORM.DIST(I57,$D$39,$F$39,FALSE), NA())</f>
        <v>6.7766835129968452E-4</v>
      </c>
    </row>
    <row r="58" spans="1:11" x14ac:dyDescent="0.3">
      <c r="I58">
        <v>9239.2677755463774</v>
      </c>
      <c r="J58" t="e">
        <f>IF(I58&lt;=$B$39, _xlfn.NORM.DIST(I58,$D$39,$F$39,FALSE), NA())</f>
        <v>#N/A</v>
      </c>
      <c r="K58">
        <f>IF(I58&gt;=$B$39, _xlfn.NORM.DIST(I58,$D$39,$F$39,FALSE), NA())</f>
        <v>6.0405062514570036E-4</v>
      </c>
    </row>
    <row r="59" spans="1:11" x14ac:dyDescent="0.3">
      <c r="I59">
        <v>9271.4150901752419</v>
      </c>
      <c r="J59" t="e">
        <f>IF(I59&lt;=$B$39, _xlfn.NORM.DIST(I59,$D$39,$F$39,FALSE), NA())</f>
        <v>#N/A</v>
      </c>
      <c r="K59">
        <f>IF(I59&gt;=$B$39, _xlfn.NORM.DIST(I59,$D$39,$F$39,FALSE), NA())</f>
        <v>5.3307280569536957E-4</v>
      </c>
    </row>
    <row r="60" spans="1:11" x14ac:dyDescent="0.3">
      <c r="I60">
        <v>9303.5624048041063</v>
      </c>
      <c r="J60" t="e">
        <f>IF(I60&lt;=$B$39, _xlfn.NORM.DIST(I60,$D$39,$F$39,FALSE), NA())</f>
        <v>#N/A</v>
      </c>
      <c r="K60">
        <f>IF(I60&gt;=$B$39, _xlfn.NORM.DIST(I60,$D$39,$F$39,FALSE), NA())</f>
        <v>4.6575419242422881E-4</v>
      </c>
    </row>
    <row r="61" spans="1:11" x14ac:dyDescent="0.3">
      <c r="I61">
        <v>9335.7097194329726</v>
      </c>
      <c r="J61" t="e">
        <f>IF(I61&lt;=$B$39, _xlfn.NORM.DIST(I61,$D$39,$F$39,FALSE), NA())</f>
        <v>#N/A</v>
      </c>
      <c r="K61">
        <f>IF(I61&gt;=$B$39, _xlfn.NORM.DIST(I61,$D$39,$F$39,FALSE), NA())</f>
        <v>4.0288775955674508E-4</v>
      </c>
    </row>
    <row r="62" spans="1:11" x14ac:dyDescent="0.3">
      <c r="I62">
        <v>9367.8570340618371</v>
      </c>
      <c r="J62" t="e">
        <f>IF(I62&lt;=$B$39, _xlfn.NORM.DIST(I62,$D$39,$F$39,FALSE), NA())</f>
        <v>#N/A</v>
      </c>
      <c r="K62">
        <f>IF(I62&gt;=$B$39, _xlfn.NORM.DIST(I62,$D$39,$F$39,FALSE), NA())</f>
        <v>3.4503919210676545E-4</v>
      </c>
    </row>
    <row r="63" spans="1:11" x14ac:dyDescent="0.3">
      <c r="I63">
        <v>9400.0043486907016</v>
      </c>
      <c r="J63" t="e">
        <f>IF(I63&lt;=$B$39, _xlfn.NORM.DIST(I63,$D$39,$F$39,FALSE), NA())</f>
        <v>#N/A</v>
      </c>
      <c r="K63">
        <f>IF(I63&gt;=$B$39, _xlfn.NORM.DIST(I63,$D$39,$F$39,FALSE), NA())</f>
        <v>2.9255655865090784E-4</v>
      </c>
    </row>
    <row r="64" spans="1:11" x14ac:dyDescent="0.3">
      <c r="I64">
        <v>9432.1516633195661</v>
      </c>
      <c r="J64" t="e">
        <f>IF(I64&lt;=$B$39, _xlfn.NORM.DIST(I64,$D$39,$F$39,FALSE), NA())</f>
        <v>#N/A</v>
      </c>
      <c r="K64">
        <f>IF(I64&gt;=$B$39, _xlfn.NORM.DIST(I64,$D$39,$F$39,FALSE), NA())</f>
        <v>2.4558865713158323E-4</v>
      </c>
    </row>
    <row r="65" spans="9:11" x14ac:dyDescent="0.3">
      <c r="I65">
        <v>9464.2989779484305</v>
      </c>
      <c r="J65" t="e">
        <f>IF(I65&lt;=$B$39, _xlfn.NORM.DIST(I65,$D$39,$F$39,FALSE), NA())</f>
        <v>#N/A</v>
      </c>
      <c r="K65">
        <f>IF(I65&gt;=$B$39, _xlfn.NORM.DIST(I65,$D$39,$F$39,FALSE), NA())</f>
        <v>2.0410978500755002E-4</v>
      </c>
    </row>
    <row r="66" spans="9:11" x14ac:dyDescent="0.3">
      <c r="I66">
        <v>9496.4462925772968</v>
      </c>
      <c r="J66" t="e">
        <f>IF(I66&lt;=$B$39, _xlfn.NORM.DIST(I66,$D$39,$F$39,FALSE), NA())</f>
        <v>#N/A</v>
      </c>
      <c r="K66">
        <f>IF(I66&gt;=$B$39, _xlfn.NORM.DIST(I66,$D$39,$F$39,FALSE), NA())</f>
        <v>1.6794860515257322E-4</v>
      </c>
    </row>
    <row r="67" spans="9:11" x14ac:dyDescent="0.3">
      <c r="I67">
        <v>9528.5936072061613</v>
      </c>
      <c r="J67" t="e">
        <f>IF(I67&lt;=$B$39, _xlfn.NORM.DIST(I67,$D$39,$F$39,FALSE), NA())</f>
        <v>#N/A</v>
      </c>
      <c r="K67">
        <f>IF(I67&gt;=$B$39, _xlfn.NORM.DIST(I67,$D$39,$F$39,FALSE), NA())</f>
        <v>1.368188804825842E-4</v>
      </c>
    </row>
    <row r="68" spans="9:11" x14ac:dyDescent="0.3">
      <c r="I68">
        <v>9560.7409218350258</v>
      </c>
      <c r="J68" t="e">
        <f>IF(I68&lt;=$B$39, _xlfn.NORM.DIST(I68,$D$39,$F$39,FALSE), NA())</f>
        <v>#N/A</v>
      </c>
      <c r="K68">
        <f>IF(I68&gt;=$B$39, _xlfn.NORM.DIST(I68,$D$39,$F$39,FALSE), NA())</f>
        <v>1.1035009690787315E-4</v>
      </c>
    </row>
    <row r="69" spans="9:11" x14ac:dyDescent="0.3">
      <c r="I69">
        <v>9592.8882364638903</v>
      </c>
      <c r="J69" t="e">
        <f>IF(I69&lt;=$B$39, _xlfn.NORM.DIST(I69,$D$39,$F$39,FALSE), NA())</f>
        <v>#N/A</v>
      </c>
      <c r="K69">
        <f>IF(I69&gt;=$B$39, _xlfn.NORM.DIST(I69,$D$39,$F$39,FALSE), NA())</f>
        <v>8.8116342122605915E-5</v>
      </c>
    </row>
    <row r="70" spans="9:11" x14ac:dyDescent="0.3">
      <c r="I70">
        <v>9625.0355510927548</v>
      </c>
      <c r="J70" t="e">
        <f>IF(I70&lt;=$B$39, _xlfn.NORM.DIST(I70,$D$39,$F$39,FALSE), NA())</f>
        <v>#N/A</v>
      </c>
      <c r="K70">
        <f>IF(I70&gt;=$B$39, _xlfn.NORM.DIST(I70,$D$39,$F$39,FALSE), NA())</f>
        <v>6.9662211458045028E-5</v>
      </c>
    </row>
    <row r="71" spans="9:11" x14ac:dyDescent="0.3">
      <c r="I71">
        <v>9657.1828657216211</v>
      </c>
      <c r="J71" t="e">
        <f>IF(I71&lt;=$B$39, _xlfn.NORM.DIST(I71,$D$39,$F$39,FALSE), NA())</f>
        <v>#N/A</v>
      </c>
      <c r="K71">
        <f>IF(I71&gt;=$B$39, _xlfn.NORM.DIST(I71,$D$39,$F$39,FALSE), NA())</f>
        <v>5.452492905217581E-5</v>
      </c>
    </row>
    <row r="72" spans="9:11" x14ac:dyDescent="0.3">
      <c r="I72">
        <v>9689.3301803504837</v>
      </c>
      <c r="J72" t="e">
        <f>IF(I72&lt;=$B$39, _xlfn.NORM.DIST(I72,$D$39,$F$39,FALSE), NA())</f>
        <v>#N/A</v>
      </c>
      <c r="K72">
        <f>IF(I72&gt;=$B$39, _xlfn.NORM.DIST(I72,$D$39,$F$39,FALSE), NA())</f>
        <v>4.2252267072689174E-5</v>
      </c>
    </row>
    <row r="73" spans="9:11" x14ac:dyDescent="0.3">
      <c r="I73">
        <v>9721.47749497935</v>
      </c>
      <c r="J73" t="e">
        <f>IF(I73&lt;=$B$39, _xlfn.NORM.DIST(I73,$D$39,$F$39,FALSE), NA())</f>
        <v>#N/A</v>
      </c>
      <c r="K73">
        <f>IF(I73&gt;=$B$39, _xlfn.NORM.DIST(I73,$D$39,$F$39,FALSE), NA())</f>
        <v>3.241619069813563E-5</v>
      </c>
    </row>
    <row r="74" spans="9:11" x14ac:dyDescent="0.3">
      <c r="I74">
        <v>9753.6248096082145</v>
      </c>
      <c r="J74" t="e">
        <f>IF(I74&lt;=$B$39, _xlfn.NORM.DIST(I74,$D$39,$F$39,FALSE), NA())</f>
        <v>#N/A</v>
      </c>
      <c r="K74">
        <f>IF(I74&gt;=$B$39, _xlfn.NORM.DIST(I74,$D$39,$F$39,FALSE), NA())</f>
        <v>2.462243479544843E-5</v>
      </c>
    </row>
    <row r="75" spans="9:11" x14ac:dyDescent="0.3">
      <c r="I75">
        <v>9785.772124237079</v>
      </c>
      <c r="J75" t="e">
        <f>IF(I75&lt;=$B$39, _xlfn.NORM.DIST(I75,$D$39,$F$39,FALSE), NA())</f>
        <v>#N/A</v>
      </c>
      <c r="K75">
        <f>IF(I75&gt;=$B$39, _xlfn.NORM.DIST(I75,$D$39,$F$39,FALSE), NA())</f>
        <v>1.8516421942226805E-5</v>
      </c>
    </row>
    <row r="76" spans="9:11" x14ac:dyDescent="0.3">
      <c r="I76">
        <v>9817.9194388659434</v>
      </c>
      <c r="J76" t="e">
        <f>IF(I76&lt;=$B$39, _xlfn.NORM.DIST(I76,$D$39,$F$39,FALSE), NA())</f>
        <v>#N/A</v>
      </c>
      <c r="K76">
        <f>IF(I76&gt;=$B$39, _xlfn.NORM.DIST(I76,$D$39,$F$39,FALSE), NA())</f>
        <v>1.3786061022834744E-5</v>
      </c>
    </row>
    <row r="77" spans="9:11" x14ac:dyDescent="0.3">
      <c r="I77">
        <v>9850.0667534948079</v>
      </c>
      <c r="J77" t="e">
        <f>IF(I77&lt;=$B$39, _xlfn.NORM.DIST(I77,$D$39,$F$39,FALSE), NA())</f>
        <v>#N/A</v>
      </c>
      <c r="K77">
        <f>IF(I77&gt;=$B$39, _xlfn.NORM.DIST(I77,$D$39,$F$39,FALSE), NA())</f>
        <v>1.0162027820720872E-5</v>
      </c>
    </row>
    <row r="78" spans="9:11" x14ac:dyDescent="0.3">
      <c r="I78">
        <v>9882.2140681236742</v>
      </c>
      <c r="J78" t="e">
        <f>IF(I78&lt;=$B$39, _xlfn.NORM.DIST(I78,$D$39,$F$39,FALSE), NA())</f>
        <v>#N/A</v>
      </c>
      <c r="K78">
        <f>IF(I78&gt;=$B$39, _xlfn.NORM.DIST(I78,$D$39,$F$39,FALSE), NA())</f>
        <v>7.4161348435745987E-6</v>
      </c>
    </row>
    <row r="79" spans="9:11" x14ac:dyDescent="0.3">
      <c r="I79">
        <v>9914.3613827525387</v>
      </c>
      <c r="J79" t="e">
        <f>IF(I79&lt;=$B$39, _xlfn.NORM.DIST(I79,$D$39,$F$39,FALSE), NA())</f>
        <v>#N/A</v>
      </c>
      <c r="K79">
        <f>IF(I79&gt;=$B$39, _xlfn.NORM.DIST(I79,$D$39,$F$39,FALSE), NA())</f>
        <v>5.3583602827807365E-6</v>
      </c>
    </row>
    <row r="80" spans="9:11" x14ac:dyDescent="0.3">
      <c r="I80">
        <v>9946.5086973814032</v>
      </c>
      <c r="J80" t="e">
        <f>IF(I80&lt;=$B$39, _xlfn.NORM.DIST(I80,$D$39,$F$39,FALSE), NA())</f>
        <v>#N/A</v>
      </c>
      <c r="K80">
        <f>IF(I80&gt;=$B$39, _xlfn.NORM.DIST(I80,$D$39,$F$39,FALSE), NA())</f>
        <v>3.8330391906719441E-6</v>
      </c>
    </row>
    <row r="81" spans="9:11" x14ac:dyDescent="0.3">
      <c r="I81">
        <v>9978.6560120102677</v>
      </c>
      <c r="J81" t="e">
        <f>IF(I81&lt;=$B$39, _xlfn.NORM.DIST(I81,$D$39,$F$39,FALSE), NA())</f>
        <v>#N/A</v>
      </c>
      <c r="K81">
        <f>IF(I81&gt;=$B$39, _xlfn.NORM.DIST(I81,$D$39,$F$39,FALSE), NA())</f>
        <v>2.7146363704736196E-6</v>
      </c>
    </row>
    <row r="82" spans="9:11" x14ac:dyDescent="0.3">
      <c r="I82">
        <v>10010.803326639132</v>
      </c>
      <c r="J82" t="e">
        <f>IF(I82&lt;=$B$39, _xlfn.NORM.DIST(I82,$D$39,$F$39,FALSE), NA())</f>
        <v>#N/A</v>
      </c>
      <c r="K82">
        <f>IF(I82&gt;=$B$39, _xlfn.NORM.DIST(I82,$D$39,$F$39,FALSE), NA())</f>
        <v>1.9034309309442141E-6</v>
      </c>
    </row>
    <row r="83" spans="9:11" x14ac:dyDescent="0.3">
      <c r="I83">
        <v>10042.950641267998</v>
      </c>
      <c r="J83" t="e">
        <f>IF(I83&lt;=$B$39, _xlfn.NORM.DIST(I83,$D$39,$F$39,FALSE), NA())</f>
        <v>#N/A</v>
      </c>
      <c r="K83">
        <f>IF(I83&gt;=$B$39, _xlfn.NORM.DIST(I83,$D$39,$F$39,FALSE), NA())</f>
        <v>1.3213553774390032E-6</v>
      </c>
    </row>
    <row r="84" spans="9:11" x14ac:dyDescent="0.3">
      <c r="I84">
        <v>10075.097955896863</v>
      </c>
      <c r="J84" t="e">
        <f>IF(I84&lt;=$B$39, _xlfn.NORM.DIST(I84,$D$39,$F$39,FALSE), NA())</f>
        <v>#N/A</v>
      </c>
      <c r="K84">
        <f>IF(I84&gt;=$B$39, _xlfn.NORM.DIST(I84,$D$39,$F$39,FALSE), NA())</f>
        <v>9.0815338438662844E-7</v>
      </c>
    </row>
    <row r="85" spans="9:11" x14ac:dyDescent="0.3">
      <c r="I85">
        <v>10107.245270525727</v>
      </c>
      <c r="J85" t="e">
        <f>IF(I85&lt;=$B$39, _xlfn.NORM.DIST(I85,$D$39,$F$39,FALSE), NA())</f>
        <v>#N/A</v>
      </c>
      <c r="K85">
        <f>IF(I85&gt;=$B$39, _xlfn.NORM.DIST(I85,$D$39,$F$39,FALSE), NA())</f>
        <v>6.1795354817723254E-7</v>
      </c>
    </row>
    <row r="86" spans="9:11" x14ac:dyDescent="0.3">
      <c r="I86">
        <v>10139.392585154592</v>
      </c>
      <c r="J86" t="e">
        <f>IF(I86&lt;=$B$39, _xlfn.NORM.DIST(I86,$D$39,$F$39,FALSE), NA())</f>
        <v>#N/A</v>
      </c>
      <c r="K86">
        <f>IF(I86&gt;=$B$39, _xlfn.NORM.DIST(I86,$D$39,$F$39,FALSE), NA())</f>
        <v>4.1630297059001521E-7</v>
      </c>
    </row>
  </sheetData>
  <conditionalFormatting sqref="B40">
    <cfRule type="cellIs" dxfId="3" priority="1" operator="lessThan">
      <formula>0</formula>
    </cfRule>
  </conditionalFormatting>
  <conditionalFormatting sqref="B40">
    <cfRule type="cellIs" dxfId="2" priority="2" operator="greaterThan">
      <formula>0</formula>
    </cfRule>
  </conditionalFormatting>
  <conditionalFormatting sqref="B41">
    <cfRule type="cellIs" dxfId="1" priority="3" operator="lessThan">
      <formula>0.7</formula>
    </cfRule>
  </conditionalFormatting>
  <conditionalFormatting sqref="B41">
    <cfRule type="cellIs" dxfId="0" priority="4" operator="greaterThan">
      <formula>0.9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BB251-802E-4DE2-A152-4421B264D584}">
  <sheetPr codeName="Sheet5"/>
  <dimension ref="A1:W200"/>
  <sheetViews>
    <sheetView topLeftCell="C1"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107</v>
      </c>
    </row>
    <row r="3" spans="1:23" x14ac:dyDescent="0.3">
      <c r="A3" s="13" t="s">
        <v>109</v>
      </c>
      <c r="B3" t="s">
        <v>110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78</v>
      </c>
      <c r="E4" s="2">
        <f>IFERROR(SUMPRODUCT(E8:E200,F8:F200)/D4,0)</f>
        <v>17.743589743589745</v>
      </c>
      <c r="F4" s="2">
        <f>IFERROR(SUMPRODUCT(E8:E200,G8:G200)/D4,0)</f>
        <v>0.42307692307692307</v>
      </c>
      <c r="G4" s="2">
        <f>IFERROR(SUMPRODUCT(E8:E200,H8:H200)/D4,0)</f>
        <v>2.5576923076923075</v>
      </c>
      <c r="H4" s="2">
        <f>SUMPRODUCT(E8:E200,V8:V200)</f>
        <v>39</v>
      </c>
      <c r="I4" s="2">
        <f>SUMPRODUCT(E8:E200,V8:V200)</f>
        <v>39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164</v>
      </c>
      <c r="C8">
        <v>2</v>
      </c>
      <c r="D8">
        <v>8</v>
      </c>
      <c r="E8">
        <f>IFERROR(C8*D8,0)</f>
        <v>16</v>
      </c>
      <c r="F8">
        <v>15</v>
      </c>
      <c r="G8">
        <v>0</v>
      </c>
      <c r="H8">
        <v>3</v>
      </c>
      <c r="I8">
        <v>1</v>
      </c>
      <c r="J8">
        <v>1</v>
      </c>
      <c r="K8">
        <v>0.8</v>
      </c>
      <c r="L8" t="s">
        <v>110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167</v>
      </c>
    </row>
    <row r="9" spans="1:23" x14ac:dyDescent="0.3">
      <c r="A9">
        <v>2</v>
      </c>
      <c r="B9" t="s">
        <v>168</v>
      </c>
      <c r="C9">
        <v>1</v>
      </c>
      <c r="D9">
        <v>5</v>
      </c>
      <c r="E9">
        <f>IFERROR(C9*D9,0)</f>
        <v>5</v>
      </c>
      <c r="F9">
        <v>6</v>
      </c>
      <c r="G9">
        <v>0</v>
      </c>
      <c r="H9">
        <v>4</v>
      </c>
      <c r="I9">
        <v>0.8</v>
      </c>
      <c r="J9">
        <v>0.5</v>
      </c>
      <c r="K9">
        <v>0.3</v>
      </c>
      <c r="L9" t="s">
        <v>110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169</v>
      </c>
      <c r="C10">
        <v>1</v>
      </c>
      <c r="D10">
        <v>35</v>
      </c>
      <c r="E10">
        <f>IFERROR(C10*D10,0)</f>
        <v>35</v>
      </c>
      <c r="F10">
        <v>18</v>
      </c>
      <c r="G10">
        <v>0</v>
      </c>
      <c r="H10">
        <v>2.5</v>
      </c>
      <c r="I10">
        <v>30</v>
      </c>
      <c r="J10">
        <v>0.3</v>
      </c>
      <c r="K10">
        <v>0.3</v>
      </c>
      <c r="L10" t="s">
        <v>110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170</v>
      </c>
    </row>
    <row r="11" spans="1:23" x14ac:dyDescent="0.3">
      <c r="A11">
        <v>4</v>
      </c>
      <c r="B11" t="s">
        <v>171</v>
      </c>
      <c r="C11">
        <v>1</v>
      </c>
      <c r="D11">
        <v>22</v>
      </c>
      <c r="E11">
        <f>IFERROR(C11*D11,0)</f>
        <v>22</v>
      </c>
      <c r="F11">
        <v>22</v>
      </c>
      <c r="G11">
        <v>1.5</v>
      </c>
      <c r="H11">
        <v>2</v>
      </c>
      <c r="I11">
        <v>1.5</v>
      </c>
      <c r="J11">
        <v>1</v>
      </c>
      <c r="K11">
        <v>0.8</v>
      </c>
      <c r="L11" t="s">
        <v>110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4B582-1737-4311-8D19-5E3A783D0684}">
  <sheetPr codeName="Sheet6"/>
  <dimension ref="A1:W200"/>
  <sheetViews>
    <sheetView workbookViewId="0">
      <pane ySplit="7" topLeftCell="A8" activePane="bottomLeft" state="frozen"/>
      <selection pane="bottomLeft" activeCell="V8" sqref="V8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119</v>
      </c>
    </row>
    <row r="3" spans="1:23" x14ac:dyDescent="0.3">
      <c r="A3" s="13" t="s">
        <v>109</v>
      </c>
      <c r="B3" t="s">
        <v>120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16</v>
      </c>
      <c r="E4" s="2">
        <f>IFERROR(SUMPRODUCT(E8:E200,F8:F200)/D4,0)</f>
        <v>11.75</v>
      </c>
      <c r="F4" s="2">
        <f>IFERROR(SUMPRODUCT(E8:E200,G8:G200)/D4,0)</f>
        <v>0</v>
      </c>
      <c r="G4" s="2">
        <f>IFERROR(SUMPRODUCT(E8:E200,H8:H200)/D4,0)</f>
        <v>4</v>
      </c>
      <c r="H4" s="2">
        <f>SUMPRODUCT(E8:E200,V8:V200)</f>
        <v>4.4000000000000004</v>
      </c>
      <c r="I4" s="2">
        <f>SUMPRODUCT(E8:E200,V8:V200)</f>
        <v>4.4000000000000004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172</v>
      </c>
      <c r="C8">
        <v>2</v>
      </c>
      <c r="D8">
        <v>6</v>
      </c>
      <c r="E8">
        <f>IFERROR(C8*D8,0)</f>
        <v>12</v>
      </c>
      <c r="F8">
        <v>5</v>
      </c>
      <c r="G8">
        <v>0</v>
      </c>
      <c r="H8">
        <v>4</v>
      </c>
      <c r="I8">
        <v>0.5</v>
      </c>
      <c r="J8">
        <v>0.4</v>
      </c>
      <c r="K8">
        <v>0.2</v>
      </c>
      <c r="L8" t="s">
        <v>120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  <c r="W8" t="s">
        <v>173</v>
      </c>
    </row>
    <row r="9" spans="1:23" x14ac:dyDescent="0.3">
      <c r="A9">
        <v>2</v>
      </c>
      <c r="B9" t="s">
        <v>174</v>
      </c>
      <c r="C9">
        <v>1</v>
      </c>
      <c r="D9">
        <v>4</v>
      </c>
      <c r="E9">
        <f>IFERROR(C9*D9,0)</f>
        <v>4</v>
      </c>
      <c r="F9">
        <v>32</v>
      </c>
      <c r="G9">
        <v>0</v>
      </c>
      <c r="H9">
        <v>4</v>
      </c>
      <c r="I9">
        <v>0.6</v>
      </c>
      <c r="J9">
        <v>0.3</v>
      </c>
      <c r="K9">
        <v>0.3</v>
      </c>
      <c r="L9" t="s">
        <v>120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175</v>
      </c>
    </row>
    <row r="10" spans="1:23" x14ac:dyDescent="0.3">
      <c r="M10" s="58"/>
      <c r="N10" s="58"/>
      <c r="O10" s="58"/>
      <c r="P10" s="58"/>
      <c r="Q10" s="58"/>
      <c r="R10" s="58"/>
      <c r="S10" s="58"/>
      <c r="T10" s="58"/>
      <c r="U10" s="58"/>
      <c r="V10" s="59"/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36C34-55CE-485D-9EB1-BD95E20CA0D8}">
  <sheetPr codeName="Sheet8"/>
  <dimension ref="A1:W200"/>
  <sheetViews>
    <sheetView topLeftCell="G1" workbookViewId="0">
      <pane ySplit="7" topLeftCell="A8" activePane="bottomLeft" state="frozen"/>
      <selection pane="bottomLeft" activeCell="V9" sqref="V9"/>
    </sheetView>
  </sheetViews>
  <sheetFormatPr defaultRowHeight="14.4" x14ac:dyDescent="0.3"/>
  <cols>
    <col min="1" max="1" width="5.5546875" customWidth="1"/>
    <col min="2" max="2" width="33.33203125" customWidth="1"/>
    <col min="6" max="6" width="9.5546875" bestFit="1" customWidth="1"/>
    <col min="13" max="17" width="7" customWidth="1"/>
    <col min="18" max="18" width="10" bestFit="1" customWidth="1"/>
    <col min="19" max="19" width="9.6640625" bestFit="1" customWidth="1"/>
    <col min="20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121</v>
      </c>
    </row>
    <row r="3" spans="1:23" x14ac:dyDescent="0.3">
      <c r="A3" s="13" t="s">
        <v>109</v>
      </c>
      <c r="B3" t="s">
        <v>122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386</v>
      </c>
      <c r="E4" s="2">
        <f>IFERROR(SUMPRODUCT(E8:E200,F8:F200)/D4,0)</f>
        <v>12.160621761658032</v>
      </c>
      <c r="F4" s="2">
        <f>IFERROR(SUMPRODUCT(E8:E200,G8:G200)/D4,0)</f>
        <v>0</v>
      </c>
      <c r="G4" s="2">
        <f>IFERROR(SUMPRODUCT(E8:E200,H8:H200)/D4,0)</f>
        <v>2.5984455958549222</v>
      </c>
      <c r="H4" s="2">
        <f>SUMPRODUCT(E8:E200,V8:V200)</f>
        <v>157</v>
      </c>
      <c r="I4" s="2">
        <f>SUMPRODUCT(E8:E200,V8:V200)</f>
        <v>157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180</v>
      </c>
      <c r="C8">
        <v>2</v>
      </c>
      <c r="D8">
        <v>60</v>
      </c>
      <c r="E8">
        <f>IFERROR(C8*D8,0)</f>
        <v>120</v>
      </c>
      <c r="F8">
        <v>8</v>
      </c>
      <c r="G8">
        <v>0</v>
      </c>
      <c r="H8">
        <v>1.5</v>
      </c>
      <c r="I8">
        <v>1.5</v>
      </c>
      <c r="J8">
        <v>1</v>
      </c>
      <c r="K8">
        <v>0.8</v>
      </c>
      <c r="L8" t="s">
        <v>122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  <c r="W8" t="s">
        <v>181</v>
      </c>
    </row>
    <row r="9" spans="1:23" x14ac:dyDescent="0.3">
      <c r="A9">
        <v>2</v>
      </c>
      <c r="B9" t="s">
        <v>182</v>
      </c>
      <c r="C9">
        <v>2</v>
      </c>
      <c r="D9">
        <v>25</v>
      </c>
      <c r="E9">
        <f>IFERROR(C9*D9,0)</f>
        <v>50</v>
      </c>
      <c r="F9">
        <v>7</v>
      </c>
      <c r="G9">
        <v>0</v>
      </c>
      <c r="H9">
        <v>3.5</v>
      </c>
      <c r="I9">
        <v>1</v>
      </c>
      <c r="J9">
        <v>0.6</v>
      </c>
      <c r="K9">
        <v>0.4</v>
      </c>
      <c r="L9" t="s">
        <v>122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183</v>
      </c>
      <c r="C10">
        <v>1</v>
      </c>
      <c r="D10">
        <v>180</v>
      </c>
      <c r="E10">
        <f>IFERROR(C10*D10,0)</f>
        <v>180</v>
      </c>
      <c r="F10">
        <v>17</v>
      </c>
      <c r="G10">
        <v>0</v>
      </c>
      <c r="H10">
        <v>3</v>
      </c>
      <c r="I10">
        <v>35</v>
      </c>
      <c r="J10">
        <v>0.1</v>
      </c>
      <c r="K10">
        <v>0.1</v>
      </c>
      <c r="L10" t="s">
        <v>122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34</v>
      </c>
    </row>
    <row r="11" spans="1:23" x14ac:dyDescent="0.3">
      <c r="A11">
        <v>4</v>
      </c>
      <c r="B11" t="s">
        <v>184</v>
      </c>
      <c r="C11">
        <v>2</v>
      </c>
      <c r="D11">
        <v>18</v>
      </c>
      <c r="E11">
        <f>IFERROR(C11*D11,0)</f>
        <v>36</v>
      </c>
      <c r="F11">
        <v>9</v>
      </c>
      <c r="G11">
        <v>0</v>
      </c>
      <c r="H11">
        <v>3</v>
      </c>
      <c r="I11">
        <v>0.8</v>
      </c>
      <c r="J11">
        <v>0.5</v>
      </c>
      <c r="K11">
        <v>0.3</v>
      </c>
      <c r="L11" t="s">
        <v>122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2E2C-EC21-4A0B-813E-24FEB4AA5EA2}">
  <sheetPr codeName="Sheet9"/>
  <dimension ref="A1:W200"/>
  <sheetViews>
    <sheetView topLeftCell="E1"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123</v>
      </c>
    </row>
    <row r="3" spans="1:23" x14ac:dyDescent="0.3">
      <c r="A3" s="13" t="s">
        <v>109</v>
      </c>
      <c r="B3" t="s">
        <v>124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580</v>
      </c>
      <c r="E4" s="2">
        <f>IFERROR(SUMPRODUCT(E8:E200,F8:F200)/D4,0)</f>
        <v>18.448275862068964</v>
      </c>
      <c r="F4" s="2">
        <f>IFERROR(SUMPRODUCT(E8:E200,G8:G200)/D4,0)</f>
        <v>1.1724137931034482</v>
      </c>
      <c r="G4" s="2">
        <f>IFERROR(SUMPRODUCT(E8:E200,H8:H200)/D4,0)</f>
        <v>2.0301724137931036</v>
      </c>
      <c r="H4" s="2">
        <f>SUMPRODUCT(E8:E200,V8:V200)</f>
        <v>290</v>
      </c>
      <c r="I4" s="2">
        <f>SUMPRODUCT(E8:E200,V8:V200)</f>
        <v>290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185</v>
      </c>
      <c r="C8">
        <v>2</v>
      </c>
      <c r="D8">
        <v>85</v>
      </c>
      <c r="E8">
        <f>IFERROR(C8*D8,0)</f>
        <v>170</v>
      </c>
      <c r="F8">
        <v>19</v>
      </c>
      <c r="G8">
        <v>4</v>
      </c>
      <c r="H8">
        <v>2</v>
      </c>
      <c r="I8">
        <v>1.5</v>
      </c>
      <c r="J8">
        <v>1</v>
      </c>
      <c r="K8">
        <v>0.6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186</v>
      </c>
    </row>
    <row r="9" spans="1:23" x14ac:dyDescent="0.3">
      <c r="A9">
        <v>2</v>
      </c>
      <c r="B9" t="s">
        <v>187</v>
      </c>
      <c r="C9">
        <v>1</v>
      </c>
      <c r="D9">
        <v>65</v>
      </c>
      <c r="E9">
        <f>IFERROR(C9*D9,0)</f>
        <v>65</v>
      </c>
      <c r="F9">
        <v>27</v>
      </c>
      <c r="G9">
        <v>0</v>
      </c>
      <c r="H9">
        <v>3</v>
      </c>
      <c r="I9">
        <v>1.2</v>
      </c>
      <c r="J9">
        <v>0.9</v>
      </c>
      <c r="K9">
        <v>0.5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188</v>
      </c>
      <c r="C10">
        <v>1</v>
      </c>
      <c r="D10">
        <v>90</v>
      </c>
      <c r="E10">
        <f>IFERROR(C10*D10,0)</f>
        <v>90</v>
      </c>
      <c r="F10">
        <v>22</v>
      </c>
      <c r="G10">
        <v>0</v>
      </c>
      <c r="H10">
        <v>2.5</v>
      </c>
      <c r="I10">
        <v>18</v>
      </c>
      <c r="J10">
        <v>0.15</v>
      </c>
      <c r="K10">
        <v>0.15</v>
      </c>
      <c r="L10" t="s">
        <v>122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189</v>
      </c>
    </row>
    <row r="11" spans="1:23" x14ac:dyDescent="0.3">
      <c r="A11">
        <v>4</v>
      </c>
      <c r="B11" t="s">
        <v>190</v>
      </c>
      <c r="C11">
        <v>1</v>
      </c>
      <c r="D11">
        <v>35</v>
      </c>
      <c r="E11">
        <f>IFERROR(C11*D11,0)</f>
        <v>35</v>
      </c>
      <c r="F11">
        <v>25</v>
      </c>
      <c r="G11">
        <v>0</v>
      </c>
      <c r="H11">
        <v>2.5</v>
      </c>
      <c r="I11">
        <v>1</v>
      </c>
      <c r="J11">
        <v>0.8</v>
      </c>
      <c r="K11">
        <v>0.4</v>
      </c>
      <c r="L11" t="s">
        <v>122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191</v>
      </c>
      <c r="C12">
        <v>1</v>
      </c>
      <c r="D12">
        <v>220</v>
      </c>
      <c r="E12">
        <f>IFERROR(C12*D12,0)</f>
        <v>220</v>
      </c>
      <c r="F12">
        <v>13</v>
      </c>
      <c r="G12">
        <v>0</v>
      </c>
      <c r="H12">
        <v>1.5</v>
      </c>
      <c r="I12">
        <v>3</v>
      </c>
      <c r="J12">
        <v>1.5</v>
      </c>
      <c r="K12">
        <v>0.8</v>
      </c>
      <c r="L12" t="s">
        <v>142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  <c r="W12" t="s">
        <v>192</v>
      </c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9A079-8AC9-43F8-9EC2-267FA75F2AFA}">
  <sheetPr codeName="Sheet10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125</v>
      </c>
    </row>
    <row r="3" spans="1:23" x14ac:dyDescent="0.3">
      <c r="A3" s="13" t="s">
        <v>109</v>
      </c>
      <c r="B3" t="s">
        <v>126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695</v>
      </c>
      <c r="E4" s="2">
        <f>IFERROR(SUMPRODUCT(E8:E200,F8:F200)/D4,0)</f>
        <v>14.03956834532374</v>
      </c>
      <c r="F4" s="2">
        <f>IFERROR(SUMPRODUCT(E8:E200,G8:G200)/D4,0)</f>
        <v>0.63669064748201443</v>
      </c>
      <c r="G4" s="2">
        <f>IFERROR(SUMPRODUCT(E8:E200,H8:H200)/D4,0)</f>
        <v>3.0949640287769786</v>
      </c>
      <c r="H4" s="2">
        <f>SUMPRODUCT(E8:E200,V8:V200)</f>
        <v>259</v>
      </c>
      <c r="I4" s="2">
        <f>SUMPRODUCT(E8:E200,V8:V200)</f>
        <v>259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193</v>
      </c>
      <c r="C8">
        <v>1</v>
      </c>
      <c r="D8">
        <v>45</v>
      </c>
      <c r="E8">
        <f>IFERROR(C8*D8,0)</f>
        <v>45</v>
      </c>
      <c r="F8">
        <v>5</v>
      </c>
      <c r="G8">
        <v>0</v>
      </c>
      <c r="H8">
        <v>3</v>
      </c>
      <c r="I8">
        <v>3</v>
      </c>
      <c r="J8">
        <v>2</v>
      </c>
      <c r="K8">
        <v>4</v>
      </c>
      <c r="L8" t="s">
        <v>126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</row>
    <row r="9" spans="1:23" x14ac:dyDescent="0.3">
      <c r="A9">
        <v>2</v>
      </c>
      <c r="B9" t="s">
        <v>194</v>
      </c>
      <c r="C9">
        <v>4</v>
      </c>
      <c r="D9">
        <v>50</v>
      </c>
      <c r="E9">
        <f>IFERROR(C9*D9,0)</f>
        <v>200</v>
      </c>
      <c r="F9">
        <v>14</v>
      </c>
      <c r="G9">
        <v>1.8</v>
      </c>
      <c r="H9">
        <v>3</v>
      </c>
      <c r="I9">
        <v>3</v>
      </c>
      <c r="J9">
        <v>2</v>
      </c>
      <c r="K9">
        <v>4</v>
      </c>
      <c r="L9" t="s">
        <v>126</v>
      </c>
      <c r="M9" s="58"/>
      <c r="N9" s="58" t="s">
        <v>416</v>
      </c>
      <c r="O9" s="58"/>
      <c r="P9" s="58"/>
      <c r="Q9" s="58" t="s">
        <v>416</v>
      </c>
      <c r="R9" s="58"/>
      <c r="S9" s="58" t="s">
        <v>416</v>
      </c>
      <c r="T9" s="58"/>
      <c r="U9" s="58"/>
      <c r="V9" s="59">
        <f>IF(UPPER(M9)="X",0.5,IF(UPPER(N9)="X",0.2,IF(UPPER(O9)="X",0.05,0)))</f>
        <v>0.2</v>
      </c>
      <c r="W9" t="s">
        <v>195</v>
      </c>
    </row>
    <row r="10" spans="1:23" x14ac:dyDescent="0.3">
      <c r="A10">
        <v>3</v>
      </c>
      <c r="B10" t="s">
        <v>196</v>
      </c>
      <c r="C10">
        <v>1</v>
      </c>
      <c r="D10">
        <v>50</v>
      </c>
      <c r="E10">
        <f>IFERROR(C10*D10,0)</f>
        <v>50</v>
      </c>
      <c r="F10">
        <v>20</v>
      </c>
      <c r="G10">
        <v>0</v>
      </c>
      <c r="H10">
        <v>3</v>
      </c>
      <c r="I10">
        <v>3</v>
      </c>
      <c r="J10">
        <v>2</v>
      </c>
      <c r="K10">
        <v>4</v>
      </c>
      <c r="L10" t="s">
        <v>126</v>
      </c>
      <c r="M10" s="58"/>
      <c r="N10" s="58" t="s">
        <v>416</v>
      </c>
      <c r="O10" s="58"/>
      <c r="P10" s="58"/>
      <c r="Q10" s="58" t="s">
        <v>416</v>
      </c>
      <c r="R10" s="58"/>
      <c r="S10" s="58" t="s">
        <v>416</v>
      </c>
      <c r="T10" s="58"/>
      <c r="U10" s="58"/>
      <c r="V10" s="59">
        <f>IF(UPPER(M10)="X",0.5,IF(UPPER(N10)="X",0.2,IF(UPPER(O10)="X",0.05,0)))</f>
        <v>0.2</v>
      </c>
    </row>
    <row r="11" spans="1:23" x14ac:dyDescent="0.3">
      <c r="A11">
        <v>4</v>
      </c>
      <c r="B11" t="s">
        <v>197</v>
      </c>
      <c r="C11">
        <v>1</v>
      </c>
      <c r="D11">
        <v>180</v>
      </c>
      <c r="E11">
        <f>IFERROR(C11*D11,0)</f>
        <v>180</v>
      </c>
      <c r="F11">
        <v>14</v>
      </c>
      <c r="G11">
        <v>0</v>
      </c>
      <c r="H11">
        <v>4</v>
      </c>
      <c r="I11">
        <v>18</v>
      </c>
      <c r="J11">
        <v>5</v>
      </c>
      <c r="K11">
        <v>1</v>
      </c>
      <c r="L11" t="s">
        <v>126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198</v>
      </c>
      <c r="C12">
        <v>1</v>
      </c>
      <c r="D12">
        <v>95</v>
      </c>
      <c r="E12">
        <f>IFERROR(C12*D12,0)</f>
        <v>95</v>
      </c>
      <c r="F12">
        <v>14</v>
      </c>
      <c r="G12">
        <v>0</v>
      </c>
      <c r="H12">
        <v>1.8</v>
      </c>
      <c r="I12">
        <v>18</v>
      </c>
      <c r="J12">
        <v>5</v>
      </c>
      <c r="K12">
        <v>0.2</v>
      </c>
      <c r="L12" t="s">
        <v>126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199</v>
      </c>
      <c r="C13">
        <v>1</v>
      </c>
      <c r="D13">
        <v>70</v>
      </c>
      <c r="E13">
        <f>IFERROR(C13*D13,0)</f>
        <v>70</v>
      </c>
      <c r="F13">
        <v>21</v>
      </c>
      <c r="G13">
        <v>0</v>
      </c>
      <c r="H13">
        <v>3</v>
      </c>
      <c r="I13">
        <v>3</v>
      </c>
      <c r="J13">
        <v>2.5</v>
      </c>
      <c r="K13">
        <v>5</v>
      </c>
      <c r="L13" t="s">
        <v>126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  <c r="W13" t="s">
        <v>200</v>
      </c>
    </row>
    <row r="14" spans="1:23" x14ac:dyDescent="0.3">
      <c r="A14">
        <v>7</v>
      </c>
      <c r="B14" t="s">
        <v>201</v>
      </c>
      <c r="C14">
        <v>1</v>
      </c>
      <c r="D14">
        <v>55</v>
      </c>
      <c r="E14">
        <f>IFERROR(C14*D14,0)</f>
        <v>55</v>
      </c>
      <c r="F14">
        <v>7.5</v>
      </c>
      <c r="G14">
        <v>1.5</v>
      </c>
      <c r="H14">
        <v>3</v>
      </c>
      <c r="I14">
        <v>2</v>
      </c>
      <c r="J14">
        <v>1.5</v>
      </c>
      <c r="K14">
        <v>4</v>
      </c>
      <c r="L14" t="s">
        <v>126</v>
      </c>
      <c r="M14" s="58" t="s">
        <v>416</v>
      </c>
      <c r="N14" s="58"/>
      <c r="O14" s="58"/>
      <c r="P14" s="58"/>
      <c r="Q14" s="58" t="s">
        <v>416</v>
      </c>
      <c r="R14" s="58" t="s">
        <v>416</v>
      </c>
      <c r="S14" s="58"/>
      <c r="T14" s="58"/>
      <c r="U14" s="58"/>
      <c r="V14" s="59">
        <f>IF(UPPER(M14)="X",0.5,IF(UPPER(N14)="X",0.2,IF(UPPER(O14)="X",0.05,0)))</f>
        <v>0.5</v>
      </c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ACE7-A750-4B99-93A1-FCC2CC7FC3AF}">
  <sheetPr codeName="Sheet12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128</v>
      </c>
    </row>
    <row r="3" spans="1:23" x14ac:dyDescent="0.3">
      <c r="A3" s="13" t="s">
        <v>109</v>
      </c>
      <c r="B3" t="s">
        <v>10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220</v>
      </c>
      <c r="E4" s="2">
        <f>IFERROR(SUMPRODUCT(E8:E200,F8:F200)/D4,0)</f>
        <v>19.645454545454545</v>
      </c>
      <c r="F4" s="2">
        <f>IFERROR(SUMPRODUCT(E8:E200,G8:G200)/D4,0)</f>
        <v>3.7454545454545456</v>
      </c>
      <c r="G4" s="2">
        <f>IFERROR(SUMPRODUCT(E8:E200,H8:H200)/D4,0)</f>
        <v>3.9295454545454547</v>
      </c>
      <c r="H4" s="2">
        <f>SUMPRODUCT(E8:E200,V8:V200)</f>
        <v>102.8</v>
      </c>
      <c r="I4" s="2">
        <f>SUMPRODUCT(E8:E200,V8:V200)</f>
        <v>102.8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210</v>
      </c>
      <c r="C8">
        <v>2</v>
      </c>
      <c r="D8">
        <v>12</v>
      </c>
      <c r="E8">
        <f>IFERROR(C8*D8,0)</f>
        <v>24</v>
      </c>
      <c r="F8">
        <v>5</v>
      </c>
      <c r="G8">
        <v>1</v>
      </c>
      <c r="H8">
        <v>3.5</v>
      </c>
      <c r="I8">
        <v>2</v>
      </c>
      <c r="J8">
        <v>1</v>
      </c>
      <c r="K8">
        <v>1</v>
      </c>
      <c r="L8" t="s">
        <v>10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  <c r="W8" t="s">
        <v>211</v>
      </c>
    </row>
    <row r="9" spans="1:23" x14ac:dyDescent="0.3">
      <c r="A9">
        <v>2</v>
      </c>
      <c r="B9" t="s">
        <v>212</v>
      </c>
      <c r="C9">
        <v>2</v>
      </c>
      <c r="D9">
        <v>18</v>
      </c>
      <c r="E9">
        <f>IFERROR(C9*D9,0)</f>
        <v>36</v>
      </c>
      <c r="F9">
        <v>17</v>
      </c>
      <c r="G9">
        <v>12</v>
      </c>
      <c r="H9">
        <v>4</v>
      </c>
      <c r="I9">
        <v>1</v>
      </c>
      <c r="J9">
        <v>0.5</v>
      </c>
      <c r="K9">
        <v>0.5</v>
      </c>
      <c r="L9" t="s">
        <v>10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213</v>
      </c>
    </row>
    <row r="10" spans="1:23" x14ac:dyDescent="0.3">
      <c r="A10">
        <v>3</v>
      </c>
      <c r="B10" t="s">
        <v>214</v>
      </c>
      <c r="C10">
        <v>2</v>
      </c>
      <c r="D10">
        <v>22</v>
      </c>
      <c r="E10">
        <f>IFERROR(C10*D10,0)</f>
        <v>44</v>
      </c>
      <c r="F10">
        <v>32</v>
      </c>
      <c r="G10">
        <v>2</v>
      </c>
      <c r="H10">
        <v>6</v>
      </c>
      <c r="I10">
        <v>1.2</v>
      </c>
      <c r="J10">
        <v>0.6</v>
      </c>
      <c r="K10">
        <v>0.6</v>
      </c>
      <c r="L10" t="s">
        <v>10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215</v>
      </c>
    </row>
    <row r="11" spans="1:23" x14ac:dyDescent="0.3">
      <c r="A11">
        <v>4</v>
      </c>
      <c r="B11" t="s">
        <v>216</v>
      </c>
      <c r="C11">
        <v>2</v>
      </c>
      <c r="D11">
        <v>28</v>
      </c>
      <c r="E11">
        <f>IFERROR(C11*D11,0)</f>
        <v>56</v>
      </c>
      <c r="F11">
        <v>17</v>
      </c>
      <c r="G11">
        <v>5</v>
      </c>
      <c r="H11">
        <v>2.5</v>
      </c>
      <c r="I11">
        <v>1.5</v>
      </c>
      <c r="J11">
        <v>0.8</v>
      </c>
      <c r="K11">
        <v>0.6</v>
      </c>
      <c r="L11" t="s">
        <v>10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217</v>
      </c>
      <c r="C12">
        <v>3</v>
      </c>
      <c r="D12">
        <v>5</v>
      </c>
      <c r="E12">
        <f>IFERROR(C12*D12,0)</f>
        <v>15</v>
      </c>
      <c r="F12">
        <v>28</v>
      </c>
      <c r="G12">
        <v>0</v>
      </c>
      <c r="H12">
        <v>5</v>
      </c>
      <c r="I12">
        <v>0.5</v>
      </c>
      <c r="J12">
        <v>0.3</v>
      </c>
      <c r="K12">
        <v>0.3</v>
      </c>
      <c r="L12" t="s">
        <v>10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218</v>
      </c>
      <c r="C13">
        <v>1</v>
      </c>
      <c r="D13">
        <v>45</v>
      </c>
      <c r="E13">
        <f>IFERROR(C13*D13,0)</f>
        <v>45</v>
      </c>
      <c r="F13">
        <v>18</v>
      </c>
      <c r="G13">
        <v>0</v>
      </c>
      <c r="H13">
        <v>3.5</v>
      </c>
      <c r="I13">
        <v>25</v>
      </c>
      <c r="J13">
        <v>0.1</v>
      </c>
      <c r="K13">
        <v>0.1</v>
      </c>
      <c r="L13" t="s">
        <v>10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EDB50-CDE7-47C7-86F7-F19CA41B8AF1}">
  <sheetPr codeName="Sheet13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129</v>
      </c>
    </row>
    <row r="3" spans="1:23" x14ac:dyDescent="0.3">
      <c r="A3" s="13" t="s">
        <v>109</v>
      </c>
      <c r="B3" t="s">
        <v>130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220</v>
      </c>
      <c r="E4" s="2">
        <f>IFERROR(SUMPRODUCT(E8:E200,F8:F200)/D4,0)</f>
        <v>18.045454545454547</v>
      </c>
      <c r="F4" s="2">
        <f>IFERROR(SUMPRODUCT(E8:E200,G8:G200)/D4,0)</f>
        <v>0</v>
      </c>
      <c r="G4" s="2">
        <f>IFERROR(SUMPRODUCT(E8:E200,H8:H200)/D4,0)</f>
        <v>2.0327272727272727</v>
      </c>
      <c r="H4" s="2">
        <f>SUMPRODUCT(E8:E200,V8:V200)</f>
        <v>110</v>
      </c>
      <c r="I4" s="2">
        <f>SUMPRODUCT(E8:E200,V8:V200)</f>
        <v>110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219</v>
      </c>
      <c r="C8">
        <v>1</v>
      </c>
      <c r="D8">
        <v>65</v>
      </c>
      <c r="E8">
        <f>IFERROR(C8*D8,0)</f>
        <v>65</v>
      </c>
      <c r="F8">
        <v>11</v>
      </c>
      <c r="G8">
        <v>0</v>
      </c>
      <c r="H8">
        <v>2</v>
      </c>
      <c r="I8">
        <v>4</v>
      </c>
      <c r="J8">
        <v>4</v>
      </c>
      <c r="K8">
        <v>1.5</v>
      </c>
      <c r="L8" t="s">
        <v>130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220</v>
      </c>
    </row>
    <row r="9" spans="1:23" x14ac:dyDescent="0.3">
      <c r="A9">
        <v>2</v>
      </c>
      <c r="B9" t="s">
        <v>221</v>
      </c>
      <c r="C9">
        <v>1</v>
      </c>
      <c r="D9">
        <v>75</v>
      </c>
      <c r="E9">
        <f>IFERROR(C9*D9,0)</f>
        <v>75</v>
      </c>
      <c r="F9">
        <v>24</v>
      </c>
      <c r="G9">
        <v>0</v>
      </c>
      <c r="H9">
        <v>2</v>
      </c>
      <c r="I9">
        <v>5</v>
      </c>
      <c r="J9">
        <v>4</v>
      </c>
      <c r="K9">
        <v>1.5</v>
      </c>
      <c r="L9" t="s">
        <v>130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222</v>
      </c>
    </row>
    <row r="10" spans="1:23" x14ac:dyDescent="0.3">
      <c r="A10">
        <v>3</v>
      </c>
      <c r="B10" t="s">
        <v>223</v>
      </c>
      <c r="C10">
        <v>4</v>
      </c>
      <c r="D10">
        <v>6</v>
      </c>
      <c r="E10">
        <f>IFERROR(C10*D10,0)</f>
        <v>24</v>
      </c>
      <c r="F10">
        <v>17</v>
      </c>
      <c r="G10">
        <v>0</v>
      </c>
      <c r="H10">
        <v>1.8</v>
      </c>
      <c r="I10">
        <v>0.5</v>
      </c>
      <c r="J10">
        <v>0.4</v>
      </c>
      <c r="K10">
        <v>0.3</v>
      </c>
      <c r="L10" t="s">
        <v>130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224</v>
      </c>
    </row>
    <row r="11" spans="1:23" x14ac:dyDescent="0.3">
      <c r="A11">
        <v>4</v>
      </c>
      <c r="B11" t="s">
        <v>225</v>
      </c>
      <c r="C11">
        <v>1</v>
      </c>
      <c r="D11">
        <v>35</v>
      </c>
      <c r="E11">
        <f>IFERROR(C11*D11,0)</f>
        <v>35</v>
      </c>
      <c r="F11">
        <v>18</v>
      </c>
      <c r="G11">
        <v>0</v>
      </c>
      <c r="H11">
        <v>2</v>
      </c>
      <c r="I11">
        <v>25</v>
      </c>
      <c r="J11">
        <v>0.1</v>
      </c>
      <c r="K11">
        <v>0.1</v>
      </c>
      <c r="L11" t="s">
        <v>130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226</v>
      </c>
      <c r="C12">
        <v>6</v>
      </c>
      <c r="D12">
        <v>1.5</v>
      </c>
      <c r="E12">
        <f>IFERROR(C12*D12,0)</f>
        <v>9</v>
      </c>
      <c r="F12">
        <v>17</v>
      </c>
      <c r="G12">
        <v>0</v>
      </c>
      <c r="H12">
        <v>2</v>
      </c>
      <c r="I12">
        <v>0.4</v>
      </c>
      <c r="J12">
        <v>0.2</v>
      </c>
      <c r="K12">
        <v>0.2</v>
      </c>
      <c r="L12" t="s">
        <v>130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227</v>
      </c>
      <c r="C13">
        <v>1</v>
      </c>
      <c r="D13">
        <v>12</v>
      </c>
      <c r="E13">
        <f>IFERROR(C13*D13,0)</f>
        <v>12</v>
      </c>
      <c r="F13">
        <v>22</v>
      </c>
      <c r="G13">
        <v>0</v>
      </c>
      <c r="H13">
        <v>3</v>
      </c>
      <c r="I13">
        <v>0.8</v>
      </c>
      <c r="J13">
        <v>0.6</v>
      </c>
      <c r="K13">
        <v>0.4</v>
      </c>
      <c r="L13" t="s">
        <v>130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787F-1A3A-4F27-9C14-C808A9740EA7}">
  <sheetPr codeName="Sheet14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131</v>
      </c>
    </row>
    <row r="3" spans="1:23" x14ac:dyDescent="0.3">
      <c r="A3" s="13" t="s">
        <v>109</v>
      </c>
      <c r="B3" t="s">
        <v>132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90</v>
      </c>
      <c r="E4" s="2">
        <f>IFERROR(SUMPRODUCT(E8:E200,F8:F200)/D4,0)</f>
        <v>20.133333333333333</v>
      </c>
      <c r="F4" s="2">
        <f>IFERROR(SUMPRODUCT(E8:E200,G8:G200)/D4,0)</f>
        <v>1.4222222222222223</v>
      </c>
      <c r="G4" s="2">
        <f>IFERROR(SUMPRODUCT(E8:E200,H8:H200)/D4,0)</f>
        <v>2.8444444444444446</v>
      </c>
      <c r="H4" s="2">
        <f>SUMPRODUCT(E8:E200,V8:V200)</f>
        <v>45</v>
      </c>
      <c r="I4" s="2">
        <f>SUMPRODUCT(E8:E200,V8:V200)</f>
        <v>45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228</v>
      </c>
      <c r="C8">
        <v>2</v>
      </c>
      <c r="D8">
        <v>14</v>
      </c>
      <c r="E8">
        <f>IFERROR(C8*D8,0)</f>
        <v>28</v>
      </c>
      <c r="F8">
        <v>19</v>
      </c>
      <c r="G8">
        <v>4</v>
      </c>
      <c r="H8">
        <v>2.5</v>
      </c>
      <c r="I8">
        <v>0.7</v>
      </c>
      <c r="J8">
        <v>0.5</v>
      </c>
      <c r="K8">
        <v>0.4</v>
      </c>
      <c r="L8" t="s">
        <v>132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</row>
    <row r="9" spans="1:23" x14ac:dyDescent="0.3">
      <c r="A9">
        <v>2</v>
      </c>
      <c r="B9" t="s">
        <v>229</v>
      </c>
      <c r="C9">
        <v>1</v>
      </c>
      <c r="D9">
        <v>18</v>
      </c>
      <c r="E9">
        <f>IFERROR(C9*D9,0)</f>
        <v>18</v>
      </c>
      <c r="F9">
        <v>22</v>
      </c>
      <c r="G9">
        <v>0</v>
      </c>
      <c r="H9">
        <v>3</v>
      </c>
      <c r="I9">
        <v>1.2</v>
      </c>
      <c r="J9">
        <v>0.8</v>
      </c>
      <c r="K9">
        <v>0.6</v>
      </c>
      <c r="L9" t="s">
        <v>132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230</v>
      </c>
      <c r="C10">
        <v>2</v>
      </c>
      <c r="D10">
        <v>8</v>
      </c>
      <c r="E10">
        <f>IFERROR(C10*D10,0)</f>
        <v>16</v>
      </c>
      <c r="F10">
        <v>22</v>
      </c>
      <c r="G10">
        <v>1</v>
      </c>
      <c r="H10">
        <v>3</v>
      </c>
      <c r="I10">
        <v>0.6</v>
      </c>
      <c r="J10">
        <v>0.4</v>
      </c>
      <c r="K10">
        <v>0.4</v>
      </c>
      <c r="L10" t="s">
        <v>132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231</v>
      </c>
      <c r="C11">
        <v>1</v>
      </c>
      <c r="D11">
        <v>28</v>
      </c>
      <c r="E11">
        <f>IFERROR(C11*D11,0)</f>
        <v>28</v>
      </c>
      <c r="F11">
        <v>19</v>
      </c>
      <c r="G11">
        <v>0</v>
      </c>
      <c r="H11">
        <v>3</v>
      </c>
      <c r="I11">
        <v>25</v>
      </c>
      <c r="J11">
        <v>0.1</v>
      </c>
      <c r="K11">
        <v>0.1</v>
      </c>
      <c r="L11" t="s">
        <v>132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3E6D6-15BD-4490-9869-2F71BB7A602F}">
  <sheetPr codeName="Sheet16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133</v>
      </c>
    </row>
    <row r="3" spans="1:23" x14ac:dyDescent="0.3">
      <c r="A3" s="13" t="s">
        <v>109</v>
      </c>
      <c r="B3" t="s">
        <v>15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970</v>
      </c>
      <c r="E4" s="2">
        <f>IFERROR(SUMPRODUCT(E8:E200,F8:F200)/D4,0)</f>
        <v>16.020618556701031</v>
      </c>
      <c r="F4" s="2">
        <f>IFERROR(SUMPRODUCT(E8:E200,G8:G200)/D4,0)</f>
        <v>4.0206185567010309</v>
      </c>
      <c r="G4" s="2">
        <f>IFERROR(SUMPRODUCT(E8:E200,H8:H200)/D4,0)</f>
        <v>0.52319587628865982</v>
      </c>
      <c r="H4" s="2">
        <f>SUMPRODUCT(E8:E200,V8:V200)</f>
        <v>485</v>
      </c>
      <c r="I4" s="2">
        <f>SUMPRODUCT(E8:E200,V8:V200)</f>
        <v>485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245</v>
      </c>
      <c r="C8">
        <v>1</v>
      </c>
      <c r="D8">
        <v>145</v>
      </c>
      <c r="E8">
        <f>IFERROR(C8*D8,0)</f>
        <v>145</v>
      </c>
      <c r="F8">
        <v>6</v>
      </c>
      <c r="G8">
        <v>0</v>
      </c>
      <c r="H8">
        <v>0.5</v>
      </c>
      <c r="I8">
        <v>4</v>
      </c>
      <c r="J8">
        <v>1</v>
      </c>
      <c r="K8">
        <v>3</v>
      </c>
      <c r="L8" t="s">
        <v>15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246</v>
      </c>
    </row>
    <row r="9" spans="1:23" x14ac:dyDescent="0.3">
      <c r="A9">
        <v>2</v>
      </c>
      <c r="B9" t="s">
        <v>247</v>
      </c>
      <c r="C9">
        <v>2</v>
      </c>
      <c r="D9">
        <v>320</v>
      </c>
      <c r="E9">
        <f>IFERROR(C9*D9,0)</f>
        <v>640</v>
      </c>
      <c r="F9">
        <v>18</v>
      </c>
      <c r="G9">
        <v>5</v>
      </c>
      <c r="H9">
        <v>0.5</v>
      </c>
      <c r="I9">
        <v>5</v>
      </c>
      <c r="J9">
        <v>1.5</v>
      </c>
      <c r="K9">
        <v>3.5</v>
      </c>
      <c r="L9" t="s">
        <v>15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248</v>
      </c>
    </row>
    <row r="10" spans="1:23" x14ac:dyDescent="0.3">
      <c r="A10">
        <v>3</v>
      </c>
      <c r="B10" t="s">
        <v>249</v>
      </c>
      <c r="C10">
        <v>4</v>
      </c>
      <c r="D10">
        <v>35</v>
      </c>
      <c r="E10">
        <f>IFERROR(C10*D10,0)</f>
        <v>140</v>
      </c>
      <c r="F10">
        <v>18</v>
      </c>
      <c r="G10">
        <v>5</v>
      </c>
      <c r="H10">
        <v>0.5</v>
      </c>
      <c r="I10">
        <v>1.5</v>
      </c>
      <c r="J10">
        <v>1.5</v>
      </c>
      <c r="K10">
        <v>1.5</v>
      </c>
      <c r="L10" t="s">
        <v>15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250</v>
      </c>
    </row>
    <row r="11" spans="1:23" x14ac:dyDescent="0.3">
      <c r="A11">
        <v>4</v>
      </c>
      <c r="B11" t="s">
        <v>251</v>
      </c>
      <c r="C11">
        <v>1</v>
      </c>
      <c r="D11">
        <v>45</v>
      </c>
      <c r="E11">
        <f>IFERROR(C11*D11,0)</f>
        <v>45</v>
      </c>
      <c r="F11">
        <v>14</v>
      </c>
      <c r="G11">
        <v>0</v>
      </c>
      <c r="H11">
        <v>1</v>
      </c>
      <c r="I11">
        <v>6</v>
      </c>
      <c r="J11">
        <v>4</v>
      </c>
      <c r="K11">
        <v>1</v>
      </c>
      <c r="L11" t="s">
        <v>15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  <c r="W11" t="s">
        <v>252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A3BFC-6245-41C5-B65F-D9EB3EBC5C8E}">
  <sheetPr codeName="Sheet17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134</v>
      </c>
    </row>
    <row r="3" spans="1:23" x14ac:dyDescent="0.3">
      <c r="A3" s="13" t="s">
        <v>109</v>
      </c>
      <c r="B3" t="s">
        <v>122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28.5</v>
      </c>
      <c r="E4" s="2">
        <f>IFERROR(SUMPRODUCT(E8:E200,F8:F200)/D4,0)</f>
        <v>12.473684210526315</v>
      </c>
      <c r="F4" s="2">
        <f>IFERROR(SUMPRODUCT(E8:E200,G8:G200)/D4,0)</f>
        <v>0.73684210526315785</v>
      </c>
      <c r="G4" s="2">
        <f>IFERROR(SUMPRODUCT(E8:E200,H8:H200)/D4,0)</f>
        <v>4.2719298245614032</v>
      </c>
      <c r="H4" s="2">
        <f>SUMPRODUCT(E8:E200,V8:V200)</f>
        <v>10.874999999999998</v>
      </c>
      <c r="I4" s="2">
        <f>SUMPRODUCT(E8:E200,V8:V200)</f>
        <v>10.874999999999998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253</v>
      </c>
      <c r="C8">
        <v>1</v>
      </c>
      <c r="D8">
        <v>4</v>
      </c>
      <c r="E8">
        <f>IFERROR(C8*D8,0)</f>
        <v>4</v>
      </c>
      <c r="F8">
        <v>5</v>
      </c>
      <c r="G8">
        <v>0</v>
      </c>
      <c r="H8">
        <v>5</v>
      </c>
      <c r="I8">
        <v>3</v>
      </c>
      <c r="J8">
        <v>3</v>
      </c>
      <c r="K8">
        <v>0.1</v>
      </c>
      <c r="L8" t="s">
        <v>122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254</v>
      </c>
    </row>
    <row r="9" spans="1:23" x14ac:dyDescent="0.3">
      <c r="A9">
        <v>2</v>
      </c>
      <c r="B9" t="s">
        <v>255</v>
      </c>
      <c r="C9">
        <v>1</v>
      </c>
      <c r="D9">
        <v>15</v>
      </c>
      <c r="E9">
        <f>IFERROR(C9*D9,0)</f>
        <v>15</v>
      </c>
      <c r="F9">
        <v>14</v>
      </c>
      <c r="G9">
        <v>0</v>
      </c>
      <c r="H9">
        <v>5</v>
      </c>
      <c r="I9">
        <v>18</v>
      </c>
      <c r="J9">
        <v>5</v>
      </c>
      <c r="K9">
        <v>0.1</v>
      </c>
      <c r="L9" t="s">
        <v>122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256</v>
      </c>
    </row>
    <row r="10" spans="1:23" x14ac:dyDescent="0.3">
      <c r="A10">
        <v>3</v>
      </c>
      <c r="B10" t="s">
        <v>257</v>
      </c>
      <c r="C10">
        <v>3</v>
      </c>
      <c r="D10">
        <v>0.5</v>
      </c>
      <c r="E10">
        <f>IFERROR(C10*D10,0)</f>
        <v>1.5</v>
      </c>
      <c r="F10">
        <v>17</v>
      </c>
      <c r="G10">
        <v>14</v>
      </c>
      <c r="H10">
        <v>4.5</v>
      </c>
      <c r="I10">
        <v>0.2</v>
      </c>
      <c r="J10">
        <v>0.2</v>
      </c>
      <c r="K10">
        <v>0.1</v>
      </c>
      <c r="L10" t="s">
        <v>122</v>
      </c>
      <c r="M10" s="58"/>
      <c r="N10" s="58"/>
      <c r="O10" s="58" t="s">
        <v>416</v>
      </c>
      <c r="P10" s="58"/>
      <c r="Q10" s="58" t="s">
        <v>416</v>
      </c>
      <c r="R10" s="58"/>
      <c r="S10" s="58" t="s">
        <v>416</v>
      </c>
      <c r="T10" s="58"/>
      <c r="U10" s="58"/>
      <c r="V10" s="59">
        <f>IF(UPPER(M10)="X",0.5,IF(UPPER(N10)="X",0.2,IF(UPPER(O10)="X",0.05,0)))</f>
        <v>0.05</v>
      </c>
      <c r="W10" t="s">
        <v>35</v>
      </c>
    </row>
    <row r="11" spans="1:23" x14ac:dyDescent="0.3">
      <c r="A11">
        <v>4</v>
      </c>
      <c r="B11" t="s">
        <v>258</v>
      </c>
      <c r="C11">
        <v>2</v>
      </c>
      <c r="D11">
        <v>3</v>
      </c>
      <c r="E11">
        <f>IFERROR(C11*D11,0)</f>
        <v>6</v>
      </c>
      <c r="F11">
        <v>6</v>
      </c>
      <c r="G11">
        <v>0</v>
      </c>
      <c r="H11">
        <v>1</v>
      </c>
      <c r="I11">
        <v>0.5</v>
      </c>
      <c r="J11">
        <v>0.4</v>
      </c>
      <c r="K11">
        <v>0.3</v>
      </c>
      <c r="L11" t="s">
        <v>122</v>
      </c>
      <c r="M11" s="58"/>
      <c r="N11" s="58" t="s">
        <v>416</v>
      </c>
      <c r="O11" s="58"/>
      <c r="P11" s="58"/>
      <c r="Q11" s="58" t="s">
        <v>416</v>
      </c>
      <c r="R11" s="58"/>
      <c r="S11" s="58" t="s">
        <v>416</v>
      </c>
      <c r="T11" s="58"/>
      <c r="U11" s="58"/>
      <c r="V11" s="59">
        <f>IF(UPPER(M11)="X",0.5,IF(UPPER(N11)="X",0.2,IF(UPPER(O11)="X",0.05,0)))</f>
        <v>0.2</v>
      </c>
    </row>
    <row r="12" spans="1:23" x14ac:dyDescent="0.3">
      <c r="A12">
        <v>5</v>
      </c>
      <c r="B12" t="s">
        <v>259</v>
      </c>
      <c r="C12">
        <v>2</v>
      </c>
      <c r="D12">
        <v>1</v>
      </c>
      <c r="E12">
        <f>IFERROR(C12*D12,0)</f>
        <v>2</v>
      </c>
      <c r="F12">
        <v>32</v>
      </c>
      <c r="G12">
        <v>0</v>
      </c>
      <c r="H12">
        <v>7</v>
      </c>
      <c r="I12">
        <v>0.3</v>
      </c>
      <c r="J12">
        <v>0.3</v>
      </c>
      <c r="K12">
        <v>0.2</v>
      </c>
      <c r="L12" t="s">
        <v>122</v>
      </c>
      <c r="M12" s="58"/>
      <c r="N12" s="58"/>
      <c r="O12" s="58" t="s">
        <v>416</v>
      </c>
      <c r="P12" s="58"/>
      <c r="Q12" s="58" t="s">
        <v>416</v>
      </c>
      <c r="R12" s="58"/>
      <c r="S12" s="58" t="s">
        <v>416</v>
      </c>
      <c r="T12" s="58"/>
      <c r="U12" s="58"/>
      <c r="V12" s="59">
        <f>IF(UPPER(M12)="X",0.5,IF(UPPER(N12)="X",0.2,IF(UPPER(O12)="X",0.05,0)))</f>
        <v>0.05</v>
      </c>
      <c r="W12" t="s">
        <v>260</v>
      </c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D591E-82FF-4B5B-BC80-FB7057BDC9E9}">
  <sheetPr codeName="Sheet18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135</v>
      </c>
    </row>
    <row r="3" spans="1:23" x14ac:dyDescent="0.3">
      <c r="A3" s="13" t="s">
        <v>109</v>
      </c>
      <c r="B3" t="s">
        <v>136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103</v>
      </c>
      <c r="E4" s="2">
        <f>IFERROR(SUMPRODUCT(E8:E200,F8:F200)/D4,0)</f>
        <v>8</v>
      </c>
      <c r="F4" s="2">
        <f>IFERROR(SUMPRODUCT(E8:E200,G8:G200)/D4,0)</f>
        <v>-2.5</v>
      </c>
      <c r="G4" s="2">
        <f>IFERROR(SUMPRODUCT(E8:E200,H8:H200)/D4,0)</f>
        <v>3</v>
      </c>
      <c r="H4" s="2">
        <f>SUMPRODUCT(E8:E200,V8:V200)</f>
        <v>51.5</v>
      </c>
      <c r="I4" s="2">
        <f>SUMPRODUCT(E8:E200,V8:V200)</f>
        <v>51.5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281</v>
      </c>
      <c r="C8">
        <v>1</v>
      </c>
      <c r="D8">
        <v>75</v>
      </c>
      <c r="E8">
        <f>IFERROR(C8*D8,0)</f>
        <v>75</v>
      </c>
      <c r="F8">
        <v>8</v>
      </c>
      <c r="G8">
        <v>-2.5</v>
      </c>
      <c r="H8">
        <v>3</v>
      </c>
      <c r="I8">
        <v>5</v>
      </c>
      <c r="J8">
        <v>2.5</v>
      </c>
      <c r="K8">
        <v>0.2</v>
      </c>
      <c r="L8" t="s">
        <v>136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282</v>
      </c>
    </row>
    <row r="9" spans="1:23" x14ac:dyDescent="0.3">
      <c r="A9">
        <v>2</v>
      </c>
      <c r="B9" t="s">
        <v>283</v>
      </c>
      <c r="C9">
        <v>1</v>
      </c>
      <c r="D9">
        <v>22</v>
      </c>
      <c r="E9">
        <f>IFERROR(C9*D9,0)</f>
        <v>22</v>
      </c>
      <c r="F9">
        <v>8</v>
      </c>
      <c r="G9">
        <v>-2.5</v>
      </c>
      <c r="H9">
        <v>3</v>
      </c>
      <c r="I9">
        <v>5</v>
      </c>
      <c r="J9">
        <v>0.5</v>
      </c>
      <c r="K9">
        <v>0.5</v>
      </c>
      <c r="L9" t="s">
        <v>136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284</v>
      </c>
      <c r="C10">
        <v>1</v>
      </c>
      <c r="D10">
        <v>6</v>
      </c>
      <c r="E10">
        <f>IFERROR(C10*D10,0)</f>
        <v>6</v>
      </c>
      <c r="F10">
        <v>8</v>
      </c>
      <c r="G10">
        <v>-2.5</v>
      </c>
      <c r="H10">
        <v>3</v>
      </c>
      <c r="I10">
        <v>15</v>
      </c>
      <c r="J10">
        <v>0.1</v>
      </c>
      <c r="K10">
        <v>0.1</v>
      </c>
      <c r="L10" t="s">
        <v>136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285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37DEF-4E80-4C34-AD17-5801DF5A1DE0}">
  <sheetPr codeName="Sheet19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137</v>
      </c>
    </row>
    <row r="3" spans="1:23" x14ac:dyDescent="0.3">
      <c r="A3" s="13" t="s">
        <v>109</v>
      </c>
      <c r="B3" t="s">
        <v>136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1785</v>
      </c>
      <c r="E4" s="2">
        <f>IFERROR(SUMPRODUCT(E8:E200,F8:F200)/D4,0)</f>
        <v>16.595518207282915</v>
      </c>
      <c r="F4" s="2">
        <f>IFERROR(SUMPRODUCT(E8:E200,G8:G200)/D4,0)</f>
        <v>0</v>
      </c>
      <c r="G4" s="2">
        <f>IFERROR(SUMPRODUCT(E8:E200,H8:H200)/D4,0)</f>
        <v>2.7512605042016807</v>
      </c>
      <c r="H4" s="2">
        <f>SUMPRODUCT(E8:E200,V8:V200)</f>
        <v>892.5</v>
      </c>
      <c r="I4" s="2">
        <f>SUMPRODUCT(E8:E200,V8:V200)</f>
        <v>892.5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286</v>
      </c>
      <c r="C8">
        <v>6</v>
      </c>
      <c r="D8">
        <v>14</v>
      </c>
      <c r="E8">
        <f>IFERROR(C8*D8,0)</f>
        <v>84</v>
      </c>
      <c r="F8">
        <v>5</v>
      </c>
      <c r="G8">
        <v>0</v>
      </c>
      <c r="H8">
        <v>3</v>
      </c>
      <c r="I8">
        <v>0.5</v>
      </c>
      <c r="J8">
        <v>5</v>
      </c>
      <c r="K8">
        <v>5</v>
      </c>
      <c r="L8" t="s">
        <v>136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287</v>
      </c>
    </row>
    <row r="9" spans="1:23" x14ac:dyDescent="0.3">
      <c r="A9">
        <v>2</v>
      </c>
      <c r="B9" t="s">
        <v>288</v>
      </c>
      <c r="C9">
        <v>8</v>
      </c>
      <c r="D9">
        <v>18</v>
      </c>
      <c r="E9">
        <f>IFERROR(C9*D9,0)</f>
        <v>144</v>
      </c>
      <c r="F9">
        <v>17</v>
      </c>
      <c r="G9">
        <v>0</v>
      </c>
      <c r="H9">
        <v>3</v>
      </c>
      <c r="I9">
        <v>0.5</v>
      </c>
      <c r="J9">
        <v>6</v>
      </c>
      <c r="K9">
        <v>5</v>
      </c>
      <c r="L9" t="s">
        <v>136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289</v>
      </c>
    </row>
    <row r="10" spans="1:23" x14ac:dyDescent="0.3">
      <c r="A10">
        <v>3</v>
      </c>
      <c r="B10" t="s">
        <v>290</v>
      </c>
      <c r="C10">
        <v>6</v>
      </c>
      <c r="D10">
        <v>12</v>
      </c>
      <c r="E10">
        <f>IFERROR(C10*D10,0)</f>
        <v>72</v>
      </c>
      <c r="F10">
        <v>30</v>
      </c>
      <c r="G10">
        <v>0</v>
      </c>
      <c r="H10">
        <v>3</v>
      </c>
      <c r="I10">
        <v>0.5</v>
      </c>
      <c r="J10">
        <v>5</v>
      </c>
      <c r="K10">
        <v>4</v>
      </c>
      <c r="L10" t="s">
        <v>136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291</v>
      </c>
    </row>
    <row r="11" spans="1:23" x14ac:dyDescent="0.3">
      <c r="A11">
        <v>4</v>
      </c>
      <c r="B11" t="s">
        <v>292</v>
      </c>
      <c r="C11">
        <v>1</v>
      </c>
      <c r="D11">
        <v>280</v>
      </c>
      <c r="E11">
        <f>IFERROR(C11*D11,0)</f>
        <v>280</v>
      </c>
      <c r="F11">
        <v>17</v>
      </c>
      <c r="G11">
        <v>0</v>
      </c>
      <c r="H11">
        <v>3</v>
      </c>
      <c r="I11">
        <v>35</v>
      </c>
      <c r="J11">
        <v>0.2</v>
      </c>
      <c r="K11">
        <v>0.2</v>
      </c>
      <c r="L11" t="s">
        <v>136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293</v>
      </c>
      <c r="C12">
        <v>1</v>
      </c>
      <c r="D12">
        <v>220</v>
      </c>
      <c r="E12">
        <f>IFERROR(C12*D12,0)</f>
        <v>220</v>
      </c>
      <c r="F12">
        <v>5</v>
      </c>
      <c r="G12">
        <v>0</v>
      </c>
      <c r="H12">
        <v>3</v>
      </c>
      <c r="I12">
        <v>10</v>
      </c>
      <c r="J12">
        <v>6</v>
      </c>
      <c r="K12">
        <v>0.05</v>
      </c>
      <c r="L12" t="s">
        <v>136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294</v>
      </c>
      <c r="C13">
        <v>1</v>
      </c>
      <c r="D13">
        <v>380</v>
      </c>
      <c r="E13">
        <f>IFERROR(C13*D13,0)</f>
        <v>380</v>
      </c>
      <c r="F13">
        <v>17</v>
      </c>
      <c r="G13">
        <v>0</v>
      </c>
      <c r="H13">
        <v>3</v>
      </c>
      <c r="I13">
        <v>15</v>
      </c>
      <c r="J13">
        <v>6</v>
      </c>
      <c r="K13">
        <v>0.05</v>
      </c>
      <c r="L13" t="s">
        <v>136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  <c r="W13" t="s">
        <v>295</v>
      </c>
    </row>
    <row r="14" spans="1:23" x14ac:dyDescent="0.3">
      <c r="A14">
        <v>7</v>
      </c>
      <c r="B14" t="s">
        <v>296</v>
      </c>
      <c r="C14">
        <v>1</v>
      </c>
      <c r="D14">
        <v>180</v>
      </c>
      <c r="E14">
        <f>IFERROR(C14*D14,0)</f>
        <v>180</v>
      </c>
      <c r="F14">
        <v>30</v>
      </c>
      <c r="G14">
        <v>0</v>
      </c>
      <c r="H14">
        <v>3</v>
      </c>
      <c r="I14">
        <v>10</v>
      </c>
      <c r="J14">
        <v>5</v>
      </c>
      <c r="K14">
        <v>0.05</v>
      </c>
      <c r="L14" t="s">
        <v>136</v>
      </c>
      <c r="M14" s="58" t="s">
        <v>416</v>
      </c>
      <c r="N14" s="58"/>
      <c r="O14" s="58"/>
      <c r="P14" s="58"/>
      <c r="Q14" s="58" t="s">
        <v>416</v>
      </c>
      <c r="R14" s="58" t="s">
        <v>416</v>
      </c>
      <c r="S14" s="58"/>
      <c r="T14" s="58"/>
      <c r="U14" s="58"/>
      <c r="V14" s="59">
        <f>IF(UPPER(M14)="X",0.5,IF(UPPER(N14)="X",0.2,IF(UPPER(O14)="X",0.05,0)))</f>
        <v>0.5</v>
      </c>
    </row>
    <row r="15" spans="1:23" x14ac:dyDescent="0.3">
      <c r="A15">
        <v>8</v>
      </c>
      <c r="B15" t="s">
        <v>297</v>
      </c>
      <c r="C15">
        <v>1</v>
      </c>
      <c r="D15">
        <v>45</v>
      </c>
      <c r="E15">
        <f>IFERROR(C15*D15,0)</f>
        <v>45</v>
      </c>
      <c r="F15">
        <v>4</v>
      </c>
      <c r="G15">
        <v>0</v>
      </c>
      <c r="H15">
        <v>3</v>
      </c>
      <c r="I15">
        <v>0.3</v>
      </c>
      <c r="J15">
        <v>5</v>
      </c>
      <c r="K15">
        <v>5</v>
      </c>
      <c r="L15" t="s">
        <v>136</v>
      </c>
      <c r="M15" s="58" t="s">
        <v>416</v>
      </c>
      <c r="N15" s="58"/>
      <c r="O15" s="58"/>
      <c r="P15" s="58"/>
      <c r="Q15" s="58" t="s">
        <v>416</v>
      </c>
      <c r="R15" s="58" t="s">
        <v>416</v>
      </c>
      <c r="S15" s="58"/>
      <c r="T15" s="58"/>
      <c r="U15" s="58"/>
      <c r="V15" s="59">
        <f>IF(UPPER(M15)="X",0.5,IF(UPPER(N15)="X",0.2,IF(UPPER(O15)="X",0.05,0)))</f>
        <v>0.5</v>
      </c>
    </row>
    <row r="16" spans="1:23" x14ac:dyDescent="0.3">
      <c r="A16">
        <v>9</v>
      </c>
      <c r="B16" t="s">
        <v>298</v>
      </c>
      <c r="C16">
        <v>1</v>
      </c>
      <c r="D16">
        <v>65</v>
      </c>
      <c r="E16">
        <f>IFERROR(C16*D16,0)</f>
        <v>65</v>
      </c>
      <c r="F16">
        <v>25</v>
      </c>
      <c r="G16">
        <v>0</v>
      </c>
      <c r="H16">
        <v>3</v>
      </c>
      <c r="I16">
        <v>0.3</v>
      </c>
      <c r="J16">
        <v>5</v>
      </c>
      <c r="K16">
        <v>5</v>
      </c>
      <c r="L16" t="s">
        <v>136</v>
      </c>
      <c r="M16" s="58" t="s">
        <v>416</v>
      </c>
      <c r="N16" s="58"/>
      <c r="O16" s="58"/>
      <c r="P16" s="58"/>
      <c r="Q16" s="58" t="s">
        <v>416</v>
      </c>
      <c r="R16" s="58" t="s">
        <v>416</v>
      </c>
      <c r="S16" s="58"/>
      <c r="T16" s="58"/>
      <c r="U16" s="58"/>
      <c r="V16" s="59">
        <f>IF(UPPER(M16)="X",0.5,IF(UPPER(N16)="X",0.2,IF(UPPER(O16)="X",0.05,0)))</f>
        <v>0.5</v>
      </c>
    </row>
    <row r="17" spans="1:23" x14ac:dyDescent="0.3">
      <c r="A17">
        <v>10</v>
      </c>
      <c r="B17" t="s">
        <v>299</v>
      </c>
      <c r="C17">
        <v>1</v>
      </c>
      <c r="D17">
        <v>220</v>
      </c>
      <c r="E17">
        <f>IFERROR(C17*D17,0)</f>
        <v>220</v>
      </c>
      <c r="F17">
        <v>17</v>
      </c>
      <c r="G17">
        <v>0</v>
      </c>
      <c r="H17">
        <v>1.5</v>
      </c>
      <c r="I17">
        <v>4</v>
      </c>
      <c r="J17">
        <v>5</v>
      </c>
      <c r="K17">
        <v>1.5</v>
      </c>
      <c r="L17" t="s">
        <v>136</v>
      </c>
      <c r="M17" s="58" t="s">
        <v>416</v>
      </c>
      <c r="N17" s="58"/>
      <c r="O17" s="58"/>
      <c r="P17" s="58"/>
      <c r="Q17" s="58" t="s">
        <v>416</v>
      </c>
      <c r="R17" s="58" t="s">
        <v>416</v>
      </c>
      <c r="S17" s="58"/>
      <c r="T17" s="58"/>
      <c r="U17" s="58"/>
      <c r="V17" s="59">
        <f>IF(UPPER(M17)="X",0.5,IF(UPPER(N17)="X",0.2,IF(UPPER(O17)="X",0.05,0)))</f>
        <v>0.5</v>
      </c>
      <c r="W17" t="s">
        <v>300</v>
      </c>
    </row>
    <row r="18" spans="1:23" x14ac:dyDescent="0.3">
      <c r="A18">
        <v>11</v>
      </c>
      <c r="B18" t="s">
        <v>301</v>
      </c>
      <c r="C18">
        <v>1</v>
      </c>
      <c r="D18">
        <v>95</v>
      </c>
      <c r="E18">
        <f>IFERROR(C18*D18,0)</f>
        <v>95</v>
      </c>
      <c r="F18">
        <v>14</v>
      </c>
      <c r="G18">
        <v>0</v>
      </c>
      <c r="H18">
        <v>1.8</v>
      </c>
      <c r="I18">
        <v>18</v>
      </c>
      <c r="J18">
        <v>5</v>
      </c>
      <c r="K18">
        <v>0.3</v>
      </c>
      <c r="L18" t="s">
        <v>136</v>
      </c>
      <c r="M18" s="58" t="s">
        <v>416</v>
      </c>
      <c r="N18" s="58"/>
      <c r="O18" s="58"/>
      <c r="P18" s="58"/>
      <c r="Q18" s="58" t="s">
        <v>416</v>
      </c>
      <c r="R18" s="58" t="s">
        <v>416</v>
      </c>
      <c r="S18" s="58"/>
      <c r="T18" s="58"/>
      <c r="U18" s="58"/>
      <c r="V18" s="59">
        <f>IF(UPPER(M18)="X",0.5,IF(UPPER(N18)="X",0.2,IF(UPPER(O18)="X",0.05,0)))</f>
        <v>0.5</v>
      </c>
    </row>
    <row r="19" spans="1:23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:23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:23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:23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:23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:23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:23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3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:23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:23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:23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:23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:23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:23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009F-0F5E-41B8-BAA5-90728BCBB4E2}">
  <sheetPr codeName="Sheet20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138</v>
      </c>
    </row>
    <row r="3" spans="1:23" x14ac:dyDescent="0.3">
      <c r="A3" s="13" t="s">
        <v>109</v>
      </c>
      <c r="B3" t="s">
        <v>136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330</v>
      </c>
      <c r="E4" s="2">
        <f>IFERROR(SUMPRODUCT(E8:E200,F8:F200)/D4,0)</f>
        <v>32.103030303030302</v>
      </c>
      <c r="F4" s="2">
        <f>IFERROR(SUMPRODUCT(E8:E200,G8:G200)/D4,0)</f>
        <v>0.72727272727272729</v>
      </c>
      <c r="G4" s="2">
        <f>IFERROR(SUMPRODUCT(E8:E200,H8:H200)/D4,0)</f>
        <v>5.9030303030303033</v>
      </c>
      <c r="H4" s="2">
        <f>SUMPRODUCT(E8:E200,V8:V200)</f>
        <v>165</v>
      </c>
      <c r="I4" s="2">
        <f>SUMPRODUCT(E8:E200,V8:V200)</f>
        <v>165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302</v>
      </c>
      <c r="C8">
        <v>1</v>
      </c>
      <c r="D8">
        <v>65</v>
      </c>
      <c r="E8">
        <f>IFERROR(C8*D8,0)</f>
        <v>65</v>
      </c>
      <c r="F8">
        <v>32</v>
      </c>
      <c r="G8">
        <v>4</v>
      </c>
      <c r="H8">
        <v>6</v>
      </c>
      <c r="I8">
        <v>8</v>
      </c>
      <c r="J8">
        <v>0.5</v>
      </c>
      <c r="K8">
        <v>0.8</v>
      </c>
      <c r="L8" t="s">
        <v>136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303</v>
      </c>
    </row>
    <row r="9" spans="1:23" x14ac:dyDescent="0.3">
      <c r="A9">
        <v>2</v>
      </c>
      <c r="B9" t="s">
        <v>304</v>
      </c>
      <c r="C9">
        <v>1</v>
      </c>
      <c r="D9">
        <v>65</v>
      </c>
      <c r="E9">
        <f>IFERROR(C9*D9,0)</f>
        <v>65</v>
      </c>
      <c r="F9">
        <v>32</v>
      </c>
      <c r="G9">
        <v>-4</v>
      </c>
      <c r="H9">
        <v>6</v>
      </c>
      <c r="I9">
        <v>8</v>
      </c>
      <c r="J9">
        <v>0.5</v>
      </c>
      <c r="K9">
        <v>0.8</v>
      </c>
      <c r="L9" t="s">
        <v>136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303</v>
      </c>
    </row>
    <row r="10" spans="1:23" x14ac:dyDescent="0.3">
      <c r="A10">
        <v>3</v>
      </c>
      <c r="B10" t="s">
        <v>305</v>
      </c>
      <c r="C10">
        <v>12</v>
      </c>
      <c r="D10">
        <v>4</v>
      </c>
      <c r="E10">
        <f>IFERROR(C10*D10,0)</f>
        <v>48</v>
      </c>
      <c r="F10">
        <v>32</v>
      </c>
      <c r="G10">
        <v>0</v>
      </c>
      <c r="H10">
        <v>6</v>
      </c>
      <c r="I10">
        <v>0.3</v>
      </c>
      <c r="J10">
        <v>0.5</v>
      </c>
      <c r="K10">
        <v>1</v>
      </c>
      <c r="L10" t="s">
        <v>136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306</v>
      </c>
      <c r="C11">
        <v>1</v>
      </c>
      <c r="D11">
        <v>38</v>
      </c>
      <c r="E11">
        <f>IFERROR(C11*D11,0)</f>
        <v>38</v>
      </c>
      <c r="F11">
        <v>32</v>
      </c>
      <c r="G11">
        <v>4</v>
      </c>
      <c r="H11">
        <v>6</v>
      </c>
      <c r="I11">
        <v>8</v>
      </c>
      <c r="J11">
        <v>4</v>
      </c>
      <c r="K11">
        <v>0.05</v>
      </c>
      <c r="L11" t="s">
        <v>136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307</v>
      </c>
      <c r="C12">
        <v>1</v>
      </c>
      <c r="D12">
        <v>38</v>
      </c>
      <c r="E12">
        <f>IFERROR(C12*D12,0)</f>
        <v>38</v>
      </c>
      <c r="F12">
        <v>32</v>
      </c>
      <c r="G12">
        <v>-4</v>
      </c>
      <c r="H12">
        <v>6</v>
      </c>
      <c r="I12">
        <v>8</v>
      </c>
      <c r="J12">
        <v>4</v>
      </c>
      <c r="K12">
        <v>0.05</v>
      </c>
      <c r="L12" t="s">
        <v>136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308</v>
      </c>
      <c r="C13">
        <v>2</v>
      </c>
      <c r="D13">
        <v>22</v>
      </c>
      <c r="E13">
        <f>IFERROR(C13*D13,0)</f>
        <v>44</v>
      </c>
      <c r="F13">
        <v>33.5</v>
      </c>
      <c r="G13">
        <v>4</v>
      </c>
      <c r="H13">
        <v>6</v>
      </c>
      <c r="I13">
        <v>6</v>
      </c>
      <c r="J13">
        <v>1.5</v>
      </c>
      <c r="K13">
        <v>0.3</v>
      </c>
      <c r="L13" t="s">
        <v>136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  <c r="W13" t="s">
        <v>309</v>
      </c>
    </row>
    <row r="14" spans="1:23" x14ac:dyDescent="0.3">
      <c r="A14">
        <v>7</v>
      </c>
      <c r="B14" t="s">
        <v>310</v>
      </c>
      <c r="C14">
        <v>4</v>
      </c>
      <c r="D14">
        <v>8</v>
      </c>
      <c r="E14">
        <f>IFERROR(C14*D14,0)</f>
        <v>32</v>
      </c>
      <c r="F14">
        <v>31</v>
      </c>
      <c r="G14">
        <v>2</v>
      </c>
      <c r="H14">
        <v>5</v>
      </c>
      <c r="I14">
        <v>0.5</v>
      </c>
      <c r="J14">
        <v>0.5</v>
      </c>
      <c r="K14">
        <v>0.5</v>
      </c>
      <c r="L14" t="s">
        <v>136</v>
      </c>
      <c r="M14" s="58" t="s">
        <v>416</v>
      </c>
      <c r="N14" s="58"/>
      <c r="O14" s="58"/>
      <c r="P14" s="58"/>
      <c r="Q14" s="58" t="s">
        <v>416</v>
      </c>
      <c r="R14" s="58" t="s">
        <v>416</v>
      </c>
      <c r="S14" s="58"/>
      <c r="T14" s="58"/>
      <c r="U14" s="58"/>
      <c r="V14" s="59">
        <f>IF(UPPER(M14)="X",0.5,IF(UPPER(N14)="X",0.2,IF(UPPER(O14)="X",0.05,0)))</f>
        <v>0.5</v>
      </c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9FDC2-4587-4E79-9D80-51666019DA3D}">
  <sheetPr codeName="Sheet21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139</v>
      </c>
    </row>
    <row r="3" spans="1:23" x14ac:dyDescent="0.3">
      <c r="A3" s="13" t="s">
        <v>109</v>
      </c>
      <c r="B3" t="s">
        <v>136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124</v>
      </c>
      <c r="E4" s="2">
        <f>IFERROR(SUMPRODUCT(E8:E200,F8:F200)/D4,0)</f>
        <v>9.1612903225806459</v>
      </c>
      <c r="F4" s="2">
        <f>IFERROR(SUMPRODUCT(E8:E200,G8:G200)/D4,0)</f>
        <v>2.2129032258064516</v>
      </c>
      <c r="G4" s="2">
        <f>IFERROR(SUMPRODUCT(E8:E200,H8:H200)/D4,0)</f>
        <v>4.725806451612903</v>
      </c>
      <c r="H4" s="2">
        <f>SUMPRODUCT(E8:E200,V8:V200)</f>
        <v>30.800000000000004</v>
      </c>
      <c r="I4" s="2">
        <f>SUMPRODUCT(E8:E200,V8:V200)</f>
        <v>30.800000000000004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311</v>
      </c>
      <c r="C8">
        <v>2</v>
      </c>
      <c r="D8">
        <v>28</v>
      </c>
      <c r="E8">
        <f>IFERROR(C8*D8,0)</f>
        <v>56</v>
      </c>
      <c r="F8">
        <v>4</v>
      </c>
      <c r="G8">
        <v>1.5</v>
      </c>
      <c r="H8">
        <v>5</v>
      </c>
      <c r="I8">
        <v>2.5</v>
      </c>
      <c r="J8">
        <v>2</v>
      </c>
      <c r="K8">
        <v>0.05</v>
      </c>
      <c r="L8" t="s">
        <v>136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  <c r="W8" t="s">
        <v>312</v>
      </c>
    </row>
    <row r="9" spans="1:23" x14ac:dyDescent="0.3">
      <c r="A9">
        <v>2</v>
      </c>
      <c r="B9" t="s">
        <v>313</v>
      </c>
      <c r="C9">
        <v>8</v>
      </c>
      <c r="D9">
        <v>6</v>
      </c>
      <c r="E9">
        <f>IFERROR(C9*D9,0)</f>
        <v>48</v>
      </c>
      <c r="F9">
        <v>14</v>
      </c>
      <c r="G9">
        <v>2.8</v>
      </c>
      <c r="H9">
        <v>4.5</v>
      </c>
      <c r="I9">
        <v>1.2</v>
      </c>
      <c r="J9">
        <v>1</v>
      </c>
      <c r="K9">
        <v>0.05</v>
      </c>
      <c r="L9" t="s">
        <v>136</v>
      </c>
      <c r="M9" s="58"/>
      <c r="N9" s="58" t="s">
        <v>416</v>
      </c>
      <c r="O9" s="58"/>
      <c r="P9" s="58"/>
      <c r="Q9" s="58" t="s">
        <v>416</v>
      </c>
      <c r="R9" s="58"/>
      <c r="S9" s="58" t="s">
        <v>416</v>
      </c>
      <c r="T9" s="58"/>
      <c r="U9" s="58"/>
      <c r="V9" s="59">
        <f>IF(UPPER(M9)="X",0.5,IF(UPPER(N9)="X",0.2,IF(UPPER(O9)="X",0.05,0)))</f>
        <v>0.2</v>
      </c>
      <c r="W9" t="s">
        <v>314</v>
      </c>
    </row>
    <row r="10" spans="1:23" x14ac:dyDescent="0.3">
      <c r="A10">
        <v>3</v>
      </c>
      <c r="B10" t="s">
        <v>315</v>
      </c>
      <c r="C10">
        <v>10</v>
      </c>
      <c r="D10">
        <v>2</v>
      </c>
      <c r="E10">
        <f>IFERROR(C10*D10,0)</f>
        <v>20</v>
      </c>
      <c r="F10">
        <v>12</v>
      </c>
      <c r="G10">
        <v>2.8</v>
      </c>
      <c r="H10">
        <v>4.5</v>
      </c>
      <c r="I10">
        <v>0.3</v>
      </c>
      <c r="J10">
        <v>0.3</v>
      </c>
      <c r="K10">
        <v>0.1</v>
      </c>
      <c r="L10" t="s">
        <v>136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C81BE-AF66-4F24-AD58-9A055E45D362}">
  <sheetPr codeName="Sheet22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140</v>
      </c>
    </row>
    <row r="3" spans="1:23" x14ac:dyDescent="0.3">
      <c r="A3" s="13" t="s">
        <v>109</v>
      </c>
      <c r="B3" t="s">
        <v>136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1158</v>
      </c>
      <c r="E4" s="2">
        <f>IFERROR(SUMPRODUCT(E8:E200,F8:F200)/D4,0)</f>
        <v>17.26511226252159</v>
      </c>
      <c r="F4" s="2">
        <f>IFERROR(SUMPRODUCT(E8:E200,G8:G200)/D4,0)</f>
        <v>1.4093264248704662</v>
      </c>
      <c r="G4" s="2">
        <f>IFERROR(SUMPRODUCT(E8:E200,H8:H200)/D4,0)</f>
        <v>2</v>
      </c>
      <c r="H4" s="2">
        <f>SUMPRODUCT(E8:E200,V8:V200)</f>
        <v>579</v>
      </c>
      <c r="I4" s="2">
        <f>SUMPRODUCT(E8:E200,V8:V200)</f>
        <v>579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316</v>
      </c>
      <c r="C8">
        <v>1</v>
      </c>
      <c r="D8">
        <v>140</v>
      </c>
      <c r="E8">
        <f>IFERROR(C8*D8,0)</f>
        <v>140</v>
      </c>
      <c r="F8">
        <v>17</v>
      </c>
      <c r="G8">
        <v>8</v>
      </c>
      <c r="H8">
        <v>2</v>
      </c>
      <c r="I8">
        <v>15</v>
      </c>
      <c r="J8">
        <v>0.6</v>
      </c>
      <c r="K8">
        <v>1</v>
      </c>
      <c r="L8" t="s">
        <v>136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317</v>
      </c>
    </row>
    <row r="9" spans="1:23" x14ac:dyDescent="0.3">
      <c r="A9">
        <v>2</v>
      </c>
      <c r="B9" t="s">
        <v>318</v>
      </c>
      <c r="C9">
        <v>1</v>
      </c>
      <c r="D9">
        <v>140</v>
      </c>
      <c r="E9">
        <f>IFERROR(C9*D9,0)</f>
        <v>140</v>
      </c>
      <c r="F9">
        <v>17</v>
      </c>
      <c r="G9">
        <v>-8</v>
      </c>
      <c r="H9">
        <v>2</v>
      </c>
      <c r="I9">
        <v>15</v>
      </c>
      <c r="J9">
        <v>0.6</v>
      </c>
      <c r="K9">
        <v>1</v>
      </c>
      <c r="L9" t="s">
        <v>136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317</v>
      </c>
    </row>
    <row r="10" spans="1:23" x14ac:dyDescent="0.3">
      <c r="A10">
        <v>3</v>
      </c>
      <c r="B10" t="s">
        <v>319</v>
      </c>
      <c r="C10">
        <v>1</v>
      </c>
      <c r="D10">
        <v>75</v>
      </c>
      <c r="E10">
        <f>IFERROR(C10*D10,0)</f>
        <v>75</v>
      </c>
      <c r="F10">
        <v>18.5</v>
      </c>
      <c r="G10">
        <v>8</v>
      </c>
      <c r="H10">
        <v>2</v>
      </c>
      <c r="I10">
        <v>15</v>
      </c>
      <c r="J10">
        <v>0.4</v>
      </c>
      <c r="K10">
        <v>0.8</v>
      </c>
      <c r="L10" t="s">
        <v>136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320</v>
      </c>
      <c r="C11">
        <v>1</v>
      </c>
      <c r="D11">
        <v>75</v>
      </c>
      <c r="E11">
        <f>IFERROR(C11*D11,0)</f>
        <v>75</v>
      </c>
      <c r="F11">
        <v>18.5</v>
      </c>
      <c r="G11">
        <v>-8</v>
      </c>
      <c r="H11">
        <v>2</v>
      </c>
      <c r="I11">
        <v>15</v>
      </c>
      <c r="J11">
        <v>0.4</v>
      </c>
      <c r="K11">
        <v>0.8</v>
      </c>
      <c r="L11" t="s">
        <v>136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321</v>
      </c>
      <c r="C12">
        <v>14</v>
      </c>
      <c r="D12">
        <v>5</v>
      </c>
      <c r="E12">
        <f>IFERROR(C12*D12,0)</f>
        <v>70</v>
      </c>
      <c r="F12">
        <v>17</v>
      </c>
      <c r="G12">
        <v>8</v>
      </c>
      <c r="H12">
        <v>2</v>
      </c>
      <c r="I12">
        <v>0.3</v>
      </c>
      <c r="J12">
        <v>5</v>
      </c>
      <c r="K12">
        <v>1</v>
      </c>
      <c r="L12" t="s">
        <v>136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322</v>
      </c>
      <c r="C13">
        <v>14</v>
      </c>
      <c r="D13">
        <v>5</v>
      </c>
      <c r="E13">
        <f>IFERROR(C13*D13,0)</f>
        <v>70</v>
      </c>
      <c r="F13">
        <v>17</v>
      </c>
      <c r="G13">
        <v>-8</v>
      </c>
      <c r="H13">
        <v>2</v>
      </c>
      <c r="I13">
        <v>0.3</v>
      </c>
      <c r="J13">
        <v>5</v>
      </c>
      <c r="K13">
        <v>1</v>
      </c>
      <c r="L13" t="s">
        <v>136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</row>
    <row r="14" spans="1:23" x14ac:dyDescent="0.3">
      <c r="A14">
        <v>7</v>
      </c>
      <c r="B14" t="s">
        <v>323</v>
      </c>
      <c r="C14">
        <v>1</v>
      </c>
      <c r="D14">
        <v>180</v>
      </c>
      <c r="E14">
        <f>IFERROR(C14*D14,0)</f>
        <v>180</v>
      </c>
      <c r="F14">
        <v>17</v>
      </c>
      <c r="G14">
        <v>8</v>
      </c>
      <c r="H14">
        <v>2</v>
      </c>
      <c r="I14">
        <v>18</v>
      </c>
      <c r="J14">
        <v>5</v>
      </c>
      <c r="K14">
        <v>0.05</v>
      </c>
      <c r="L14" t="s">
        <v>136</v>
      </c>
      <c r="M14" s="58" t="s">
        <v>416</v>
      </c>
      <c r="N14" s="58"/>
      <c r="O14" s="58"/>
      <c r="P14" s="58"/>
      <c r="Q14" s="58" t="s">
        <v>416</v>
      </c>
      <c r="R14" s="58" t="s">
        <v>416</v>
      </c>
      <c r="S14" s="58"/>
      <c r="T14" s="58"/>
      <c r="U14" s="58"/>
      <c r="V14" s="59">
        <f>IF(UPPER(M14)="X",0.5,IF(UPPER(N14)="X",0.2,IF(UPPER(O14)="X",0.05,0)))</f>
        <v>0.5</v>
      </c>
    </row>
    <row r="15" spans="1:23" x14ac:dyDescent="0.3">
      <c r="A15">
        <v>8</v>
      </c>
      <c r="B15" t="s">
        <v>324</v>
      </c>
      <c r="C15">
        <v>1</v>
      </c>
      <c r="D15">
        <v>180</v>
      </c>
      <c r="E15">
        <f>IFERROR(C15*D15,0)</f>
        <v>180</v>
      </c>
      <c r="F15">
        <v>17</v>
      </c>
      <c r="G15">
        <v>-8</v>
      </c>
      <c r="H15">
        <v>2</v>
      </c>
      <c r="I15">
        <v>18</v>
      </c>
      <c r="J15">
        <v>5</v>
      </c>
      <c r="K15">
        <v>0.05</v>
      </c>
      <c r="L15" t="s">
        <v>136</v>
      </c>
      <c r="M15" s="58" t="s">
        <v>416</v>
      </c>
      <c r="N15" s="58"/>
      <c r="O15" s="58"/>
      <c r="P15" s="58"/>
      <c r="Q15" s="58" t="s">
        <v>416</v>
      </c>
      <c r="R15" s="58" t="s">
        <v>416</v>
      </c>
      <c r="S15" s="58"/>
      <c r="T15" s="58"/>
      <c r="U15" s="58"/>
      <c r="V15" s="59">
        <f>IF(UPPER(M15)="X",0.5,IF(UPPER(N15)="X",0.2,IF(UPPER(O15)="X",0.05,0)))</f>
        <v>0.5</v>
      </c>
    </row>
    <row r="16" spans="1:23" x14ac:dyDescent="0.3">
      <c r="A16">
        <v>9</v>
      </c>
      <c r="B16" t="s">
        <v>325</v>
      </c>
      <c r="C16">
        <v>2</v>
      </c>
      <c r="D16">
        <v>22</v>
      </c>
      <c r="E16">
        <f>IFERROR(C16*D16,0)</f>
        <v>44</v>
      </c>
      <c r="F16">
        <v>18</v>
      </c>
      <c r="G16">
        <v>12</v>
      </c>
      <c r="H16">
        <v>2</v>
      </c>
      <c r="I16">
        <v>4</v>
      </c>
      <c r="J16">
        <v>1.2</v>
      </c>
      <c r="K16">
        <v>0.3</v>
      </c>
      <c r="L16" t="s">
        <v>136</v>
      </c>
      <c r="M16" s="58" t="s">
        <v>416</v>
      </c>
      <c r="N16" s="58"/>
      <c r="O16" s="58"/>
      <c r="P16" s="58"/>
      <c r="Q16" s="58" t="s">
        <v>416</v>
      </c>
      <c r="R16" s="58" t="s">
        <v>416</v>
      </c>
      <c r="S16" s="58"/>
      <c r="T16" s="58"/>
      <c r="U16" s="58"/>
      <c r="V16" s="59">
        <f>IF(UPPER(M16)="X",0.5,IF(UPPER(N16)="X",0.2,IF(UPPER(O16)="X",0.05,0)))</f>
        <v>0.5</v>
      </c>
    </row>
    <row r="17" spans="1:22" x14ac:dyDescent="0.3">
      <c r="A17">
        <v>10</v>
      </c>
      <c r="B17" t="s">
        <v>326</v>
      </c>
      <c r="C17">
        <v>2</v>
      </c>
      <c r="D17">
        <v>38</v>
      </c>
      <c r="E17">
        <f>IFERROR(C17*D17,0)</f>
        <v>76</v>
      </c>
      <c r="F17">
        <v>17.5</v>
      </c>
      <c r="G17">
        <v>6</v>
      </c>
      <c r="H17">
        <v>2</v>
      </c>
      <c r="I17">
        <v>5</v>
      </c>
      <c r="J17">
        <v>1.5</v>
      </c>
      <c r="K17">
        <v>0.3</v>
      </c>
      <c r="L17" t="s">
        <v>136</v>
      </c>
      <c r="M17" s="58" t="s">
        <v>416</v>
      </c>
      <c r="N17" s="58"/>
      <c r="O17" s="58"/>
      <c r="P17" s="58"/>
      <c r="Q17" s="58" t="s">
        <v>416</v>
      </c>
      <c r="R17" s="58" t="s">
        <v>416</v>
      </c>
      <c r="S17" s="58"/>
      <c r="T17" s="58"/>
      <c r="U17" s="58"/>
      <c r="V17" s="59">
        <f>IF(UPPER(M17)="X",0.5,IF(UPPER(N17)="X",0.2,IF(UPPER(O17)="X",0.05,0)))</f>
        <v>0.5</v>
      </c>
    </row>
    <row r="18" spans="1:22" x14ac:dyDescent="0.3">
      <c r="A18">
        <v>11</v>
      </c>
      <c r="B18" t="s">
        <v>327</v>
      </c>
      <c r="C18">
        <v>4</v>
      </c>
      <c r="D18">
        <v>18</v>
      </c>
      <c r="E18">
        <f>IFERROR(C18*D18,0)</f>
        <v>72</v>
      </c>
      <c r="F18">
        <v>17</v>
      </c>
      <c r="G18">
        <v>2</v>
      </c>
      <c r="H18">
        <v>1.5</v>
      </c>
      <c r="I18">
        <v>0.6</v>
      </c>
      <c r="J18">
        <v>0.6</v>
      </c>
      <c r="K18">
        <v>0.6</v>
      </c>
      <c r="L18" t="s">
        <v>136</v>
      </c>
      <c r="M18" s="58" t="s">
        <v>416</v>
      </c>
      <c r="N18" s="58"/>
      <c r="O18" s="58"/>
      <c r="P18" s="58"/>
      <c r="Q18" s="58" t="s">
        <v>416</v>
      </c>
      <c r="R18" s="58" t="s">
        <v>416</v>
      </c>
      <c r="S18" s="58"/>
      <c r="T18" s="58"/>
      <c r="U18" s="58"/>
      <c r="V18" s="59">
        <f>IF(UPPER(M18)="X",0.5,IF(UPPER(N18)="X",0.2,IF(UPPER(O18)="X",0.05,0)))</f>
        <v>0.5</v>
      </c>
    </row>
    <row r="19" spans="1:22" x14ac:dyDescent="0.3">
      <c r="A19">
        <v>12</v>
      </c>
      <c r="B19" t="s">
        <v>328</v>
      </c>
      <c r="C19">
        <v>2</v>
      </c>
      <c r="D19">
        <v>18</v>
      </c>
      <c r="E19">
        <f>IFERROR(C19*D19,0)</f>
        <v>36</v>
      </c>
      <c r="F19">
        <v>17</v>
      </c>
      <c r="G19">
        <v>14</v>
      </c>
      <c r="H19">
        <v>3</v>
      </c>
      <c r="I19">
        <v>3</v>
      </c>
      <c r="J19">
        <v>0.8</v>
      </c>
      <c r="K19">
        <v>2</v>
      </c>
      <c r="L19" t="s">
        <v>136</v>
      </c>
      <c r="M19" s="58" t="s">
        <v>416</v>
      </c>
      <c r="N19" s="58"/>
      <c r="O19" s="58"/>
      <c r="P19" s="58"/>
      <c r="Q19" s="58" t="s">
        <v>416</v>
      </c>
      <c r="R19" s="58" t="s">
        <v>416</v>
      </c>
      <c r="S19" s="58"/>
      <c r="T19" s="58"/>
      <c r="U19" s="58"/>
      <c r="V19" s="59">
        <f>IF(UPPER(M19)="X",0.5,IF(UPPER(N19)="X",0.2,IF(UPPER(O19)="X",0.05,0)))</f>
        <v>0.5</v>
      </c>
    </row>
    <row r="20" spans="1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F9FAF-2999-4E74-BF22-86FD67CCDC6F}">
  <sheetPr codeName="Sheet23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141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856</v>
      </c>
      <c r="E4" s="2">
        <f>IFERROR(SUMPRODUCT(E8:E200,F8:F200)/D4,0)</f>
        <v>28.503504672897197</v>
      </c>
      <c r="F4" s="2">
        <f>IFERROR(SUMPRODUCT(E8:E200,G8:G200)/D4,0)</f>
        <v>0</v>
      </c>
      <c r="G4" s="2">
        <f>IFERROR(SUMPRODUCT(E8:E200,H8:H200)/D4,0)</f>
        <v>3</v>
      </c>
      <c r="H4" s="2">
        <f>SUMPRODUCT(E8:E200,V8:V200)</f>
        <v>428</v>
      </c>
      <c r="I4" s="2">
        <f>SUMPRODUCT(E8:E200,V8:V200)</f>
        <v>428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329</v>
      </c>
      <c r="C8">
        <v>1</v>
      </c>
      <c r="D8">
        <v>65</v>
      </c>
      <c r="E8">
        <f>IFERROR(C8*D8,0)</f>
        <v>65</v>
      </c>
      <c r="F8">
        <v>24</v>
      </c>
      <c r="G8">
        <v>3</v>
      </c>
      <c r="H8">
        <v>3</v>
      </c>
      <c r="I8">
        <v>8</v>
      </c>
      <c r="J8">
        <v>1.5</v>
      </c>
      <c r="K8">
        <v>1.5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330</v>
      </c>
    </row>
    <row r="9" spans="1:23" x14ac:dyDescent="0.3">
      <c r="A9">
        <v>2</v>
      </c>
      <c r="B9" t="s">
        <v>331</v>
      </c>
      <c r="C9">
        <v>1</v>
      </c>
      <c r="D9">
        <v>65</v>
      </c>
      <c r="E9">
        <f>IFERROR(C9*D9,0)</f>
        <v>65</v>
      </c>
      <c r="F9">
        <v>24</v>
      </c>
      <c r="G9">
        <v>-3</v>
      </c>
      <c r="H9">
        <v>3</v>
      </c>
      <c r="I9">
        <v>8</v>
      </c>
      <c r="J9">
        <v>1.5</v>
      </c>
      <c r="K9">
        <v>1.5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332</v>
      </c>
      <c r="C10">
        <v>1</v>
      </c>
      <c r="D10">
        <v>95</v>
      </c>
      <c r="E10">
        <f>IFERROR(C10*D10,0)</f>
        <v>95</v>
      </c>
      <c r="F10">
        <v>29</v>
      </c>
      <c r="G10">
        <v>3</v>
      </c>
      <c r="H10">
        <v>3</v>
      </c>
      <c r="I10">
        <v>1.5</v>
      </c>
      <c r="J10">
        <v>2</v>
      </c>
      <c r="K10">
        <v>2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333</v>
      </c>
      <c r="C11">
        <v>1</v>
      </c>
      <c r="D11">
        <v>95</v>
      </c>
      <c r="E11">
        <f>IFERROR(C11*D11,0)</f>
        <v>95</v>
      </c>
      <c r="F11">
        <v>29</v>
      </c>
      <c r="G11">
        <v>-3</v>
      </c>
      <c r="H11">
        <v>3</v>
      </c>
      <c r="I11">
        <v>1.5</v>
      </c>
      <c r="J11">
        <v>2</v>
      </c>
      <c r="K11">
        <v>2</v>
      </c>
      <c r="L11" t="s">
        <v>142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334</v>
      </c>
      <c r="C12">
        <v>2</v>
      </c>
      <c r="D12">
        <v>75</v>
      </c>
      <c r="E12">
        <f>IFERROR(C12*D12,0)</f>
        <v>150</v>
      </c>
      <c r="F12">
        <v>28.5</v>
      </c>
      <c r="G12">
        <v>3</v>
      </c>
      <c r="H12">
        <v>3</v>
      </c>
      <c r="I12">
        <v>1</v>
      </c>
      <c r="J12">
        <v>1.5</v>
      </c>
      <c r="K12">
        <v>1.5</v>
      </c>
      <c r="L12" t="s">
        <v>142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  <c r="W12" t="s">
        <v>335</v>
      </c>
    </row>
    <row r="13" spans="1:23" x14ac:dyDescent="0.3">
      <c r="A13">
        <v>6</v>
      </c>
      <c r="B13" t="s">
        <v>336</v>
      </c>
      <c r="C13">
        <v>2</v>
      </c>
      <c r="D13">
        <v>75</v>
      </c>
      <c r="E13">
        <f>IFERROR(C13*D13,0)</f>
        <v>150</v>
      </c>
      <c r="F13">
        <v>28.5</v>
      </c>
      <c r="G13">
        <v>-3</v>
      </c>
      <c r="H13">
        <v>3</v>
      </c>
      <c r="I13">
        <v>1</v>
      </c>
      <c r="J13">
        <v>1.5</v>
      </c>
      <c r="K13">
        <v>1.5</v>
      </c>
      <c r="L13" t="s">
        <v>142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</row>
    <row r="14" spans="1:23" x14ac:dyDescent="0.3">
      <c r="A14">
        <v>7</v>
      </c>
      <c r="B14" t="s">
        <v>337</v>
      </c>
      <c r="C14">
        <v>1</v>
      </c>
      <c r="D14">
        <v>55</v>
      </c>
      <c r="E14">
        <f>IFERROR(C14*D14,0)</f>
        <v>55</v>
      </c>
      <c r="F14">
        <v>30.5</v>
      </c>
      <c r="G14">
        <v>3</v>
      </c>
      <c r="H14">
        <v>3</v>
      </c>
      <c r="I14">
        <v>1.5</v>
      </c>
      <c r="J14">
        <v>1.8</v>
      </c>
      <c r="K14">
        <v>1.8</v>
      </c>
      <c r="L14" t="s">
        <v>142</v>
      </c>
      <c r="M14" s="58" t="s">
        <v>416</v>
      </c>
      <c r="N14" s="58"/>
      <c r="O14" s="58"/>
      <c r="P14" s="58"/>
      <c r="Q14" s="58" t="s">
        <v>416</v>
      </c>
      <c r="R14" s="58" t="s">
        <v>416</v>
      </c>
      <c r="S14" s="58"/>
      <c r="T14" s="58"/>
      <c r="U14" s="58"/>
      <c r="V14" s="59">
        <f>IF(UPPER(M14)="X",0.5,IF(UPPER(N14)="X",0.2,IF(UPPER(O14)="X",0.05,0)))</f>
        <v>0.5</v>
      </c>
      <c r="W14" t="s">
        <v>338</v>
      </c>
    </row>
    <row r="15" spans="1:23" x14ac:dyDescent="0.3">
      <c r="A15">
        <v>8</v>
      </c>
      <c r="B15" t="s">
        <v>339</v>
      </c>
      <c r="C15">
        <v>1</v>
      </c>
      <c r="D15">
        <v>55</v>
      </c>
      <c r="E15">
        <f>IFERROR(C15*D15,0)</f>
        <v>55</v>
      </c>
      <c r="F15">
        <v>30.5</v>
      </c>
      <c r="G15">
        <v>-3</v>
      </c>
      <c r="H15">
        <v>3</v>
      </c>
      <c r="I15">
        <v>1.5</v>
      </c>
      <c r="J15">
        <v>1.8</v>
      </c>
      <c r="K15">
        <v>1.8</v>
      </c>
      <c r="L15" t="s">
        <v>142</v>
      </c>
      <c r="M15" s="58" t="s">
        <v>416</v>
      </c>
      <c r="N15" s="58"/>
      <c r="O15" s="58"/>
      <c r="P15" s="58"/>
      <c r="Q15" s="58" t="s">
        <v>416</v>
      </c>
      <c r="R15" s="58" t="s">
        <v>416</v>
      </c>
      <c r="S15" s="58"/>
      <c r="T15" s="58"/>
      <c r="U15" s="58"/>
      <c r="V15" s="59">
        <f>IF(UPPER(M15)="X",0.5,IF(UPPER(N15)="X",0.2,IF(UPPER(O15)="X",0.05,0)))</f>
        <v>0.5</v>
      </c>
    </row>
    <row r="16" spans="1:23" x14ac:dyDescent="0.3">
      <c r="A16">
        <v>9</v>
      </c>
      <c r="B16" t="s">
        <v>340</v>
      </c>
      <c r="C16">
        <v>1</v>
      </c>
      <c r="D16">
        <v>35</v>
      </c>
      <c r="E16">
        <f>IFERROR(C16*D16,0)</f>
        <v>35</v>
      </c>
      <c r="F16">
        <v>32</v>
      </c>
      <c r="G16">
        <v>3</v>
      </c>
      <c r="H16">
        <v>3</v>
      </c>
      <c r="I16">
        <v>1.5</v>
      </c>
      <c r="J16">
        <v>1.5</v>
      </c>
      <c r="K16">
        <v>1.5</v>
      </c>
      <c r="L16" t="s">
        <v>142</v>
      </c>
      <c r="M16" s="58" t="s">
        <v>416</v>
      </c>
      <c r="N16" s="58"/>
      <c r="O16" s="58"/>
      <c r="P16" s="58"/>
      <c r="Q16" s="58" t="s">
        <v>416</v>
      </c>
      <c r="R16" s="58" t="s">
        <v>416</v>
      </c>
      <c r="S16" s="58"/>
      <c r="T16" s="58"/>
      <c r="U16" s="58"/>
      <c r="V16" s="59">
        <f>IF(UPPER(M16)="X",0.5,IF(UPPER(N16)="X",0.2,IF(UPPER(O16)="X",0.05,0)))</f>
        <v>0.5</v>
      </c>
    </row>
    <row r="17" spans="1:22" x14ac:dyDescent="0.3">
      <c r="A17">
        <v>10</v>
      </c>
      <c r="B17" t="s">
        <v>341</v>
      </c>
      <c r="C17">
        <v>1</v>
      </c>
      <c r="D17">
        <v>35</v>
      </c>
      <c r="E17">
        <f>IFERROR(C17*D17,0)</f>
        <v>35</v>
      </c>
      <c r="F17">
        <v>32</v>
      </c>
      <c r="G17">
        <v>-3</v>
      </c>
      <c r="H17">
        <v>3</v>
      </c>
      <c r="I17">
        <v>1.5</v>
      </c>
      <c r="J17">
        <v>1.5</v>
      </c>
      <c r="K17">
        <v>1.5</v>
      </c>
      <c r="L17" t="s">
        <v>142</v>
      </c>
      <c r="M17" s="58" t="s">
        <v>416</v>
      </c>
      <c r="N17" s="58"/>
      <c r="O17" s="58"/>
      <c r="P17" s="58"/>
      <c r="Q17" s="58" t="s">
        <v>416</v>
      </c>
      <c r="R17" s="58" t="s">
        <v>416</v>
      </c>
      <c r="S17" s="58"/>
      <c r="T17" s="58"/>
      <c r="U17" s="58"/>
      <c r="V17" s="59">
        <f>IF(UPPER(M17)="X",0.5,IF(UPPER(N17)="X",0.2,IF(UPPER(O17)="X",0.05,0)))</f>
        <v>0.5</v>
      </c>
    </row>
    <row r="18" spans="1:22" x14ac:dyDescent="0.3">
      <c r="A18">
        <v>11</v>
      </c>
      <c r="B18" t="s">
        <v>342</v>
      </c>
      <c r="C18">
        <v>1</v>
      </c>
      <c r="D18">
        <v>28</v>
      </c>
      <c r="E18">
        <f>IFERROR(C18*D18,0)</f>
        <v>28</v>
      </c>
      <c r="F18">
        <v>29</v>
      </c>
      <c r="G18">
        <v>3</v>
      </c>
      <c r="H18">
        <v>3</v>
      </c>
      <c r="I18">
        <v>1</v>
      </c>
      <c r="J18">
        <v>1</v>
      </c>
      <c r="K18">
        <v>1</v>
      </c>
      <c r="L18" t="s">
        <v>142</v>
      </c>
      <c r="M18" s="58" t="s">
        <v>416</v>
      </c>
      <c r="N18" s="58"/>
      <c r="O18" s="58"/>
      <c r="P18" s="58"/>
      <c r="Q18" s="58" t="s">
        <v>416</v>
      </c>
      <c r="R18" s="58" t="s">
        <v>416</v>
      </c>
      <c r="S18" s="58"/>
      <c r="T18" s="58"/>
      <c r="U18" s="58"/>
      <c r="V18" s="59">
        <f>IF(UPPER(M18)="X",0.5,IF(UPPER(N18)="X",0.2,IF(UPPER(O18)="X",0.05,0)))</f>
        <v>0.5</v>
      </c>
    </row>
    <row r="19" spans="1:22" x14ac:dyDescent="0.3">
      <c r="A19">
        <v>12</v>
      </c>
      <c r="B19" t="s">
        <v>343</v>
      </c>
      <c r="C19">
        <v>1</v>
      </c>
      <c r="D19">
        <v>28</v>
      </c>
      <c r="E19">
        <f>IFERROR(C19*D19,0)</f>
        <v>28</v>
      </c>
      <c r="F19">
        <v>29</v>
      </c>
      <c r="G19">
        <v>-3</v>
      </c>
      <c r="H19">
        <v>3</v>
      </c>
      <c r="I19">
        <v>1</v>
      </c>
      <c r="J19">
        <v>1</v>
      </c>
      <c r="K19">
        <v>1</v>
      </c>
      <c r="L19" t="s">
        <v>142</v>
      </c>
      <c r="M19" s="58" t="s">
        <v>416</v>
      </c>
      <c r="N19" s="58"/>
      <c r="O19" s="58"/>
      <c r="P19" s="58"/>
      <c r="Q19" s="58" t="s">
        <v>416</v>
      </c>
      <c r="R19" s="58" t="s">
        <v>416</v>
      </c>
      <c r="S19" s="58"/>
      <c r="T19" s="58"/>
      <c r="U19" s="58"/>
      <c r="V19" s="59">
        <f>IF(UPPER(M19)="X",0.5,IF(UPPER(N19)="X",0.2,IF(UPPER(O19)="X",0.05,0)))</f>
        <v>0.5</v>
      </c>
    </row>
    <row r="20" spans="1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5D9F2-AF67-4120-9B4C-2A8501A461F6}">
  <sheetPr codeName="Sheet24"/>
  <dimension ref="A1:W200"/>
  <sheetViews>
    <sheetView workbookViewId="0">
      <pane ySplit="7" topLeftCell="A8" activePane="bottomLeft" state="frozen"/>
      <selection pane="bottomLeft" activeCell="A57" sqref="A57"/>
    </sheetView>
  </sheetViews>
  <sheetFormatPr defaultRowHeight="14.4" x14ac:dyDescent="0.3"/>
  <cols>
    <col min="1" max="1" width="5.5546875" customWidth="1"/>
    <col min="2" max="2" width="33.33203125" customWidth="1"/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143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526</v>
      </c>
      <c r="E4" s="2">
        <f>IFERROR(SUMPRODUCT(E8:E200,F8:F200)/D4,0)</f>
        <v>27.074144486692017</v>
      </c>
      <c r="F4" s="2">
        <f>IFERROR(SUMPRODUCT(E8:E200,G8:G200)/D4,0)</f>
        <v>0</v>
      </c>
      <c r="G4" s="2">
        <f>IFERROR(SUMPRODUCT(E8:E200,H8:H200)/D4,0)</f>
        <v>4.0522813688212924</v>
      </c>
      <c r="H4" s="2">
        <f>SUMPRODUCT(E8:E200,V8:V200)</f>
        <v>263</v>
      </c>
      <c r="I4" s="2">
        <f>SUMPRODUCT(E8:E200,V8:V200)</f>
        <v>263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344</v>
      </c>
      <c r="C8">
        <v>1</v>
      </c>
      <c r="D8">
        <v>45</v>
      </c>
      <c r="E8">
        <f>IFERROR(C8*D8,0)</f>
        <v>45</v>
      </c>
      <c r="F8">
        <v>22</v>
      </c>
      <c r="G8">
        <v>0</v>
      </c>
      <c r="H8">
        <v>4.5</v>
      </c>
      <c r="I8">
        <v>6</v>
      </c>
      <c r="J8">
        <v>1.2</v>
      </c>
      <c r="K8">
        <v>1.2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345</v>
      </c>
    </row>
    <row r="9" spans="1:23" x14ac:dyDescent="0.3">
      <c r="A9">
        <v>2</v>
      </c>
      <c r="B9" t="s">
        <v>346</v>
      </c>
      <c r="C9">
        <v>1</v>
      </c>
      <c r="D9">
        <v>220</v>
      </c>
      <c r="E9">
        <f>IFERROR(C9*D9,0)</f>
        <v>220</v>
      </c>
      <c r="F9">
        <v>27</v>
      </c>
      <c r="G9">
        <v>0</v>
      </c>
      <c r="H9">
        <v>4</v>
      </c>
      <c r="I9">
        <v>3</v>
      </c>
      <c r="J9">
        <v>2</v>
      </c>
      <c r="K9">
        <v>2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347</v>
      </c>
    </row>
    <row r="10" spans="1:23" x14ac:dyDescent="0.3">
      <c r="A10">
        <v>3</v>
      </c>
      <c r="B10" t="s">
        <v>348</v>
      </c>
      <c r="C10">
        <v>1</v>
      </c>
      <c r="D10">
        <v>180</v>
      </c>
      <c r="E10">
        <f>IFERROR(C10*D10,0)</f>
        <v>180</v>
      </c>
      <c r="F10">
        <v>28</v>
      </c>
      <c r="G10">
        <v>0</v>
      </c>
      <c r="H10">
        <v>4</v>
      </c>
      <c r="I10">
        <v>2</v>
      </c>
      <c r="J10">
        <v>1.8</v>
      </c>
      <c r="K10">
        <v>1.8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349</v>
      </c>
    </row>
    <row r="11" spans="1:23" x14ac:dyDescent="0.3">
      <c r="A11">
        <v>4</v>
      </c>
      <c r="B11" t="s">
        <v>350</v>
      </c>
      <c r="C11">
        <v>1</v>
      </c>
      <c r="D11">
        <v>28</v>
      </c>
      <c r="E11">
        <f>IFERROR(C11*D11,0)</f>
        <v>28</v>
      </c>
      <c r="F11">
        <v>30</v>
      </c>
      <c r="G11">
        <v>0</v>
      </c>
      <c r="H11">
        <v>4.5</v>
      </c>
      <c r="I11">
        <v>2</v>
      </c>
      <c r="J11">
        <v>1.2</v>
      </c>
      <c r="K11">
        <v>1.2</v>
      </c>
      <c r="L11" t="s">
        <v>142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</row>
    <row r="12" spans="1:23" x14ac:dyDescent="0.3">
      <c r="A12">
        <v>5</v>
      </c>
      <c r="B12" t="s">
        <v>351</v>
      </c>
      <c r="C12">
        <v>1</v>
      </c>
      <c r="D12">
        <v>35</v>
      </c>
      <c r="E12">
        <f>IFERROR(C12*D12,0)</f>
        <v>35</v>
      </c>
      <c r="F12">
        <v>27</v>
      </c>
      <c r="G12">
        <v>0</v>
      </c>
      <c r="H12">
        <v>4</v>
      </c>
      <c r="I12">
        <v>1.5</v>
      </c>
      <c r="J12">
        <v>1.5</v>
      </c>
      <c r="K12">
        <v>1</v>
      </c>
      <c r="L12" t="s">
        <v>142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A13">
        <v>6</v>
      </c>
      <c r="B13" t="s">
        <v>352</v>
      </c>
      <c r="C13">
        <v>1</v>
      </c>
      <c r="D13">
        <v>18</v>
      </c>
      <c r="E13">
        <f>IFERROR(C13*D13,0)</f>
        <v>18</v>
      </c>
      <c r="F13">
        <v>27</v>
      </c>
      <c r="G13">
        <v>0</v>
      </c>
      <c r="H13">
        <v>3.5</v>
      </c>
      <c r="I13">
        <v>1</v>
      </c>
      <c r="J13">
        <v>0.8</v>
      </c>
      <c r="K13">
        <v>0.6</v>
      </c>
      <c r="L13" t="s">
        <v>142</v>
      </c>
      <c r="M13" s="58" t="s">
        <v>416</v>
      </c>
      <c r="N13" s="58"/>
      <c r="O13" s="58"/>
      <c r="P13" s="58"/>
      <c r="Q13" s="58" t="s">
        <v>416</v>
      </c>
      <c r="R13" s="58" t="s">
        <v>416</v>
      </c>
      <c r="S13" s="58"/>
      <c r="T13" s="58"/>
      <c r="U13" s="58"/>
      <c r="V13" s="59">
        <f>IF(UPPER(M13)="X",0.5,IF(UPPER(N13)="X",0.2,IF(UPPER(O13)="X",0.05,0)))</f>
        <v>0.5</v>
      </c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F6E8-53E0-4EDB-9215-45A8E09999DF}">
  <sheetPr codeName="Sheet26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148</v>
      </c>
    </row>
    <row r="3" spans="1:23" x14ac:dyDescent="0.3">
      <c r="A3" s="13" t="s">
        <v>109</v>
      </c>
      <c r="B3" t="s">
        <v>120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37</v>
      </c>
      <c r="E4" s="2">
        <f>IFERROR(SUMPRODUCT(E8:E200,F8:F200)/D4,0)</f>
        <v>13.810810810810811</v>
      </c>
      <c r="F4" s="2">
        <f>IFERROR(SUMPRODUCT(E8:E200,G8:G200)/D4,0)</f>
        <v>0</v>
      </c>
      <c r="G4" s="2">
        <f>IFERROR(SUMPRODUCT(E8:E200,H8:H200)/D4,0)</f>
        <v>5.3918918918918921</v>
      </c>
      <c r="H4" s="2">
        <f>SUMPRODUCT(E8:E200,V8:V200)</f>
        <v>15.5</v>
      </c>
      <c r="I4" s="2">
        <f>SUMPRODUCT(E8:E200,V8:V200)</f>
        <v>15.5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176</v>
      </c>
      <c r="C8">
        <v>2</v>
      </c>
      <c r="D8">
        <v>5</v>
      </c>
      <c r="E8">
        <f>IFERROR(C8*D8,0)</f>
        <v>10</v>
      </c>
      <c r="F8">
        <v>4</v>
      </c>
      <c r="G8">
        <v>0</v>
      </c>
      <c r="H8">
        <v>4.5</v>
      </c>
      <c r="I8">
        <v>0.4</v>
      </c>
      <c r="J8">
        <v>0.3</v>
      </c>
      <c r="K8">
        <v>0.2</v>
      </c>
      <c r="L8" t="s">
        <v>120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</row>
    <row r="9" spans="1:23" x14ac:dyDescent="0.3">
      <c r="A9">
        <v>2</v>
      </c>
      <c r="B9" t="s">
        <v>177</v>
      </c>
      <c r="C9">
        <v>1</v>
      </c>
      <c r="D9">
        <v>12</v>
      </c>
      <c r="E9">
        <f>IFERROR(C9*D9,0)</f>
        <v>12</v>
      </c>
      <c r="F9">
        <v>18</v>
      </c>
      <c r="G9">
        <v>0</v>
      </c>
      <c r="H9">
        <v>6</v>
      </c>
      <c r="I9">
        <v>0.6</v>
      </c>
      <c r="J9">
        <v>0.5</v>
      </c>
      <c r="K9">
        <v>0.3</v>
      </c>
      <c r="L9" t="s">
        <v>120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178</v>
      </c>
    </row>
    <row r="10" spans="1:23" x14ac:dyDescent="0.3">
      <c r="A10">
        <v>3</v>
      </c>
      <c r="B10" t="s">
        <v>179</v>
      </c>
      <c r="C10">
        <v>1</v>
      </c>
      <c r="D10">
        <v>15</v>
      </c>
      <c r="E10">
        <f>IFERROR(C10*D10,0)</f>
        <v>15</v>
      </c>
      <c r="F10">
        <v>17</v>
      </c>
      <c r="G10">
        <v>0</v>
      </c>
      <c r="H10">
        <v>5.5</v>
      </c>
      <c r="I10">
        <v>30</v>
      </c>
      <c r="J10">
        <v>0.1</v>
      </c>
      <c r="K10">
        <v>0.1</v>
      </c>
      <c r="L10" t="s">
        <v>120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3B714-52E7-4BE0-A925-959C028CAE25}">
  <sheetPr codeName="Sheet27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149</v>
      </c>
    </row>
    <row r="3" spans="1:23" x14ac:dyDescent="0.3">
      <c r="A3" s="13" t="s">
        <v>109</v>
      </c>
      <c r="B3" t="s">
        <v>127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60</v>
      </c>
      <c r="E4" s="2">
        <f>IFERROR(SUMPRODUCT(E8:E200,F8:F200)/D4,0)</f>
        <v>20.166666666666668</v>
      </c>
      <c r="F4" s="2">
        <f>IFERROR(SUMPRODUCT(E8:E200,G8:G200)/D4,0)</f>
        <v>2</v>
      </c>
      <c r="G4" s="2">
        <f>IFERROR(SUMPRODUCT(E8:E200,H8:H200)/D4,0)</f>
        <v>2.5833333333333335</v>
      </c>
      <c r="H4" s="2">
        <f>SUMPRODUCT(E8:E200,V8:V200)</f>
        <v>16.5</v>
      </c>
      <c r="I4" s="2">
        <f>SUMPRODUCT(E8:E200,V8:V200)</f>
        <v>16.5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202</v>
      </c>
      <c r="C8">
        <v>2</v>
      </c>
      <c r="D8">
        <v>15</v>
      </c>
      <c r="E8">
        <f>IFERROR(C8*D8,0)</f>
        <v>30</v>
      </c>
      <c r="F8">
        <v>19</v>
      </c>
      <c r="G8">
        <v>4</v>
      </c>
      <c r="H8">
        <v>2</v>
      </c>
      <c r="I8">
        <v>0.8</v>
      </c>
      <c r="J8">
        <v>0.5</v>
      </c>
      <c r="K8">
        <v>0.5</v>
      </c>
      <c r="L8" t="s">
        <v>203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  <c r="W8" t="s">
        <v>204</v>
      </c>
    </row>
    <row r="9" spans="1:23" x14ac:dyDescent="0.3">
      <c r="A9">
        <v>2</v>
      </c>
      <c r="B9" t="s">
        <v>205</v>
      </c>
      <c r="C9">
        <v>1</v>
      </c>
      <c r="D9">
        <v>12</v>
      </c>
      <c r="E9">
        <f>IFERROR(C9*D9,0)</f>
        <v>12</v>
      </c>
      <c r="F9">
        <v>27</v>
      </c>
      <c r="G9">
        <v>0</v>
      </c>
      <c r="H9">
        <v>3</v>
      </c>
      <c r="I9">
        <v>0.7</v>
      </c>
      <c r="J9">
        <v>0.5</v>
      </c>
      <c r="K9">
        <v>0.5</v>
      </c>
      <c r="L9" t="s">
        <v>203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206</v>
      </c>
      <c r="C10">
        <v>1</v>
      </c>
      <c r="D10">
        <v>8</v>
      </c>
      <c r="E10">
        <f>IFERROR(C10*D10,0)</f>
        <v>8</v>
      </c>
      <c r="F10">
        <v>22</v>
      </c>
      <c r="G10">
        <v>0</v>
      </c>
      <c r="H10">
        <v>3</v>
      </c>
      <c r="I10">
        <v>12</v>
      </c>
      <c r="J10">
        <v>0.05</v>
      </c>
      <c r="K10">
        <v>0.05</v>
      </c>
      <c r="L10" t="s">
        <v>203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207</v>
      </c>
    </row>
    <row r="11" spans="1:23" x14ac:dyDescent="0.3">
      <c r="A11">
        <v>4</v>
      </c>
      <c r="B11" t="s">
        <v>208</v>
      </c>
      <c r="C11">
        <v>2</v>
      </c>
      <c r="D11">
        <v>5</v>
      </c>
      <c r="E11">
        <f>IFERROR(C11*D11,0)</f>
        <v>10</v>
      </c>
      <c r="F11">
        <v>14</v>
      </c>
      <c r="G11">
        <v>0</v>
      </c>
      <c r="H11">
        <v>3.5</v>
      </c>
      <c r="I11">
        <v>0.5</v>
      </c>
      <c r="J11">
        <v>0.3</v>
      </c>
      <c r="K11">
        <v>0.3</v>
      </c>
      <c r="L11" t="s">
        <v>203</v>
      </c>
      <c r="M11" s="58"/>
      <c r="N11" s="58"/>
      <c r="O11" s="58" t="s">
        <v>416</v>
      </c>
      <c r="P11" s="58"/>
      <c r="Q11" s="58" t="s">
        <v>416</v>
      </c>
      <c r="R11" s="58"/>
      <c r="S11" s="58" t="s">
        <v>416</v>
      </c>
      <c r="T11" s="58"/>
      <c r="U11" s="58"/>
      <c r="V11" s="59">
        <f>IF(UPPER(M11)="X",0.5,IF(UPPER(N11)="X",0.2,IF(UPPER(O11)="X",0.05,0)))</f>
        <v>0.05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35C1-BE43-4158-8B4A-0A6BC0C6C835}">
  <sheetPr codeName="Sheet28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150</v>
      </c>
    </row>
    <row r="3" spans="1:23" x14ac:dyDescent="0.3">
      <c r="A3" s="13" t="s">
        <v>109</v>
      </c>
      <c r="B3" t="s">
        <v>110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67</v>
      </c>
      <c r="E4" s="2">
        <f>IFERROR(SUMPRODUCT(E8:E200,F8:F200)/D4,0)</f>
        <v>14.388059701492537</v>
      </c>
      <c r="F4" s="2">
        <f>IFERROR(SUMPRODUCT(E8:E200,G8:G200)/D4,0)</f>
        <v>0.94029850746268662</v>
      </c>
      <c r="G4" s="2">
        <f>IFERROR(SUMPRODUCT(E8:E200,H8:H200)/D4,0)</f>
        <v>3.8955223880597014</v>
      </c>
      <c r="H4" s="2">
        <f>SUMPRODUCT(E8:E200,V8:V200)</f>
        <v>33.5</v>
      </c>
      <c r="I4" s="2">
        <f>SUMPRODUCT(E8:E200,V8:V200)</f>
        <v>33.5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232</v>
      </c>
      <c r="C8">
        <v>1</v>
      </c>
      <c r="D8">
        <v>35</v>
      </c>
      <c r="E8">
        <f>IFERROR(C8*D8,0)</f>
        <v>35</v>
      </c>
      <c r="F8">
        <v>16</v>
      </c>
      <c r="G8">
        <v>0</v>
      </c>
      <c r="H8">
        <v>4</v>
      </c>
      <c r="I8">
        <v>28</v>
      </c>
      <c r="J8">
        <v>0.5</v>
      </c>
      <c r="K8">
        <v>0.1</v>
      </c>
      <c r="L8" t="s">
        <v>110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233</v>
      </c>
    </row>
    <row r="9" spans="1:23" x14ac:dyDescent="0.3">
      <c r="A9">
        <v>2</v>
      </c>
      <c r="B9" t="s">
        <v>234</v>
      </c>
      <c r="C9">
        <v>1</v>
      </c>
      <c r="D9">
        <v>8</v>
      </c>
      <c r="E9">
        <f>IFERROR(C9*D9,0)</f>
        <v>8</v>
      </c>
      <c r="F9">
        <v>4</v>
      </c>
      <c r="G9">
        <v>0</v>
      </c>
      <c r="H9">
        <v>5</v>
      </c>
      <c r="I9">
        <v>2</v>
      </c>
      <c r="J9">
        <v>1.5</v>
      </c>
      <c r="K9">
        <v>0.05</v>
      </c>
      <c r="L9" t="s">
        <v>110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235</v>
      </c>
    </row>
    <row r="10" spans="1:23" x14ac:dyDescent="0.3">
      <c r="A10">
        <v>3</v>
      </c>
      <c r="B10" t="s">
        <v>236</v>
      </c>
      <c r="C10">
        <v>4</v>
      </c>
      <c r="D10">
        <v>1.5</v>
      </c>
      <c r="E10">
        <f>IFERROR(C10*D10,0)</f>
        <v>6</v>
      </c>
      <c r="F10">
        <v>5</v>
      </c>
      <c r="G10">
        <v>1.5</v>
      </c>
      <c r="H10">
        <v>4.5</v>
      </c>
      <c r="I10">
        <v>0.3</v>
      </c>
      <c r="J10">
        <v>0.1</v>
      </c>
      <c r="K10">
        <v>0.1</v>
      </c>
      <c r="L10" t="s">
        <v>110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237</v>
      </c>
      <c r="C11">
        <v>3</v>
      </c>
      <c r="D11">
        <v>6</v>
      </c>
      <c r="E11">
        <f>IFERROR(C11*D11,0)</f>
        <v>18</v>
      </c>
      <c r="F11">
        <v>19</v>
      </c>
      <c r="G11">
        <v>3</v>
      </c>
      <c r="H11">
        <v>3</v>
      </c>
      <c r="I11">
        <v>1</v>
      </c>
      <c r="J11">
        <v>0.5</v>
      </c>
      <c r="K11">
        <v>0.5</v>
      </c>
      <c r="L11" t="s">
        <v>110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  <c r="W11" t="s">
        <v>238</v>
      </c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0B320-5848-497C-A5E3-A0A41D6F0E3C}">
  <sheetPr codeName="Sheet29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151</v>
      </c>
    </row>
    <row r="3" spans="1:23" x14ac:dyDescent="0.3">
      <c r="A3" s="13" t="s">
        <v>109</v>
      </c>
      <c r="B3" t="s">
        <v>120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61</v>
      </c>
      <c r="E4" s="2">
        <f>IFERROR(SUMPRODUCT(E8:E200,F8:F200)/D4,0)</f>
        <v>12.409836065573771</v>
      </c>
      <c r="F4" s="2">
        <f>IFERROR(SUMPRODUCT(E8:E200,G8:G200)/D4,0)</f>
        <v>0.26229508196721313</v>
      </c>
      <c r="G4" s="2">
        <f>IFERROR(SUMPRODUCT(E8:E200,H8:H200)/D4,0)</f>
        <v>4.0081967213114753</v>
      </c>
      <c r="H4" s="2">
        <f>SUMPRODUCT(E8:E200,V8:V200)</f>
        <v>11.450000000000001</v>
      </c>
      <c r="I4" s="2">
        <f>SUMPRODUCT(E8:E200,V8:V200)</f>
        <v>11.450000000000001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239</v>
      </c>
      <c r="C8">
        <v>2</v>
      </c>
      <c r="D8">
        <v>8</v>
      </c>
      <c r="E8">
        <f>IFERROR(C8*D8,0)</f>
        <v>16</v>
      </c>
      <c r="F8">
        <v>4.5</v>
      </c>
      <c r="G8">
        <v>1</v>
      </c>
      <c r="H8">
        <v>4.5</v>
      </c>
      <c r="I8">
        <v>1</v>
      </c>
      <c r="J8">
        <v>0.8</v>
      </c>
      <c r="K8">
        <v>0.1</v>
      </c>
      <c r="L8" t="s">
        <v>120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</row>
    <row r="9" spans="1:23" x14ac:dyDescent="0.3">
      <c r="A9">
        <v>2</v>
      </c>
      <c r="B9" t="s">
        <v>240</v>
      </c>
      <c r="C9">
        <v>2</v>
      </c>
      <c r="D9">
        <v>8</v>
      </c>
      <c r="E9">
        <f>IFERROR(C9*D9,0)</f>
        <v>16</v>
      </c>
      <c r="F9">
        <v>4.5</v>
      </c>
      <c r="G9">
        <v>0</v>
      </c>
      <c r="H9">
        <v>4.5</v>
      </c>
      <c r="I9">
        <v>1</v>
      </c>
      <c r="J9">
        <v>0.8</v>
      </c>
      <c r="K9">
        <v>0.1</v>
      </c>
      <c r="L9" t="s">
        <v>120</v>
      </c>
      <c r="M9" s="58"/>
      <c r="N9" s="58" t="s">
        <v>416</v>
      </c>
      <c r="O9" s="58"/>
      <c r="P9" s="58"/>
      <c r="Q9" s="58" t="s">
        <v>416</v>
      </c>
      <c r="R9" s="58"/>
      <c r="S9" s="58" t="s">
        <v>416</v>
      </c>
      <c r="T9" s="58"/>
      <c r="U9" s="58"/>
      <c r="V9" s="59">
        <f>IF(UPPER(M9)="X",0.5,IF(UPPER(N9)="X",0.2,IF(UPPER(O9)="X",0.05,0)))</f>
        <v>0.2</v>
      </c>
    </row>
    <row r="10" spans="1:23" x14ac:dyDescent="0.3">
      <c r="A10">
        <v>3</v>
      </c>
      <c r="B10" t="s">
        <v>241</v>
      </c>
      <c r="C10">
        <v>1</v>
      </c>
      <c r="D10">
        <v>6</v>
      </c>
      <c r="E10">
        <f>IFERROR(C10*D10,0)</f>
        <v>6</v>
      </c>
      <c r="F10">
        <v>5</v>
      </c>
      <c r="G10">
        <v>0</v>
      </c>
      <c r="H10">
        <v>4</v>
      </c>
      <c r="I10">
        <v>0.8</v>
      </c>
      <c r="J10">
        <v>0.6</v>
      </c>
      <c r="K10">
        <v>0.1</v>
      </c>
      <c r="L10" t="s">
        <v>120</v>
      </c>
      <c r="M10" s="58"/>
      <c r="N10" s="58" t="s">
        <v>416</v>
      </c>
      <c r="O10" s="58"/>
      <c r="P10" s="58"/>
      <c r="Q10" s="58" t="s">
        <v>416</v>
      </c>
      <c r="R10" s="58"/>
      <c r="S10" s="58" t="s">
        <v>416</v>
      </c>
      <c r="T10" s="58"/>
      <c r="U10" s="58"/>
      <c r="V10" s="59">
        <f>IF(UPPER(M10)="X",0.5,IF(UPPER(N10)="X",0.2,IF(UPPER(O10)="X",0.05,0)))</f>
        <v>0.2</v>
      </c>
    </row>
    <row r="11" spans="1:23" x14ac:dyDescent="0.3">
      <c r="A11">
        <v>4</v>
      </c>
      <c r="B11" t="s">
        <v>242</v>
      </c>
      <c r="C11">
        <v>1</v>
      </c>
      <c r="D11">
        <v>5</v>
      </c>
      <c r="E11">
        <f>IFERROR(C11*D11,0)</f>
        <v>5</v>
      </c>
      <c r="F11">
        <v>5</v>
      </c>
      <c r="G11">
        <v>0</v>
      </c>
      <c r="H11">
        <v>4.5</v>
      </c>
      <c r="I11">
        <v>0.5</v>
      </c>
      <c r="J11">
        <v>0.4</v>
      </c>
      <c r="K11">
        <v>0.1</v>
      </c>
      <c r="L11" t="s">
        <v>120</v>
      </c>
      <c r="M11" s="58"/>
      <c r="N11" s="58"/>
      <c r="O11" s="58" t="s">
        <v>416</v>
      </c>
      <c r="P11" s="58"/>
      <c r="Q11" s="58" t="s">
        <v>416</v>
      </c>
      <c r="R11" s="58"/>
      <c r="S11" s="58" t="s">
        <v>416</v>
      </c>
      <c r="T11" s="58"/>
      <c r="U11" s="58"/>
      <c r="V11" s="59">
        <f>IF(UPPER(M11)="X",0.5,IF(UPPER(N11)="X",0.2,IF(UPPER(O11)="X",0.05,0)))</f>
        <v>0.05</v>
      </c>
    </row>
    <row r="12" spans="1:23" x14ac:dyDescent="0.3">
      <c r="A12">
        <v>5</v>
      </c>
      <c r="B12" t="s">
        <v>243</v>
      </c>
      <c r="C12">
        <v>1</v>
      </c>
      <c r="D12">
        <v>18</v>
      </c>
      <c r="E12">
        <f>IFERROR(C12*D12,0)</f>
        <v>18</v>
      </c>
      <c r="F12">
        <v>31</v>
      </c>
      <c r="G12">
        <v>0</v>
      </c>
      <c r="H12">
        <v>3</v>
      </c>
      <c r="I12">
        <v>1</v>
      </c>
      <c r="J12">
        <v>0.6</v>
      </c>
      <c r="K12">
        <v>0.4</v>
      </c>
      <c r="L12" t="s">
        <v>120</v>
      </c>
      <c r="M12" s="58"/>
      <c r="N12" s="58" t="s">
        <v>416</v>
      </c>
      <c r="O12" s="58"/>
      <c r="P12" s="58"/>
      <c r="Q12" s="58" t="s">
        <v>416</v>
      </c>
      <c r="R12" s="58"/>
      <c r="S12" s="58" t="s">
        <v>416</v>
      </c>
      <c r="T12" s="58"/>
      <c r="U12" s="58"/>
      <c r="V12" s="59">
        <f>IF(UPPER(M12)="X",0.5,IF(UPPER(N12)="X",0.2,IF(UPPER(O12)="X",0.05,0)))</f>
        <v>0.2</v>
      </c>
      <c r="W12" t="s">
        <v>244</v>
      </c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D2AFA-AEA6-4A0E-AB71-086413B065C9}">
  <sheetPr codeName="Sheet30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152</v>
      </c>
    </row>
    <row r="3" spans="1:23" x14ac:dyDescent="0.3">
      <c r="A3" s="13" t="s">
        <v>109</v>
      </c>
      <c r="B3" t="s">
        <v>120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90</v>
      </c>
      <c r="E4" s="2">
        <f>IFERROR(SUMPRODUCT(E8:E200,F8:F200)/D4,0)</f>
        <v>4.8666666666666663</v>
      </c>
      <c r="F4" s="2">
        <f>IFERROR(SUMPRODUCT(E8:E200,G8:G200)/D4,0)</f>
        <v>0</v>
      </c>
      <c r="G4" s="2">
        <f>IFERROR(SUMPRODUCT(E8:E200,H8:H200)/D4,0)</f>
        <v>3.6666666666666665</v>
      </c>
      <c r="H4" s="2">
        <f>SUMPRODUCT(E8:E200,V8:V200)</f>
        <v>31.8</v>
      </c>
      <c r="I4" s="2">
        <f>SUMPRODUCT(E8:E200,V8:V200)</f>
        <v>31.8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261</v>
      </c>
      <c r="C8">
        <v>2</v>
      </c>
      <c r="D8">
        <v>4</v>
      </c>
      <c r="E8">
        <f>IFERROR(C8*D8,0)</f>
        <v>8</v>
      </c>
      <c r="F8">
        <v>4</v>
      </c>
      <c r="G8">
        <v>0</v>
      </c>
      <c r="H8">
        <v>5</v>
      </c>
      <c r="I8">
        <v>0.4</v>
      </c>
      <c r="J8">
        <v>0.3</v>
      </c>
      <c r="K8">
        <v>0.15</v>
      </c>
      <c r="L8" t="s">
        <v>120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</row>
    <row r="9" spans="1:23" x14ac:dyDescent="0.3">
      <c r="A9">
        <v>2</v>
      </c>
      <c r="B9" t="s">
        <v>262</v>
      </c>
      <c r="C9">
        <v>2</v>
      </c>
      <c r="D9">
        <v>12</v>
      </c>
      <c r="E9">
        <f>IFERROR(C9*D9,0)</f>
        <v>24</v>
      </c>
      <c r="F9">
        <v>7</v>
      </c>
      <c r="G9">
        <v>0</v>
      </c>
      <c r="H9">
        <v>3</v>
      </c>
      <c r="I9">
        <v>0.6</v>
      </c>
      <c r="J9">
        <v>0.4</v>
      </c>
      <c r="K9">
        <v>0.3</v>
      </c>
      <c r="L9" t="s">
        <v>120</v>
      </c>
      <c r="M9" s="58"/>
      <c r="N9" s="58" t="s">
        <v>416</v>
      </c>
      <c r="O9" s="58"/>
      <c r="P9" s="58"/>
      <c r="Q9" s="58" t="s">
        <v>416</v>
      </c>
      <c r="R9" s="58"/>
      <c r="S9" s="58" t="s">
        <v>416</v>
      </c>
      <c r="T9" s="58"/>
      <c r="U9" s="58"/>
      <c r="V9" s="59">
        <f>IF(UPPER(M9)="X",0.5,IF(UPPER(N9)="X",0.2,IF(UPPER(O9)="X",0.05,0)))</f>
        <v>0.2</v>
      </c>
      <c r="W9" t="s">
        <v>263</v>
      </c>
    </row>
    <row r="10" spans="1:23" x14ac:dyDescent="0.3">
      <c r="A10">
        <v>3</v>
      </c>
      <c r="B10" t="s">
        <v>264</v>
      </c>
      <c r="C10">
        <v>2</v>
      </c>
      <c r="D10">
        <v>6</v>
      </c>
      <c r="E10">
        <f>IFERROR(C10*D10,0)</f>
        <v>12</v>
      </c>
      <c r="F10">
        <v>5</v>
      </c>
      <c r="G10">
        <v>0</v>
      </c>
      <c r="H10">
        <v>4</v>
      </c>
      <c r="I10">
        <v>0.5</v>
      </c>
      <c r="J10">
        <v>0.3</v>
      </c>
      <c r="K10">
        <v>0.2</v>
      </c>
      <c r="L10" t="s">
        <v>120</v>
      </c>
      <c r="M10" s="58"/>
      <c r="N10" s="58" t="s">
        <v>416</v>
      </c>
      <c r="O10" s="58"/>
      <c r="P10" s="58"/>
      <c r="Q10" s="58" t="s">
        <v>416</v>
      </c>
      <c r="R10" s="58"/>
      <c r="S10" s="58" t="s">
        <v>416</v>
      </c>
      <c r="T10" s="58"/>
      <c r="U10" s="58"/>
      <c r="V10" s="59">
        <f>IF(UPPER(M10)="X",0.5,IF(UPPER(N10)="X",0.2,IF(UPPER(O10)="X",0.05,0)))</f>
        <v>0.2</v>
      </c>
    </row>
    <row r="11" spans="1:23" x14ac:dyDescent="0.3">
      <c r="A11">
        <v>4</v>
      </c>
      <c r="B11" t="s">
        <v>265</v>
      </c>
      <c r="C11">
        <v>1</v>
      </c>
      <c r="D11">
        <v>28</v>
      </c>
      <c r="E11">
        <f>IFERROR(C11*D11,0)</f>
        <v>28</v>
      </c>
      <c r="F11">
        <v>2.5</v>
      </c>
      <c r="G11">
        <v>0</v>
      </c>
      <c r="H11">
        <v>3.5</v>
      </c>
      <c r="I11">
        <v>1.2</v>
      </c>
      <c r="J11">
        <v>1.2</v>
      </c>
      <c r="K11">
        <v>0.8</v>
      </c>
      <c r="L11" t="s">
        <v>120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  <c r="W11" t="s">
        <v>266</v>
      </c>
    </row>
    <row r="12" spans="1:23" x14ac:dyDescent="0.3">
      <c r="A12">
        <v>5</v>
      </c>
      <c r="B12" t="s">
        <v>267</v>
      </c>
      <c r="C12">
        <v>1</v>
      </c>
      <c r="D12">
        <v>18</v>
      </c>
      <c r="E12">
        <f>IFERROR(C12*D12,0)</f>
        <v>18</v>
      </c>
      <c r="F12">
        <v>6</v>
      </c>
      <c r="G12">
        <v>0</v>
      </c>
      <c r="H12">
        <v>4</v>
      </c>
      <c r="I12">
        <v>0.8</v>
      </c>
      <c r="J12">
        <v>0.6</v>
      </c>
      <c r="K12">
        <v>0.3</v>
      </c>
      <c r="L12" t="s">
        <v>120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16137-A652-4FB2-9D0A-4FAAB4B825E6}">
  <sheetPr codeName="Sheet31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153</v>
      </c>
    </row>
    <row r="3" spans="1:23" x14ac:dyDescent="0.3">
      <c r="A3" s="13" t="s">
        <v>109</v>
      </c>
      <c r="B3" t="s">
        <v>127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48</v>
      </c>
      <c r="E4" s="2">
        <f>IFERROR(SUMPRODUCT(E8:E200,F8:F200)/D4,0)</f>
        <v>9.5416666666666661</v>
      </c>
      <c r="F4" s="2">
        <f>IFERROR(SUMPRODUCT(E8:E200,G8:G200)/D4,0)</f>
        <v>0</v>
      </c>
      <c r="G4" s="2">
        <f>IFERROR(SUMPRODUCT(E8:E200,H8:H200)/D4,0)</f>
        <v>3</v>
      </c>
      <c r="H4" s="2">
        <f>SUMPRODUCT(E8:E200,V8:V200)</f>
        <v>17.399999999999999</v>
      </c>
      <c r="I4" s="2">
        <f>SUMPRODUCT(E8:E200,V8:V200)</f>
        <v>17.399999999999999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268</v>
      </c>
      <c r="C8">
        <v>1</v>
      </c>
      <c r="D8">
        <v>22</v>
      </c>
      <c r="E8">
        <f>IFERROR(C8*D8,0)</f>
        <v>22</v>
      </c>
      <c r="F8">
        <v>5</v>
      </c>
      <c r="G8">
        <v>0</v>
      </c>
      <c r="H8">
        <v>1</v>
      </c>
      <c r="I8">
        <v>2</v>
      </c>
      <c r="J8">
        <v>0.6</v>
      </c>
      <c r="K8">
        <v>0.6</v>
      </c>
      <c r="L8" t="s">
        <v>203</v>
      </c>
      <c r="M8" s="58"/>
      <c r="N8" s="58" t="s">
        <v>416</v>
      </c>
      <c r="O8" s="58"/>
      <c r="P8" s="58"/>
      <c r="Q8" s="58" t="s">
        <v>416</v>
      </c>
      <c r="R8" s="58"/>
      <c r="S8" s="58" t="s">
        <v>416</v>
      </c>
      <c r="T8" s="58"/>
      <c r="U8" s="58"/>
      <c r="V8" s="59">
        <f>IF(UPPER(M8)="X",0.5,IF(UPPER(N8)="X",0.2,IF(UPPER(O8)="X",0.05,0)))</f>
        <v>0.2</v>
      </c>
    </row>
    <row r="9" spans="1:23" x14ac:dyDescent="0.3">
      <c r="A9">
        <v>2</v>
      </c>
      <c r="B9" t="s">
        <v>269</v>
      </c>
      <c r="C9">
        <v>1</v>
      </c>
      <c r="D9">
        <v>18</v>
      </c>
      <c r="E9">
        <f>IFERROR(C9*D9,0)</f>
        <v>18</v>
      </c>
      <c r="F9">
        <v>14</v>
      </c>
      <c r="G9">
        <v>0</v>
      </c>
      <c r="H9">
        <v>5</v>
      </c>
      <c r="I9">
        <v>2</v>
      </c>
      <c r="J9">
        <v>0.5</v>
      </c>
      <c r="K9">
        <v>0.5</v>
      </c>
      <c r="L9" t="s">
        <v>203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270</v>
      </c>
    </row>
    <row r="10" spans="1:23" x14ac:dyDescent="0.3">
      <c r="A10">
        <v>3</v>
      </c>
      <c r="B10" t="s">
        <v>271</v>
      </c>
      <c r="C10">
        <v>1</v>
      </c>
      <c r="D10">
        <v>8</v>
      </c>
      <c r="E10">
        <f>IFERROR(C10*D10,0)</f>
        <v>8</v>
      </c>
      <c r="F10">
        <v>12</v>
      </c>
      <c r="G10">
        <v>0</v>
      </c>
      <c r="H10">
        <v>4</v>
      </c>
      <c r="I10">
        <v>18</v>
      </c>
      <c r="J10">
        <v>0.1</v>
      </c>
      <c r="K10">
        <v>0.1</v>
      </c>
      <c r="L10" t="s">
        <v>203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1BF1D-319B-4C17-87AE-AF6DA78ACDA3}">
  <sheetPr codeName="Sheet32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154</v>
      </c>
    </row>
    <row r="3" spans="1:23" x14ac:dyDescent="0.3">
      <c r="A3" s="13" t="s">
        <v>109</v>
      </c>
      <c r="B3" t="s">
        <v>110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58</v>
      </c>
      <c r="E4" s="2">
        <f>IFERROR(SUMPRODUCT(E8:E200,F8:F200)/D4,0)</f>
        <v>25</v>
      </c>
      <c r="F4" s="2">
        <f>IFERROR(SUMPRODUCT(E8:E200,G8:G200)/D4,0)</f>
        <v>0</v>
      </c>
      <c r="G4" s="2">
        <f>IFERROR(SUMPRODUCT(E8:E200,H8:H200)/D4,0)</f>
        <v>2.5</v>
      </c>
      <c r="H4" s="2">
        <f>SUMPRODUCT(E8:E200,V8:V200)</f>
        <v>29</v>
      </c>
      <c r="I4" s="2">
        <f>SUMPRODUCT(E8:E200,V8:V200)</f>
        <v>29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272</v>
      </c>
      <c r="C8">
        <v>1</v>
      </c>
      <c r="D8">
        <v>18</v>
      </c>
      <c r="E8">
        <f>IFERROR(C8*D8,0)</f>
        <v>18</v>
      </c>
      <c r="F8">
        <v>27</v>
      </c>
      <c r="G8">
        <v>0</v>
      </c>
      <c r="H8">
        <v>2.5</v>
      </c>
      <c r="I8">
        <v>8</v>
      </c>
      <c r="J8">
        <v>0.3</v>
      </c>
      <c r="K8">
        <v>0.3</v>
      </c>
      <c r="L8" t="s">
        <v>110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273</v>
      </c>
    </row>
    <row r="9" spans="1:23" x14ac:dyDescent="0.3">
      <c r="A9">
        <v>2</v>
      </c>
      <c r="B9" t="s">
        <v>274</v>
      </c>
      <c r="C9">
        <v>1</v>
      </c>
      <c r="D9">
        <v>12</v>
      </c>
      <c r="E9">
        <f>IFERROR(C9*D9,0)</f>
        <v>12</v>
      </c>
      <c r="F9">
        <v>22</v>
      </c>
      <c r="G9">
        <v>0</v>
      </c>
      <c r="H9">
        <v>2.5</v>
      </c>
      <c r="I9">
        <v>0.8</v>
      </c>
      <c r="J9">
        <v>0.6</v>
      </c>
      <c r="K9">
        <v>0.5</v>
      </c>
      <c r="L9" t="s">
        <v>110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275</v>
      </c>
      <c r="C10">
        <v>1</v>
      </c>
      <c r="D10">
        <v>28</v>
      </c>
      <c r="E10">
        <f>IFERROR(C10*D10,0)</f>
        <v>28</v>
      </c>
      <c r="F10">
        <v>25</v>
      </c>
      <c r="G10">
        <v>0</v>
      </c>
      <c r="H10">
        <v>2.5</v>
      </c>
      <c r="I10">
        <v>1.5</v>
      </c>
      <c r="J10">
        <v>1</v>
      </c>
      <c r="K10">
        <v>0.8</v>
      </c>
      <c r="L10" t="s">
        <v>110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F9690-5B58-4080-B851-30CE2C95E2F7}">
  <sheetPr codeName="Sheet33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155</v>
      </c>
    </row>
    <row r="3" spans="1:23" x14ac:dyDescent="0.3">
      <c r="A3" s="13" t="s">
        <v>109</v>
      </c>
      <c r="B3" t="s">
        <v>126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46</v>
      </c>
      <c r="E4" s="2">
        <f>IFERROR(SUMPRODUCT(E8:E200,F8:F200)/D4,0)</f>
        <v>22.086956521739129</v>
      </c>
      <c r="F4" s="2">
        <f>IFERROR(SUMPRODUCT(E8:E200,G8:G200)/D4,0)</f>
        <v>0</v>
      </c>
      <c r="G4" s="2">
        <f>IFERROR(SUMPRODUCT(E8:E200,H8:H200)/D4,0)</f>
        <v>1.9565217391304348</v>
      </c>
      <c r="H4" s="2">
        <f>SUMPRODUCT(E8:E200,V8:V200)</f>
        <v>23</v>
      </c>
      <c r="I4" s="2">
        <f>SUMPRODUCT(E8:E200,V8:V200)</f>
        <v>23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276</v>
      </c>
      <c r="C8">
        <v>1</v>
      </c>
      <c r="D8">
        <v>18</v>
      </c>
      <c r="E8">
        <f>IFERROR(C8*D8,0)</f>
        <v>18</v>
      </c>
      <c r="F8">
        <v>21</v>
      </c>
      <c r="G8">
        <v>0</v>
      </c>
      <c r="H8">
        <v>2.5</v>
      </c>
      <c r="I8">
        <v>1.5</v>
      </c>
      <c r="J8">
        <v>1</v>
      </c>
      <c r="K8">
        <v>1</v>
      </c>
      <c r="L8" t="s">
        <v>126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277</v>
      </c>
    </row>
    <row r="9" spans="1:23" x14ac:dyDescent="0.3">
      <c r="A9">
        <v>2</v>
      </c>
      <c r="B9" t="s">
        <v>278</v>
      </c>
      <c r="C9">
        <v>1</v>
      </c>
      <c r="D9">
        <v>22</v>
      </c>
      <c r="E9">
        <f>IFERROR(C9*D9,0)</f>
        <v>22</v>
      </c>
      <c r="F9">
        <v>23</v>
      </c>
      <c r="G9">
        <v>0</v>
      </c>
      <c r="H9">
        <v>1.5</v>
      </c>
      <c r="I9">
        <v>2</v>
      </c>
      <c r="J9">
        <v>1.2</v>
      </c>
      <c r="K9">
        <v>1</v>
      </c>
      <c r="L9" t="s">
        <v>126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  <c r="W9" t="s">
        <v>279</v>
      </c>
    </row>
    <row r="10" spans="1:23" x14ac:dyDescent="0.3">
      <c r="A10">
        <v>3</v>
      </c>
      <c r="B10" t="s">
        <v>280</v>
      </c>
      <c r="C10">
        <v>1</v>
      </c>
      <c r="D10">
        <v>6</v>
      </c>
      <c r="E10">
        <f>IFERROR(C10*D10,0)</f>
        <v>6</v>
      </c>
      <c r="F10">
        <v>22</v>
      </c>
      <c r="G10">
        <v>0</v>
      </c>
      <c r="H10">
        <v>2</v>
      </c>
      <c r="I10">
        <v>5</v>
      </c>
      <c r="J10">
        <v>0.1</v>
      </c>
      <c r="K10">
        <v>0.1</v>
      </c>
      <c r="L10" t="s">
        <v>126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3AD7-00D8-4A06-BE70-743D7BA586DA}">
  <sheetPr codeName="Sheet34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156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75</v>
      </c>
      <c r="E4" s="2">
        <f>IFERROR(SUMPRODUCT(E8:E200,F8:F200)/D4,0)</f>
        <v>27.84</v>
      </c>
      <c r="F4" s="2">
        <f>IFERROR(SUMPRODUCT(E8:E200,G8:G200)/D4,0)</f>
        <v>1.6</v>
      </c>
      <c r="G4" s="2">
        <f>IFERROR(SUMPRODUCT(E8:E200,H8:H200)/D4,0)</f>
        <v>3.2933333333333334</v>
      </c>
      <c r="H4" s="2">
        <f>SUMPRODUCT(E8:E200,V8:V200)</f>
        <v>37.5</v>
      </c>
      <c r="I4" s="2">
        <f>SUMPRODUCT(E8:E200,V8:V200)</f>
        <v>37.5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353</v>
      </c>
      <c r="C8">
        <v>2</v>
      </c>
      <c r="D8">
        <v>12</v>
      </c>
      <c r="E8">
        <f>IFERROR(C8*D8,0)</f>
        <v>24</v>
      </c>
      <c r="F8">
        <v>28</v>
      </c>
      <c r="G8">
        <v>3</v>
      </c>
      <c r="H8">
        <v>3.5</v>
      </c>
      <c r="I8">
        <v>0.6</v>
      </c>
      <c r="J8">
        <v>0.5</v>
      </c>
      <c r="K8">
        <v>0.3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</row>
    <row r="9" spans="1:23" x14ac:dyDescent="0.3">
      <c r="A9">
        <v>2</v>
      </c>
      <c r="B9" t="s">
        <v>354</v>
      </c>
      <c r="C9">
        <v>1</v>
      </c>
      <c r="D9">
        <v>12</v>
      </c>
      <c r="E9">
        <f>IFERROR(C9*D9,0)</f>
        <v>12</v>
      </c>
      <c r="F9">
        <v>27</v>
      </c>
      <c r="G9">
        <v>0</v>
      </c>
      <c r="H9">
        <v>3.5</v>
      </c>
      <c r="I9">
        <v>0.6</v>
      </c>
      <c r="J9">
        <v>0.5</v>
      </c>
      <c r="K9">
        <v>0.3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355</v>
      </c>
      <c r="C10">
        <v>1</v>
      </c>
      <c r="D10">
        <v>8</v>
      </c>
      <c r="E10">
        <f>IFERROR(C10*D10,0)</f>
        <v>8</v>
      </c>
      <c r="F10">
        <v>26</v>
      </c>
      <c r="G10">
        <v>0</v>
      </c>
      <c r="H10">
        <v>3.5</v>
      </c>
      <c r="I10">
        <v>0.5</v>
      </c>
      <c r="J10">
        <v>0.4</v>
      </c>
      <c r="K10">
        <v>0.3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A11">
        <v>4</v>
      </c>
      <c r="B11" t="s">
        <v>356</v>
      </c>
      <c r="C11">
        <v>2</v>
      </c>
      <c r="D11">
        <v>8</v>
      </c>
      <c r="E11">
        <f>IFERROR(C11*D11,0)</f>
        <v>16</v>
      </c>
      <c r="F11">
        <v>29</v>
      </c>
      <c r="G11">
        <v>3</v>
      </c>
      <c r="H11">
        <v>3</v>
      </c>
      <c r="I11">
        <v>0.5</v>
      </c>
      <c r="J11">
        <v>0.4</v>
      </c>
      <c r="K11">
        <v>0.3</v>
      </c>
      <c r="L11" t="s">
        <v>142</v>
      </c>
      <c r="M11" s="58" t="s">
        <v>416</v>
      </c>
      <c r="N11" s="58"/>
      <c r="O11" s="58"/>
      <c r="P11" s="58"/>
      <c r="Q11" s="58" t="s">
        <v>416</v>
      </c>
      <c r="R11" s="58" t="s">
        <v>416</v>
      </c>
      <c r="S11" s="58"/>
      <c r="T11" s="58"/>
      <c r="U11" s="58"/>
      <c r="V11" s="59">
        <f>IF(UPPER(M11)="X",0.5,IF(UPPER(N11)="X",0.2,IF(UPPER(O11)="X",0.05,0)))</f>
        <v>0.5</v>
      </c>
      <c r="W11" t="s">
        <v>357</v>
      </c>
    </row>
    <row r="12" spans="1:23" x14ac:dyDescent="0.3">
      <c r="A12">
        <v>5</v>
      </c>
      <c r="B12" t="s">
        <v>358</v>
      </c>
      <c r="C12">
        <v>1</v>
      </c>
      <c r="D12">
        <v>15</v>
      </c>
      <c r="E12">
        <f>IFERROR(C12*D12,0)</f>
        <v>15</v>
      </c>
      <c r="F12">
        <v>28</v>
      </c>
      <c r="G12">
        <v>0</v>
      </c>
      <c r="H12">
        <v>3</v>
      </c>
      <c r="I12">
        <v>8</v>
      </c>
      <c r="J12">
        <v>0.2</v>
      </c>
      <c r="K12">
        <v>0.2</v>
      </c>
      <c r="L12" t="s">
        <v>142</v>
      </c>
      <c r="M12" s="58" t="s">
        <v>416</v>
      </c>
      <c r="N12" s="58"/>
      <c r="O12" s="58"/>
      <c r="P12" s="58"/>
      <c r="Q12" s="58" t="s">
        <v>416</v>
      </c>
      <c r="R12" s="58" t="s">
        <v>416</v>
      </c>
      <c r="S12" s="58"/>
      <c r="T12" s="58"/>
      <c r="U12" s="58"/>
      <c r="V12" s="59">
        <f>IF(UPPER(M12)="X",0.5,IF(UPPER(N12)="X",0.2,IF(UPPER(O12)="X",0.05,0)))</f>
        <v>0.5</v>
      </c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704B5-2BF6-4576-97BF-56B8669C991F}">
  <sheetPr codeName="Sheet35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157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62</v>
      </c>
      <c r="E4" s="2">
        <f>IFERROR(SUMPRODUCT(E8:E200,F8:F200)/D4,0)</f>
        <v>20</v>
      </c>
      <c r="F4" s="2">
        <f>IFERROR(SUMPRODUCT(E8:E200,G8:G200)/D4,0)</f>
        <v>0</v>
      </c>
      <c r="G4" s="2">
        <f>IFERROR(SUMPRODUCT(E8:E200,H8:H200)/D4,0)</f>
        <v>3.5806451612903225</v>
      </c>
      <c r="H4" s="2">
        <f>SUMPRODUCT(E8:E200,V8:V200)</f>
        <v>31</v>
      </c>
      <c r="I4" s="2">
        <f>SUMPRODUCT(E8:E200,V8:V200)</f>
        <v>31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359</v>
      </c>
      <c r="C8">
        <v>1</v>
      </c>
      <c r="D8">
        <v>22</v>
      </c>
      <c r="E8">
        <f>IFERROR(C8*D8,0)</f>
        <v>22</v>
      </c>
      <c r="F8">
        <v>20</v>
      </c>
      <c r="G8">
        <v>3</v>
      </c>
      <c r="H8">
        <v>3</v>
      </c>
      <c r="I8">
        <v>1</v>
      </c>
      <c r="J8">
        <v>1.8</v>
      </c>
      <c r="K8">
        <v>1.8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</row>
    <row r="9" spans="1:23" x14ac:dyDescent="0.3">
      <c r="A9">
        <v>2</v>
      </c>
      <c r="B9" t="s">
        <v>360</v>
      </c>
      <c r="C9">
        <v>1</v>
      </c>
      <c r="D9">
        <v>22</v>
      </c>
      <c r="E9">
        <f>IFERROR(C9*D9,0)</f>
        <v>22</v>
      </c>
      <c r="F9">
        <v>20</v>
      </c>
      <c r="G9">
        <v>-3</v>
      </c>
      <c r="H9">
        <v>3</v>
      </c>
      <c r="I9">
        <v>1</v>
      </c>
      <c r="J9">
        <v>1.8</v>
      </c>
      <c r="K9">
        <v>1.8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361</v>
      </c>
      <c r="C10">
        <v>1</v>
      </c>
      <c r="D10">
        <v>18</v>
      </c>
      <c r="E10">
        <f>IFERROR(C10*D10,0)</f>
        <v>18</v>
      </c>
      <c r="F10">
        <v>20</v>
      </c>
      <c r="G10">
        <v>0</v>
      </c>
      <c r="H10">
        <v>5</v>
      </c>
      <c r="I10">
        <v>1</v>
      </c>
      <c r="J10">
        <v>1.5</v>
      </c>
      <c r="K10">
        <v>1.5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362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46D3A-AAD7-4CC8-89AD-CE782C06700C}">
  <sheetPr codeName="Sheet36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158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58</v>
      </c>
      <c r="E4" s="2">
        <f>IFERROR(SUMPRODUCT(E8:E200,F8:F200)/D4,0)</f>
        <v>31.931034482758619</v>
      </c>
      <c r="F4" s="2">
        <f>IFERROR(SUMPRODUCT(E8:E200,G8:G200)/D4,0)</f>
        <v>0</v>
      </c>
      <c r="G4" s="2">
        <f>IFERROR(SUMPRODUCT(E8:E200,H8:H200)/D4,0)</f>
        <v>3</v>
      </c>
      <c r="H4" s="2">
        <f>SUMPRODUCT(E8:E200,V8:V200)</f>
        <v>29</v>
      </c>
      <c r="I4" s="2">
        <f>SUMPRODUCT(E8:E200,V8:V200)</f>
        <v>29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363</v>
      </c>
      <c r="C8">
        <v>1</v>
      </c>
      <c r="D8">
        <v>18</v>
      </c>
      <c r="E8">
        <f>IFERROR(C8*D8,0)</f>
        <v>18</v>
      </c>
      <c r="F8">
        <v>32.5</v>
      </c>
      <c r="G8">
        <v>3</v>
      </c>
      <c r="H8">
        <v>3</v>
      </c>
      <c r="I8">
        <v>1</v>
      </c>
      <c r="J8">
        <v>1.8</v>
      </c>
      <c r="K8">
        <v>1.8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</row>
    <row r="9" spans="1:23" x14ac:dyDescent="0.3">
      <c r="A9">
        <v>2</v>
      </c>
      <c r="B9" t="s">
        <v>364</v>
      </c>
      <c r="C9">
        <v>1</v>
      </c>
      <c r="D9">
        <v>18</v>
      </c>
      <c r="E9">
        <f>IFERROR(C9*D9,0)</f>
        <v>18</v>
      </c>
      <c r="F9">
        <v>32.5</v>
      </c>
      <c r="G9">
        <v>-3</v>
      </c>
      <c r="H9">
        <v>3</v>
      </c>
      <c r="I9">
        <v>1</v>
      </c>
      <c r="J9">
        <v>1.8</v>
      </c>
      <c r="K9">
        <v>1.8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365</v>
      </c>
      <c r="C10">
        <v>1</v>
      </c>
      <c r="D10">
        <v>22</v>
      </c>
      <c r="E10">
        <f>IFERROR(C10*D10,0)</f>
        <v>22</v>
      </c>
      <c r="F10">
        <v>31</v>
      </c>
      <c r="G10">
        <v>0</v>
      </c>
      <c r="H10">
        <v>3</v>
      </c>
      <c r="I10">
        <v>4</v>
      </c>
      <c r="J10">
        <v>4</v>
      </c>
      <c r="K10">
        <v>0.1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D6A94-9254-440A-AB6D-3F6277CEE191}">
  <sheetPr codeName="Sheet37"/>
  <dimension ref="A1:W200"/>
  <sheetViews>
    <sheetView workbookViewId="0">
      <selection activeCell="A57" sqref="A57"/>
    </sheetView>
  </sheetViews>
  <sheetFormatPr defaultRowHeight="14.4" x14ac:dyDescent="0.3"/>
  <cols>
    <col min="13" max="21" width="7" customWidth="1"/>
    <col min="22" max="22" width="9.21875" customWidth="1"/>
    <col min="23" max="23" width="40.77734375" customWidth="1"/>
  </cols>
  <sheetData>
    <row r="1" spans="1:23" ht="18" x14ac:dyDescent="0.35">
      <c r="A1" s="5" t="s">
        <v>159</v>
      </c>
    </row>
    <row r="3" spans="1:23" x14ac:dyDescent="0.3">
      <c r="A3" s="13" t="s">
        <v>109</v>
      </c>
      <c r="B3" t="s">
        <v>142</v>
      </c>
      <c r="C3" s="41" t="s">
        <v>108</v>
      </c>
      <c r="D3" s="3" t="s">
        <v>73</v>
      </c>
      <c r="E3" s="3" t="s">
        <v>92</v>
      </c>
      <c r="F3" s="3" t="s">
        <v>93</v>
      </c>
      <c r="G3" s="3" t="s">
        <v>94</v>
      </c>
      <c r="H3" s="3" t="s">
        <v>84</v>
      </c>
      <c r="I3" s="3" t="s">
        <v>85</v>
      </c>
    </row>
    <row r="4" spans="1:23" x14ac:dyDescent="0.3">
      <c r="D4" s="2">
        <f>SUM(E8:E200)</f>
        <v>26</v>
      </c>
      <c r="E4" s="2">
        <f>IFERROR(SUMPRODUCT(E8:E200,F8:F200)/D4,0)</f>
        <v>27.923076923076923</v>
      </c>
      <c r="F4" s="2">
        <f>IFERROR(SUMPRODUCT(E8:E200,G8:G200)/D4,0)</f>
        <v>0.92307692307692313</v>
      </c>
      <c r="G4" s="2">
        <f>IFERROR(SUMPRODUCT(E8:E200,H8:H200)/D4,0)</f>
        <v>3.3461538461538463</v>
      </c>
      <c r="H4" s="2">
        <f>SUMPRODUCT(E8:E200,V8:V200)</f>
        <v>13</v>
      </c>
      <c r="I4" s="2">
        <f>SUMPRODUCT(E8:E200,V8:V200)</f>
        <v>13</v>
      </c>
    </row>
    <row r="6" spans="1:23" x14ac:dyDescent="0.3">
      <c r="M6" s="55" t="s">
        <v>116</v>
      </c>
      <c r="N6" s="55"/>
      <c r="O6" s="55"/>
      <c r="P6" s="55" t="s">
        <v>117</v>
      </c>
      <c r="Q6" s="55"/>
      <c r="R6" s="55" t="s">
        <v>118</v>
      </c>
      <c r="S6" s="55"/>
      <c r="T6" s="55"/>
      <c r="U6" s="55"/>
    </row>
    <row r="7" spans="1:23" x14ac:dyDescent="0.3">
      <c r="A7" s="39" t="s">
        <v>111</v>
      </c>
      <c r="B7" s="39" t="s">
        <v>112</v>
      </c>
      <c r="C7" s="39" t="s">
        <v>2</v>
      </c>
      <c r="D7" s="39" t="s">
        <v>72</v>
      </c>
      <c r="E7" s="39" t="s">
        <v>73</v>
      </c>
      <c r="F7" s="39" t="s">
        <v>92</v>
      </c>
      <c r="G7" s="39" t="s">
        <v>93</v>
      </c>
      <c r="H7" s="39" t="s">
        <v>94</v>
      </c>
      <c r="I7" s="39" t="s">
        <v>113</v>
      </c>
      <c r="J7" s="39" t="s">
        <v>114</v>
      </c>
      <c r="K7" s="39" t="s">
        <v>115</v>
      </c>
      <c r="L7" s="39" t="s">
        <v>95</v>
      </c>
      <c r="M7" s="56" t="s">
        <v>165</v>
      </c>
      <c r="N7" s="56" t="s">
        <v>409</v>
      </c>
      <c r="O7" s="56" t="s">
        <v>209</v>
      </c>
      <c r="P7" s="56" t="s">
        <v>410</v>
      </c>
      <c r="Q7" s="56" t="s">
        <v>166</v>
      </c>
      <c r="R7" s="56" t="s">
        <v>411</v>
      </c>
      <c r="S7" s="56" t="s">
        <v>412</v>
      </c>
      <c r="T7" s="56" t="s">
        <v>413</v>
      </c>
      <c r="U7" s="56" t="s">
        <v>414</v>
      </c>
      <c r="V7" s="56" t="s">
        <v>415</v>
      </c>
      <c r="W7" s="57" t="s">
        <v>3</v>
      </c>
    </row>
    <row r="8" spans="1:23" x14ac:dyDescent="0.3">
      <c r="A8">
        <v>1</v>
      </c>
      <c r="B8" t="s">
        <v>366</v>
      </c>
      <c r="C8">
        <v>1</v>
      </c>
      <c r="D8">
        <v>14</v>
      </c>
      <c r="E8">
        <f>IFERROR(C8*D8,0)</f>
        <v>14</v>
      </c>
      <c r="F8">
        <v>27</v>
      </c>
      <c r="G8">
        <v>0</v>
      </c>
      <c r="H8">
        <v>3.5</v>
      </c>
      <c r="I8">
        <v>0.7</v>
      </c>
      <c r="J8">
        <v>0.5</v>
      </c>
      <c r="K8">
        <v>0.5</v>
      </c>
      <c r="L8" t="s">
        <v>142</v>
      </c>
      <c r="M8" s="58" t="s">
        <v>416</v>
      </c>
      <c r="N8" s="58"/>
      <c r="O8" s="58"/>
      <c r="P8" s="58"/>
      <c r="Q8" s="58" t="s">
        <v>416</v>
      </c>
      <c r="R8" s="58" t="s">
        <v>416</v>
      </c>
      <c r="S8" s="58"/>
      <c r="T8" s="58"/>
      <c r="U8" s="58"/>
      <c r="V8" s="59">
        <f>IF(UPPER(M8)="X",0.5,IF(UPPER(N8)="X",0.2,IF(UPPER(O8)="X",0.05,0)))</f>
        <v>0.5</v>
      </c>
      <c r="W8" t="s">
        <v>367</v>
      </c>
    </row>
    <row r="9" spans="1:23" x14ac:dyDescent="0.3">
      <c r="A9">
        <v>2</v>
      </c>
      <c r="B9" t="s">
        <v>368</v>
      </c>
      <c r="C9">
        <v>1</v>
      </c>
      <c r="D9">
        <v>4</v>
      </c>
      <c r="E9">
        <f>IFERROR(C9*D9,0)</f>
        <v>4</v>
      </c>
      <c r="F9">
        <v>27</v>
      </c>
      <c r="G9">
        <v>0</v>
      </c>
      <c r="H9">
        <v>3.5</v>
      </c>
      <c r="I9">
        <v>0.4</v>
      </c>
      <c r="J9">
        <v>0.3</v>
      </c>
      <c r="K9">
        <v>0.2</v>
      </c>
      <c r="L9" t="s">
        <v>142</v>
      </c>
      <c r="M9" s="58" t="s">
        <v>416</v>
      </c>
      <c r="N9" s="58"/>
      <c r="O9" s="58"/>
      <c r="P9" s="58"/>
      <c r="Q9" s="58" t="s">
        <v>416</v>
      </c>
      <c r="R9" s="58" t="s">
        <v>416</v>
      </c>
      <c r="S9" s="58"/>
      <c r="T9" s="58"/>
      <c r="U9" s="58"/>
      <c r="V9" s="59">
        <f>IF(UPPER(M9)="X",0.5,IF(UPPER(N9)="X",0.2,IF(UPPER(O9)="X",0.05,0)))</f>
        <v>0.5</v>
      </c>
    </row>
    <row r="10" spans="1:23" x14ac:dyDescent="0.3">
      <c r="A10">
        <v>3</v>
      </c>
      <c r="B10" t="s">
        <v>369</v>
      </c>
      <c r="C10">
        <v>2</v>
      </c>
      <c r="D10">
        <v>4</v>
      </c>
      <c r="E10">
        <f>IFERROR(C10*D10,0)</f>
        <v>8</v>
      </c>
      <c r="F10">
        <v>30</v>
      </c>
      <c r="G10">
        <v>3</v>
      </c>
      <c r="H10">
        <v>3</v>
      </c>
      <c r="I10">
        <v>0.4</v>
      </c>
      <c r="J10">
        <v>0.3</v>
      </c>
      <c r="K10">
        <v>0.2</v>
      </c>
      <c r="L10" t="s">
        <v>142</v>
      </c>
      <c r="M10" s="58" t="s">
        <v>416</v>
      </c>
      <c r="N10" s="58"/>
      <c r="O10" s="58"/>
      <c r="P10" s="58"/>
      <c r="Q10" s="58" t="s">
        <v>416</v>
      </c>
      <c r="R10" s="58" t="s">
        <v>416</v>
      </c>
      <c r="S10" s="58"/>
      <c r="T10" s="58"/>
      <c r="U10" s="58"/>
      <c r="V10" s="59">
        <f>IF(UPPER(M10)="X",0.5,IF(UPPER(N10)="X",0.2,IF(UPPER(O10)="X",0.05,0)))</f>
        <v>0.5</v>
      </c>
      <c r="W10" t="s">
        <v>357</v>
      </c>
    </row>
    <row r="11" spans="1:23" x14ac:dyDescent="0.3">
      <c r="M11" s="58"/>
      <c r="N11" s="58"/>
      <c r="O11" s="58"/>
      <c r="P11" s="58"/>
      <c r="Q11" s="58"/>
      <c r="R11" s="58"/>
      <c r="S11" s="58"/>
      <c r="T11" s="58"/>
      <c r="U11" s="58"/>
      <c r="V11" s="59"/>
    </row>
    <row r="12" spans="1:23" x14ac:dyDescent="0.3">
      <c r="M12" s="58"/>
      <c r="N12" s="58"/>
      <c r="O12" s="58"/>
      <c r="P12" s="58"/>
      <c r="Q12" s="58"/>
      <c r="R12" s="58"/>
      <c r="S12" s="58"/>
      <c r="T12" s="58"/>
      <c r="U12" s="58"/>
      <c r="V12" s="59"/>
    </row>
    <row r="13" spans="1:23" x14ac:dyDescent="0.3">
      <c r="M13" s="58"/>
      <c r="N13" s="58"/>
      <c r="O13" s="58"/>
      <c r="P13" s="58"/>
      <c r="Q13" s="58"/>
      <c r="R13" s="58"/>
      <c r="S13" s="58"/>
      <c r="T13" s="58"/>
      <c r="U13" s="58"/>
      <c r="V13" s="59"/>
    </row>
    <row r="14" spans="1:23" x14ac:dyDescent="0.3">
      <c r="M14" s="58"/>
      <c r="N14" s="58"/>
      <c r="O14" s="58"/>
      <c r="P14" s="58"/>
      <c r="Q14" s="58"/>
      <c r="R14" s="58"/>
      <c r="S14" s="58"/>
      <c r="T14" s="58"/>
      <c r="U14" s="58"/>
      <c r="V14" s="59"/>
    </row>
    <row r="15" spans="1:23" x14ac:dyDescent="0.3">
      <c r="M15" s="58"/>
      <c r="N15" s="58"/>
      <c r="O15" s="58"/>
      <c r="P15" s="58"/>
      <c r="Q15" s="58"/>
      <c r="R15" s="58"/>
      <c r="S15" s="58"/>
      <c r="T15" s="58"/>
      <c r="U15" s="58"/>
      <c r="V15" s="59"/>
    </row>
    <row r="16" spans="1:23" x14ac:dyDescent="0.3">
      <c r="M16" s="58"/>
      <c r="N16" s="58"/>
      <c r="O16" s="58"/>
      <c r="P16" s="58"/>
      <c r="Q16" s="58"/>
      <c r="R16" s="58"/>
      <c r="S16" s="58"/>
      <c r="T16" s="58"/>
      <c r="U16" s="58"/>
      <c r="V16" s="59"/>
    </row>
    <row r="17" spans="13:22" x14ac:dyDescent="0.3">
      <c r="M17" s="58"/>
      <c r="N17" s="58"/>
      <c r="O17" s="58"/>
      <c r="P17" s="58"/>
      <c r="Q17" s="58"/>
      <c r="R17" s="58"/>
      <c r="S17" s="58"/>
      <c r="T17" s="58"/>
      <c r="U17" s="58"/>
      <c r="V17" s="59"/>
    </row>
    <row r="18" spans="13:22" x14ac:dyDescent="0.3">
      <c r="M18" s="58"/>
      <c r="N18" s="58"/>
      <c r="O18" s="58"/>
      <c r="P18" s="58"/>
      <c r="Q18" s="58"/>
      <c r="R18" s="58"/>
      <c r="S18" s="58"/>
      <c r="T18" s="58"/>
      <c r="U18" s="58"/>
      <c r="V18" s="59"/>
    </row>
    <row r="19" spans="13:22" x14ac:dyDescent="0.3">
      <c r="M19" s="58"/>
      <c r="N19" s="58"/>
      <c r="O19" s="58"/>
      <c r="P19" s="58"/>
      <c r="Q19" s="58"/>
      <c r="R19" s="58"/>
      <c r="S19" s="58"/>
      <c r="T19" s="58"/>
      <c r="U19" s="58"/>
      <c r="V19" s="59"/>
    </row>
    <row r="20" spans="13:22" x14ac:dyDescent="0.3">
      <c r="M20" s="58"/>
      <c r="N20" s="58"/>
      <c r="O20" s="58"/>
      <c r="P20" s="58"/>
      <c r="Q20" s="58"/>
      <c r="R20" s="58"/>
      <c r="S20" s="58"/>
      <c r="T20" s="58"/>
      <c r="U20" s="58"/>
      <c r="V20" s="59"/>
    </row>
    <row r="21" spans="13:22" x14ac:dyDescent="0.3">
      <c r="M21" s="58"/>
      <c r="N21" s="58"/>
      <c r="O21" s="58"/>
      <c r="P21" s="58"/>
      <c r="Q21" s="58"/>
      <c r="R21" s="58"/>
      <c r="S21" s="58"/>
      <c r="T21" s="58"/>
      <c r="U21" s="58"/>
      <c r="V21" s="59"/>
    </row>
    <row r="22" spans="13:22" x14ac:dyDescent="0.3">
      <c r="M22" s="58"/>
      <c r="N22" s="58"/>
      <c r="O22" s="58"/>
      <c r="P22" s="58"/>
      <c r="Q22" s="58"/>
      <c r="R22" s="58"/>
      <c r="S22" s="58"/>
      <c r="T22" s="58"/>
      <c r="U22" s="58"/>
      <c r="V22" s="59"/>
    </row>
    <row r="23" spans="13:22" x14ac:dyDescent="0.3">
      <c r="M23" s="58"/>
      <c r="N23" s="58"/>
      <c r="O23" s="58"/>
      <c r="P23" s="58"/>
      <c r="Q23" s="58"/>
      <c r="R23" s="58"/>
      <c r="S23" s="58"/>
      <c r="T23" s="58"/>
      <c r="U23" s="58"/>
      <c r="V23" s="59"/>
    </row>
    <row r="24" spans="13:22" x14ac:dyDescent="0.3">
      <c r="M24" s="58"/>
      <c r="N24" s="58"/>
      <c r="O24" s="58"/>
      <c r="P24" s="58"/>
      <c r="Q24" s="58"/>
      <c r="R24" s="58"/>
      <c r="S24" s="58"/>
      <c r="T24" s="58"/>
      <c r="U24" s="58"/>
      <c r="V24" s="59"/>
    </row>
    <row r="25" spans="13:22" x14ac:dyDescent="0.3"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3:22" x14ac:dyDescent="0.3">
      <c r="M26" s="58"/>
      <c r="N26" s="58"/>
      <c r="O26" s="58"/>
      <c r="P26" s="58"/>
      <c r="Q26" s="58"/>
      <c r="R26" s="58"/>
      <c r="S26" s="58"/>
      <c r="T26" s="58"/>
      <c r="U26" s="58"/>
      <c r="V26" s="59"/>
    </row>
    <row r="27" spans="13:22" x14ac:dyDescent="0.3">
      <c r="M27" s="58"/>
      <c r="N27" s="58"/>
      <c r="O27" s="58"/>
      <c r="P27" s="58"/>
      <c r="Q27" s="58"/>
      <c r="R27" s="58"/>
      <c r="S27" s="58"/>
      <c r="T27" s="58"/>
      <c r="U27" s="58"/>
      <c r="V27" s="59"/>
    </row>
    <row r="28" spans="13:22" x14ac:dyDescent="0.3">
      <c r="M28" s="58"/>
      <c r="N28" s="58"/>
      <c r="O28" s="58"/>
      <c r="P28" s="58"/>
      <c r="Q28" s="58"/>
      <c r="R28" s="58"/>
      <c r="S28" s="58"/>
      <c r="T28" s="58"/>
      <c r="U28" s="58"/>
      <c r="V28" s="59"/>
    </row>
    <row r="29" spans="13:22" x14ac:dyDescent="0.3">
      <c r="M29" s="58"/>
      <c r="N29" s="58"/>
      <c r="O29" s="58"/>
      <c r="P29" s="58"/>
      <c r="Q29" s="58"/>
      <c r="R29" s="58"/>
      <c r="S29" s="58"/>
      <c r="T29" s="58"/>
      <c r="U29" s="58"/>
      <c r="V29" s="59"/>
    </row>
    <row r="30" spans="13:22" x14ac:dyDescent="0.3">
      <c r="M30" s="58"/>
      <c r="N30" s="58"/>
      <c r="O30" s="58"/>
      <c r="P30" s="58"/>
      <c r="Q30" s="58"/>
      <c r="R30" s="58"/>
      <c r="S30" s="58"/>
      <c r="T30" s="58"/>
      <c r="U30" s="58"/>
      <c r="V30" s="59"/>
    </row>
    <row r="31" spans="13:22" x14ac:dyDescent="0.3">
      <c r="M31" s="58"/>
      <c r="N31" s="58"/>
      <c r="O31" s="58"/>
      <c r="P31" s="58"/>
      <c r="Q31" s="58"/>
      <c r="R31" s="58"/>
      <c r="S31" s="58"/>
      <c r="T31" s="58"/>
      <c r="U31" s="58"/>
      <c r="V31" s="59"/>
    </row>
    <row r="32" spans="13:22" x14ac:dyDescent="0.3">
      <c r="M32" s="58"/>
      <c r="N32" s="58"/>
      <c r="O32" s="58"/>
      <c r="P32" s="58"/>
      <c r="Q32" s="58"/>
      <c r="R32" s="58"/>
      <c r="S32" s="58"/>
      <c r="T32" s="58"/>
      <c r="U32" s="58"/>
      <c r="V32" s="59"/>
    </row>
    <row r="33" spans="13:22" x14ac:dyDescent="0.3">
      <c r="M33" s="58"/>
      <c r="N33" s="58"/>
      <c r="O33" s="58"/>
      <c r="P33" s="58"/>
      <c r="Q33" s="58"/>
      <c r="R33" s="58"/>
      <c r="S33" s="58"/>
      <c r="T33" s="58"/>
      <c r="U33" s="58"/>
      <c r="V33" s="59"/>
    </row>
    <row r="34" spans="13:22" x14ac:dyDescent="0.3">
      <c r="M34" s="58"/>
      <c r="N34" s="58"/>
      <c r="O34" s="58"/>
      <c r="P34" s="58"/>
      <c r="Q34" s="58"/>
      <c r="R34" s="58"/>
      <c r="S34" s="58"/>
      <c r="T34" s="58"/>
      <c r="U34" s="58"/>
      <c r="V34" s="59"/>
    </row>
    <row r="35" spans="13:22" x14ac:dyDescent="0.3">
      <c r="M35" s="58"/>
      <c r="N35" s="58"/>
      <c r="O35" s="58"/>
      <c r="P35" s="58"/>
      <c r="Q35" s="58"/>
      <c r="R35" s="58"/>
      <c r="S35" s="58"/>
      <c r="T35" s="58"/>
      <c r="U35" s="58"/>
      <c r="V35" s="59"/>
    </row>
    <row r="36" spans="13:22" x14ac:dyDescent="0.3">
      <c r="M36" s="58"/>
      <c r="N36" s="58"/>
      <c r="O36" s="58"/>
      <c r="P36" s="58"/>
      <c r="Q36" s="58"/>
      <c r="R36" s="58"/>
      <c r="S36" s="58"/>
      <c r="T36" s="58"/>
      <c r="U36" s="58"/>
      <c r="V36" s="59"/>
    </row>
    <row r="37" spans="13:22" x14ac:dyDescent="0.3">
      <c r="M37" s="58"/>
      <c r="N37" s="58"/>
      <c r="O37" s="58"/>
      <c r="P37" s="58"/>
      <c r="Q37" s="58"/>
      <c r="R37" s="58"/>
      <c r="S37" s="58"/>
      <c r="T37" s="58"/>
      <c r="U37" s="58"/>
      <c r="V37" s="59"/>
    </row>
    <row r="38" spans="13:22" x14ac:dyDescent="0.3">
      <c r="M38" s="58"/>
      <c r="N38" s="58"/>
      <c r="O38" s="58"/>
      <c r="P38" s="58"/>
      <c r="Q38" s="58"/>
      <c r="R38" s="58"/>
      <c r="S38" s="58"/>
      <c r="T38" s="58"/>
      <c r="U38" s="58"/>
      <c r="V38" s="59"/>
    </row>
    <row r="39" spans="13:22" x14ac:dyDescent="0.3"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3:22" x14ac:dyDescent="0.3">
      <c r="M40" s="58"/>
      <c r="N40" s="58"/>
      <c r="O40" s="58"/>
      <c r="P40" s="58"/>
      <c r="Q40" s="58"/>
      <c r="R40" s="58"/>
      <c r="S40" s="58"/>
      <c r="T40" s="58"/>
      <c r="U40" s="58"/>
      <c r="V40" s="59"/>
    </row>
    <row r="41" spans="13:22" x14ac:dyDescent="0.3">
      <c r="M41" s="58"/>
      <c r="N41" s="58"/>
      <c r="O41" s="58"/>
      <c r="P41" s="58"/>
      <c r="Q41" s="58"/>
      <c r="R41" s="58"/>
      <c r="S41" s="58"/>
      <c r="T41" s="58"/>
      <c r="U41" s="58"/>
      <c r="V41" s="59"/>
    </row>
    <row r="42" spans="13:22" x14ac:dyDescent="0.3">
      <c r="M42" s="58"/>
      <c r="N42" s="58"/>
      <c r="O42" s="58"/>
      <c r="P42" s="58"/>
      <c r="Q42" s="58"/>
      <c r="R42" s="58"/>
      <c r="S42" s="58"/>
      <c r="T42" s="58"/>
      <c r="U42" s="58"/>
      <c r="V42" s="59"/>
    </row>
    <row r="43" spans="13:22" x14ac:dyDescent="0.3">
      <c r="M43" s="58"/>
      <c r="N43" s="58"/>
      <c r="O43" s="58"/>
      <c r="P43" s="58"/>
      <c r="Q43" s="58"/>
      <c r="R43" s="58"/>
      <c r="S43" s="58"/>
      <c r="T43" s="58"/>
      <c r="U43" s="58"/>
      <c r="V43" s="59"/>
    </row>
    <row r="44" spans="13:22" x14ac:dyDescent="0.3">
      <c r="M44" s="58"/>
      <c r="N44" s="58"/>
      <c r="O44" s="58"/>
      <c r="P44" s="58"/>
      <c r="Q44" s="58"/>
      <c r="R44" s="58"/>
      <c r="S44" s="58"/>
      <c r="T44" s="58"/>
      <c r="U44" s="58"/>
      <c r="V44" s="59"/>
    </row>
    <row r="45" spans="13:22" x14ac:dyDescent="0.3">
      <c r="M45" s="58"/>
      <c r="N45" s="58"/>
      <c r="O45" s="58"/>
      <c r="P45" s="58"/>
      <c r="Q45" s="58"/>
      <c r="R45" s="58"/>
      <c r="S45" s="58"/>
      <c r="T45" s="58"/>
      <c r="U45" s="58"/>
      <c r="V45" s="59"/>
    </row>
    <row r="46" spans="13:22" x14ac:dyDescent="0.3">
      <c r="M46" s="58"/>
      <c r="N46" s="58"/>
      <c r="O46" s="58"/>
      <c r="P46" s="58"/>
      <c r="Q46" s="58"/>
      <c r="R46" s="58"/>
      <c r="S46" s="58"/>
      <c r="T46" s="58"/>
      <c r="U46" s="58"/>
      <c r="V46" s="59"/>
    </row>
    <row r="47" spans="13:22" x14ac:dyDescent="0.3">
      <c r="M47" s="58"/>
      <c r="N47" s="58"/>
      <c r="O47" s="58"/>
      <c r="P47" s="58"/>
      <c r="Q47" s="58"/>
      <c r="R47" s="58"/>
      <c r="S47" s="58"/>
      <c r="T47" s="58"/>
      <c r="U47" s="58"/>
      <c r="V47" s="59"/>
    </row>
    <row r="48" spans="13:22" x14ac:dyDescent="0.3">
      <c r="M48" s="58"/>
      <c r="N48" s="58"/>
      <c r="O48" s="58"/>
      <c r="P48" s="58"/>
      <c r="Q48" s="58"/>
      <c r="R48" s="58"/>
      <c r="S48" s="58"/>
      <c r="T48" s="58"/>
      <c r="U48" s="58"/>
      <c r="V48" s="59"/>
    </row>
    <row r="49" spans="13:22" x14ac:dyDescent="0.3">
      <c r="M49" s="58"/>
      <c r="N49" s="58"/>
      <c r="O49" s="58"/>
      <c r="P49" s="58"/>
      <c r="Q49" s="58"/>
      <c r="R49" s="58"/>
      <c r="S49" s="58"/>
      <c r="T49" s="58"/>
      <c r="U49" s="58"/>
      <c r="V49" s="59"/>
    </row>
    <row r="50" spans="13:22" x14ac:dyDescent="0.3">
      <c r="M50" s="58"/>
      <c r="N50" s="58"/>
      <c r="O50" s="58"/>
      <c r="P50" s="58"/>
      <c r="Q50" s="58"/>
      <c r="R50" s="58"/>
      <c r="S50" s="58"/>
      <c r="T50" s="58"/>
      <c r="U50" s="58"/>
      <c r="V50" s="59"/>
    </row>
    <row r="51" spans="13:22" x14ac:dyDescent="0.3">
      <c r="M51" s="58"/>
      <c r="N51" s="58"/>
      <c r="O51" s="58"/>
      <c r="P51" s="58"/>
      <c r="Q51" s="58"/>
      <c r="R51" s="58"/>
      <c r="S51" s="58"/>
      <c r="T51" s="58"/>
      <c r="U51" s="58"/>
      <c r="V51" s="59"/>
    </row>
    <row r="52" spans="13:22" x14ac:dyDescent="0.3">
      <c r="M52" s="58"/>
      <c r="N52" s="58"/>
      <c r="O52" s="58"/>
      <c r="P52" s="58"/>
      <c r="Q52" s="58"/>
      <c r="R52" s="58"/>
      <c r="S52" s="58"/>
      <c r="T52" s="58"/>
      <c r="U52" s="58"/>
      <c r="V52" s="59"/>
    </row>
    <row r="53" spans="13:22" x14ac:dyDescent="0.3">
      <c r="M53" s="58"/>
      <c r="N53" s="58"/>
      <c r="O53" s="58"/>
      <c r="P53" s="58"/>
      <c r="Q53" s="58"/>
      <c r="R53" s="58"/>
      <c r="S53" s="58"/>
      <c r="T53" s="58"/>
      <c r="U53" s="58"/>
      <c r="V53" s="59"/>
    </row>
    <row r="54" spans="13:22" x14ac:dyDescent="0.3">
      <c r="M54" s="58"/>
      <c r="N54" s="58"/>
      <c r="O54" s="58"/>
      <c r="P54" s="58"/>
      <c r="Q54" s="58"/>
      <c r="R54" s="58"/>
      <c r="S54" s="58"/>
      <c r="T54" s="58"/>
      <c r="U54" s="58"/>
      <c r="V54" s="59"/>
    </row>
    <row r="55" spans="13:22" x14ac:dyDescent="0.3">
      <c r="M55" s="58"/>
      <c r="N55" s="58"/>
      <c r="O55" s="58"/>
      <c r="P55" s="58"/>
      <c r="Q55" s="58"/>
      <c r="R55" s="58"/>
      <c r="S55" s="58"/>
      <c r="T55" s="58"/>
      <c r="U55" s="58"/>
      <c r="V55" s="59"/>
    </row>
    <row r="56" spans="13:22" x14ac:dyDescent="0.3">
      <c r="M56" s="58"/>
      <c r="N56" s="58"/>
      <c r="O56" s="58"/>
      <c r="P56" s="58"/>
      <c r="Q56" s="58"/>
      <c r="R56" s="58"/>
      <c r="S56" s="58"/>
      <c r="T56" s="58"/>
      <c r="U56" s="58"/>
      <c r="V56" s="59"/>
    </row>
    <row r="57" spans="13:22" x14ac:dyDescent="0.3">
      <c r="M57" s="58"/>
      <c r="N57" s="58"/>
      <c r="O57" s="58"/>
      <c r="P57" s="58"/>
      <c r="Q57" s="58"/>
      <c r="R57" s="58"/>
      <c r="S57" s="58"/>
      <c r="T57" s="58"/>
      <c r="U57" s="58"/>
      <c r="V57" s="59"/>
    </row>
    <row r="58" spans="13:22" x14ac:dyDescent="0.3">
      <c r="M58" s="58"/>
      <c r="N58" s="58"/>
      <c r="O58" s="58"/>
      <c r="P58" s="58"/>
      <c r="Q58" s="58"/>
      <c r="R58" s="58"/>
      <c r="S58" s="58"/>
      <c r="T58" s="58"/>
      <c r="U58" s="58"/>
      <c r="V58" s="59"/>
    </row>
    <row r="59" spans="13:22" x14ac:dyDescent="0.3">
      <c r="M59" s="58"/>
      <c r="N59" s="58"/>
      <c r="O59" s="58"/>
      <c r="P59" s="58"/>
      <c r="Q59" s="58"/>
      <c r="R59" s="58"/>
      <c r="S59" s="58"/>
      <c r="T59" s="58"/>
      <c r="U59" s="58"/>
      <c r="V59" s="59"/>
    </row>
    <row r="60" spans="13:22" x14ac:dyDescent="0.3">
      <c r="M60" s="58"/>
      <c r="N60" s="58"/>
      <c r="O60" s="58"/>
      <c r="P60" s="58"/>
      <c r="Q60" s="58"/>
      <c r="R60" s="58"/>
      <c r="S60" s="58"/>
      <c r="T60" s="58"/>
      <c r="U60" s="58"/>
      <c r="V60" s="59"/>
    </row>
    <row r="61" spans="13:22" x14ac:dyDescent="0.3">
      <c r="M61" s="58"/>
      <c r="N61" s="58"/>
      <c r="O61" s="58"/>
      <c r="P61" s="58"/>
      <c r="Q61" s="58"/>
      <c r="R61" s="58"/>
      <c r="S61" s="58"/>
      <c r="T61" s="58"/>
      <c r="U61" s="58"/>
      <c r="V61" s="59"/>
    </row>
    <row r="62" spans="13:22" x14ac:dyDescent="0.3">
      <c r="M62" s="58"/>
      <c r="N62" s="58"/>
      <c r="O62" s="58"/>
      <c r="P62" s="58"/>
      <c r="Q62" s="58"/>
      <c r="R62" s="58"/>
      <c r="S62" s="58"/>
      <c r="T62" s="58"/>
      <c r="U62" s="58"/>
      <c r="V62" s="59"/>
    </row>
    <row r="63" spans="13:22" x14ac:dyDescent="0.3">
      <c r="M63" s="58"/>
      <c r="N63" s="58"/>
      <c r="O63" s="58"/>
      <c r="P63" s="58"/>
      <c r="Q63" s="58"/>
      <c r="R63" s="58"/>
      <c r="S63" s="58"/>
      <c r="T63" s="58"/>
      <c r="U63" s="58"/>
      <c r="V63" s="59"/>
    </row>
    <row r="64" spans="13:22" x14ac:dyDescent="0.3">
      <c r="M64" s="58"/>
      <c r="N64" s="58"/>
      <c r="O64" s="58"/>
      <c r="P64" s="58"/>
      <c r="Q64" s="58"/>
      <c r="R64" s="58"/>
      <c r="S64" s="58"/>
      <c r="T64" s="58"/>
      <c r="U64" s="58"/>
      <c r="V64" s="59"/>
    </row>
    <row r="65" spans="13:22" x14ac:dyDescent="0.3">
      <c r="M65" s="58"/>
      <c r="N65" s="58"/>
      <c r="O65" s="58"/>
      <c r="P65" s="58"/>
      <c r="Q65" s="58"/>
      <c r="R65" s="58"/>
      <c r="S65" s="58"/>
      <c r="T65" s="58"/>
      <c r="U65" s="58"/>
      <c r="V65" s="59"/>
    </row>
    <row r="66" spans="13:22" x14ac:dyDescent="0.3">
      <c r="M66" s="58"/>
      <c r="N66" s="58"/>
      <c r="O66" s="58"/>
      <c r="P66" s="58"/>
      <c r="Q66" s="58"/>
      <c r="R66" s="58"/>
      <c r="S66" s="58"/>
      <c r="T66" s="58"/>
      <c r="U66" s="58"/>
      <c r="V66" s="59"/>
    </row>
    <row r="67" spans="13:22" x14ac:dyDescent="0.3">
      <c r="M67" s="58"/>
      <c r="N67" s="58"/>
      <c r="O67" s="58"/>
      <c r="P67" s="58"/>
      <c r="Q67" s="58"/>
      <c r="R67" s="58"/>
      <c r="S67" s="58"/>
      <c r="T67" s="58"/>
      <c r="U67" s="58"/>
      <c r="V67" s="59"/>
    </row>
    <row r="68" spans="13:22" x14ac:dyDescent="0.3">
      <c r="M68" s="58"/>
      <c r="N68" s="58"/>
      <c r="O68" s="58"/>
      <c r="P68" s="58"/>
      <c r="Q68" s="58"/>
      <c r="R68" s="58"/>
      <c r="S68" s="58"/>
      <c r="T68" s="58"/>
      <c r="U68" s="58"/>
      <c r="V68" s="59"/>
    </row>
    <row r="69" spans="13:22" x14ac:dyDescent="0.3">
      <c r="M69" s="58"/>
      <c r="N69" s="58"/>
      <c r="O69" s="58"/>
      <c r="P69" s="58"/>
      <c r="Q69" s="58"/>
      <c r="R69" s="58"/>
      <c r="S69" s="58"/>
      <c r="T69" s="58"/>
      <c r="U69" s="58"/>
      <c r="V69" s="59"/>
    </row>
    <row r="70" spans="13:22" x14ac:dyDescent="0.3">
      <c r="M70" s="58"/>
      <c r="N70" s="58"/>
      <c r="O70" s="58"/>
      <c r="P70" s="58"/>
      <c r="Q70" s="58"/>
      <c r="R70" s="58"/>
      <c r="S70" s="58"/>
      <c r="T70" s="58"/>
      <c r="U70" s="58"/>
      <c r="V70" s="59"/>
    </row>
    <row r="71" spans="13:22" x14ac:dyDescent="0.3">
      <c r="M71" s="58"/>
      <c r="N71" s="58"/>
      <c r="O71" s="58"/>
      <c r="P71" s="58"/>
      <c r="Q71" s="58"/>
      <c r="R71" s="58"/>
      <c r="S71" s="58"/>
      <c r="T71" s="58"/>
      <c r="U71" s="58"/>
      <c r="V71" s="59"/>
    </row>
    <row r="72" spans="13:22" x14ac:dyDescent="0.3">
      <c r="M72" s="58"/>
      <c r="N72" s="58"/>
      <c r="O72" s="58"/>
      <c r="P72" s="58"/>
      <c r="Q72" s="58"/>
      <c r="R72" s="58"/>
      <c r="S72" s="58"/>
      <c r="T72" s="58"/>
      <c r="U72" s="58"/>
      <c r="V72" s="59"/>
    </row>
    <row r="73" spans="13:22" x14ac:dyDescent="0.3">
      <c r="M73" s="58"/>
      <c r="N73" s="58"/>
      <c r="O73" s="58"/>
      <c r="P73" s="58"/>
      <c r="Q73" s="58"/>
      <c r="R73" s="58"/>
      <c r="S73" s="58"/>
      <c r="T73" s="58"/>
      <c r="U73" s="58"/>
      <c r="V73" s="59"/>
    </row>
    <row r="74" spans="13:22" x14ac:dyDescent="0.3">
      <c r="M74" s="58"/>
      <c r="N74" s="58"/>
      <c r="O74" s="58"/>
      <c r="P74" s="58"/>
      <c r="Q74" s="58"/>
      <c r="R74" s="58"/>
      <c r="S74" s="58"/>
      <c r="T74" s="58"/>
      <c r="U74" s="58"/>
      <c r="V74" s="59"/>
    </row>
    <row r="75" spans="13:22" x14ac:dyDescent="0.3">
      <c r="M75" s="58"/>
      <c r="N75" s="58"/>
      <c r="O75" s="58"/>
      <c r="P75" s="58"/>
      <c r="Q75" s="58"/>
      <c r="R75" s="58"/>
      <c r="S75" s="58"/>
      <c r="T75" s="58"/>
      <c r="U75" s="58"/>
      <c r="V75" s="59"/>
    </row>
    <row r="76" spans="13:22" x14ac:dyDescent="0.3">
      <c r="M76" s="58"/>
      <c r="N76" s="58"/>
      <c r="O76" s="58"/>
      <c r="P76" s="58"/>
      <c r="Q76" s="58"/>
      <c r="R76" s="58"/>
      <c r="S76" s="58"/>
      <c r="T76" s="58"/>
      <c r="U76" s="58"/>
      <c r="V76" s="59"/>
    </row>
    <row r="77" spans="13:22" x14ac:dyDescent="0.3">
      <c r="M77" s="58"/>
      <c r="N77" s="58"/>
      <c r="O77" s="58"/>
      <c r="P77" s="58"/>
      <c r="Q77" s="58"/>
      <c r="R77" s="58"/>
      <c r="S77" s="58"/>
      <c r="T77" s="58"/>
      <c r="U77" s="58"/>
      <c r="V77" s="59"/>
    </row>
    <row r="78" spans="13:22" x14ac:dyDescent="0.3">
      <c r="M78" s="58"/>
      <c r="N78" s="58"/>
      <c r="O78" s="58"/>
      <c r="P78" s="58"/>
      <c r="Q78" s="58"/>
      <c r="R78" s="58"/>
      <c r="S78" s="58"/>
      <c r="T78" s="58"/>
      <c r="U78" s="58"/>
      <c r="V78" s="59"/>
    </row>
    <row r="79" spans="13:22" x14ac:dyDescent="0.3">
      <c r="M79" s="58"/>
      <c r="N79" s="58"/>
      <c r="O79" s="58"/>
      <c r="P79" s="58"/>
      <c r="Q79" s="58"/>
      <c r="R79" s="58"/>
      <c r="S79" s="58"/>
      <c r="T79" s="58"/>
      <c r="U79" s="58"/>
      <c r="V79" s="59"/>
    </row>
    <row r="80" spans="13:22" x14ac:dyDescent="0.3">
      <c r="M80" s="58"/>
      <c r="N80" s="58"/>
      <c r="O80" s="58"/>
      <c r="P80" s="58"/>
      <c r="Q80" s="58"/>
      <c r="R80" s="58"/>
      <c r="S80" s="58"/>
      <c r="T80" s="58"/>
      <c r="U80" s="58"/>
      <c r="V80" s="59"/>
    </row>
    <row r="81" spans="13:22" x14ac:dyDescent="0.3">
      <c r="M81" s="58"/>
      <c r="N81" s="58"/>
      <c r="O81" s="58"/>
      <c r="P81" s="58"/>
      <c r="Q81" s="58"/>
      <c r="R81" s="58"/>
      <c r="S81" s="58"/>
      <c r="T81" s="58"/>
      <c r="U81" s="58"/>
      <c r="V81" s="59"/>
    </row>
    <row r="82" spans="13:22" x14ac:dyDescent="0.3">
      <c r="M82" s="58"/>
      <c r="N82" s="58"/>
      <c r="O82" s="58"/>
      <c r="P82" s="58"/>
      <c r="Q82" s="58"/>
      <c r="R82" s="58"/>
      <c r="S82" s="58"/>
      <c r="T82" s="58"/>
      <c r="U82" s="58"/>
      <c r="V82" s="59"/>
    </row>
    <row r="83" spans="13:22" x14ac:dyDescent="0.3">
      <c r="M83" s="58"/>
      <c r="N83" s="58"/>
      <c r="O83" s="58"/>
      <c r="P83" s="58"/>
      <c r="Q83" s="58"/>
      <c r="R83" s="58"/>
      <c r="S83" s="58"/>
      <c r="T83" s="58"/>
      <c r="U83" s="58"/>
      <c r="V83" s="59"/>
    </row>
    <row r="84" spans="13:22" x14ac:dyDescent="0.3">
      <c r="M84" s="58"/>
      <c r="N84" s="58"/>
      <c r="O84" s="58"/>
      <c r="P84" s="58"/>
      <c r="Q84" s="58"/>
      <c r="R84" s="58"/>
      <c r="S84" s="58"/>
      <c r="T84" s="58"/>
      <c r="U84" s="58"/>
      <c r="V84" s="59"/>
    </row>
    <row r="85" spans="13:22" x14ac:dyDescent="0.3">
      <c r="M85" s="58"/>
      <c r="N85" s="58"/>
      <c r="O85" s="58"/>
      <c r="P85" s="58"/>
      <c r="Q85" s="58"/>
      <c r="R85" s="58"/>
      <c r="S85" s="58"/>
      <c r="T85" s="58"/>
      <c r="U85" s="58"/>
      <c r="V85" s="59"/>
    </row>
    <row r="86" spans="13:22" x14ac:dyDescent="0.3">
      <c r="M86" s="58"/>
      <c r="N86" s="58"/>
      <c r="O86" s="58"/>
      <c r="P86" s="58"/>
      <c r="Q86" s="58"/>
      <c r="R86" s="58"/>
      <c r="S86" s="58"/>
      <c r="T86" s="58"/>
      <c r="U86" s="58"/>
      <c r="V86" s="59"/>
    </row>
    <row r="87" spans="13:22" x14ac:dyDescent="0.3">
      <c r="M87" s="58"/>
      <c r="N87" s="58"/>
      <c r="O87" s="58"/>
      <c r="P87" s="58"/>
      <c r="Q87" s="58"/>
      <c r="R87" s="58"/>
      <c r="S87" s="58"/>
      <c r="T87" s="58"/>
      <c r="U87" s="58"/>
      <c r="V87" s="59"/>
    </row>
    <row r="88" spans="13:22" x14ac:dyDescent="0.3">
      <c r="M88" s="58"/>
      <c r="N88" s="58"/>
      <c r="O88" s="58"/>
      <c r="P88" s="58"/>
      <c r="Q88" s="58"/>
      <c r="R88" s="58"/>
      <c r="S88" s="58"/>
      <c r="T88" s="58"/>
      <c r="U88" s="58"/>
      <c r="V88" s="59"/>
    </row>
    <row r="89" spans="13:22" x14ac:dyDescent="0.3">
      <c r="M89" s="58"/>
      <c r="N89" s="58"/>
      <c r="O89" s="58"/>
      <c r="P89" s="58"/>
      <c r="Q89" s="58"/>
      <c r="R89" s="58"/>
      <c r="S89" s="58"/>
      <c r="T89" s="58"/>
      <c r="U89" s="58"/>
      <c r="V89" s="59"/>
    </row>
    <row r="90" spans="13:22" x14ac:dyDescent="0.3">
      <c r="M90" s="58"/>
      <c r="N90" s="58"/>
      <c r="O90" s="58"/>
      <c r="P90" s="58"/>
      <c r="Q90" s="58"/>
      <c r="R90" s="58"/>
      <c r="S90" s="58"/>
      <c r="T90" s="58"/>
      <c r="U90" s="58"/>
      <c r="V90" s="59"/>
    </row>
    <row r="91" spans="13:22" x14ac:dyDescent="0.3">
      <c r="M91" s="58"/>
      <c r="N91" s="58"/>
      <c r="O91" s="58"/>
      <c r="P91" s="58"/>
      <c r="Q91" s="58"/>
      <c r="R91" s="58"/>
      <c r="S91" s="58"/>
      <c r="T91" s="58"/>
      <c r="U91" s="58"/>
      <c r="V91" s="59"/>
    </row>
    <row r="92" spans="13:22" x14ac:dyDescent="0.3">
      <c r="M92" s="58"/>
      <c r="N92" s="58"/>
      <c r="O92" s="58"/>
      <c r="P92" s="58"/>
      <c r="Q92" s="58"/>
      <c r="R92" s="58"/>
      <c r="S92" s="58"/>
      <c r="T92" s="58"/>
      <c r="U92" s="58"/>
      <c r="V92" s="59"/>
    </row>
    <row r="93" spans="13:22" x14ac:dyDescent="0.3">
      <c r="M93" s="58"/>
      <c r="N93" s="58"/>
      <c r="O93" s="58"/>
      <c r="P93" s="58"/>
      <c r="Q93" s="58"/>
      <c r="R93" s="58"/>
      <c r="S93" s="58"/>
      <c r="T93" s="58"/>
      <c r="U93" s="58"/>
      <c r="V93" s="59"/>
    </row>
    <row r="94" spans="13:22" x14ac:dyDescent="0.3">
      <c r="M94" s="58"/>
      <c r="N94" s="58"/>
      <c r="O94" s="58"/>
      <c r="P94" s="58"/>
      <c r="Q94" s="58"/>
      <c r="R94" s="58"/>
      <c r="S94" s="58"/>
      <c r="T94" s="58"/>
      <c r="U94" s="58"/>
      <c r="V94" s="59"/>
    </row>
    <row r="95" spans="13:22" x14ac:dyDescent="0.3">
      <c r="M95" s="58"/>
      <c r="N95" s="58"/>
      <c r="O95" s="58"/>
      <c r="P95" s="58"/>
      <c r="Q95" s="58"/>
      <c r="R95" s="58"/>
      <c r="S95" s="58"/>
      <c r="T95" s="58"/>
      <c r="U95" s="58"/>
      <c r="V95" s="59"/>
    </row>
    <row r="96" spans="13:22" x14ac:dyDescent="0.3">
      <c r="M96" s="58"/>
      <c r="N96" s="58"/>
      <c r="O96" s="58"/>
      <c r="P96" s="58"/>
      <c r="Q96" s="58"/>
      <c r="R96" s="58"/>
      <c r="S96" s="58"/>
      <c r="T96" s="58"/>
      <c r="U96" s="58"/>
      <c r="V96" s="59"/>
    </row>
    <row r="97" spans="13:22" x14ac:dyDescent="0.3">
      <c r="M97" s="58"/>
      <c r="N97" s="58"/>
      <c r="O97" s="58"/>
      <c r="P97" s="58"/>
      <c r="Q97" s="58"/>
      <c r="R97" s="58"/>
      <c r="S97" s="58"/>
      <c r="T97" s="58"/>
      <c r="U97" s="58"/>
      <c r="V97" s="59"/>
    </row>
    <row r="98" spans="13:22" x14ac:dyDescent="0.3">
      <c r="M98" s="58"/>
      <c r="N98" s="58"/>
      <c r="O98" s="58"/>
      <c r="P98" s="58"/>
      <c r="Q98" s="58"/>
      <c r="R98" s="58"/>
      <c r="S98" s="58"/>
      <c r="T98" s="58"/>
      <c r="U98" s="58"/>
      <c r="V98" s="59"/>
    </row>
    <row r="99" spans="13:22" x14ac:dyDescent="0.3">
      <c r="M99" s="58"/>
      <c r="N99" s="58"/>
      <c r="O99" s="58"/>
      <c r="P99" s="58"/>
      <c r="Q99" s="58"/>
      <c r="R99" s="58"/>
      <c r="S99" s="58"/>
      <c r="T99" s="58"/>
      <c r="U99" s="58"/>
      <c r="V99" s="59"/>
    </row>
    <row r="100" spans="13:22" x14ac:dyDescent="0.3">
      <c r="M100" s="58"/>
      <c r="N100" s="58"/>
      <c r="O100" s="58"/>
      <c r="P100" s="58"/>
      <c r="Q100" s="58"/>
      <c r="R100" s="58"/>
      <c r="S100" s="58"/>
      <c r="T100" s="58"/>
      <c r="U100" s="58"/>
      <c r="V100" s="59"/>
    </row>
    <row r="101" spans="13:22" x14ac:dyDescent="0.3">
      <c r="M101" s="58"/>
      <c r="N101" s="58"/>
      <c r="O101" s="58"/>
      <c r="P101" s="58"/>
      <c r="Q101" s="58"/>
      <c r="R101" s="58"/>
      <c r="S101" s="58"/>
      <c r="T101" s="58"/>
      <c r="U101" s="58"/>
      <c r="V101" s="59"/>
    </row>
    <row r="102" spans="13:22" x14ac:dyDescent="0.3">
      <c r="M102" s="58"/>
      <c r="N102" s="58"/>
      <c r="O102" s="58"/>
      <c r="P102" s="58"/>
      <c r="Q102" s="58"/>
      <c r="R102" s="58"/>
      <c r="S102" s="58"/>
      <c r="T102" s="58"/>
      <c r="U102" s="58"/>
      <c r="V102" s="59"/>
    </row>
    <row r="103" spans="13:22" x14ac:dyDescent="0.3">
      <c r="M103" s="58"/>
      <c r="N103" s="58"/>
      <c r="O103" s="58"/>
      <c r="P103" s="58"/>
      <c r="Q103" s="58"/>
      <c r="R103" s="58"/>
      <c r="S103" s="58"/>
      <c r="T103" s="58"/>
      <c r="U103" s="58"/>
      <c r="V103" s="59"/>
    </row>
    <row r="104" spans="13:22" x14ac:dyDescent="0.3">
      <c r="M104" s="58"/>
      <c r="N104" s="58"/>
      <c r="O104" s="58"/>
      <c r="P104" s="58"/>
      <c r="Q104" s="58"/>
      <c r="R104" s="58"/>
      <c r="S104" s="58"/>
      <c r="T104" s="58"/>
      <c r="U104" s="58"/>
      <c r="V104" s="59"/>
    </row>
    <row r="105" spans="13:22" x14ac:dyDescent="0.3">
      <c r="M105" s="58"/>
      <c r="N105" s="58"/>
      <c r="O105" s="58"/>
      <c r="P105" s="58"/>
      <c r="Q105" s="58"/>
      <c r="R105" s="58"/>
      <c r="S105" s="58"/>
      <c r="T105" s="58"/>
      <c r="U105" s="58"/>
      <c r="V105" s="59"/>
    </row>
    <row r="106" spans="13:22" x14ac:dyDescent="0.3">
      <c r="M106" s="58"/>
      <c r="N106" s="58"/>
      <c r="O106" s="58"/>
      <c r="P106" s="58"/>
      <c r="Q106" s="58"/>
      <c r="R106" s="58"/>
      <c r="S106" s="58"/>
      <c r="T106" s="58"/>
      <c r="U106" s="58"/>
      <c r="V106" s="59"/>
    </row>
    <row r="107" spans="13:22" x14ac:dyDescent="0.3">
      <c r="M107" s="58"/>
      <c r="N107" s="58"/>
      <c r="O107" s="58"/>
      <c r="P107" s="58"/>
      <c r="Q107" s="58"/>
      <c r="R107" s="58"/>
      <c r="S107" s="58"/>
      <c r="T107" s="58"/>
      <c r="U107" s="58"/>
      <c r="V107" s="59"/>
    </row>
    <row r="108" spans="13:22" x14ac:dyDescent="0.3">
      <c r="M108" s="58"/>
      <c r="N108" s="58"/>
      <c r="O108" s="58"/>
      <c r="P108" s="58"/>
      <c r="Q108" s="58"/>
      <c r="R108" s="58"/>
      <c r="S108" s="58"/>
      <c r="T108" s="58"/>
      <c r="U108" s="58"/>
      <c r="V108" s="59"/>
    </row>
    <row r="109" spans="13:22" x14ac:dyDescent="0.3">
      <c r="M109" s="58"/>
      <c r="N109" s="58"/>
      <c r="O109" s="58"/>
      <c r="P109" s="58"/>
      <c r="Q109" s="58"/>
      <c r="R109" s="58"/>
      <c r="S109" s="58"/>
      <c r="T109" s="58"/>
      <c r="U109" s="58"/>
      <c r="V109" s="59"/>
    </row>
    <row r="110" spans="13:22" x14ac:dyDescent="0.3">
      <c r="M110" s="58"/>
      <c r="N110" s="58"/>
      <c r="O110" s="58"/>
      <c r="P110" s="58"/>
      <c r="Q110" s="58"/>
      <c r="R110" s="58"/>
      <c r="S110" s="58"/>
      <c r="T110" s="58"/>
      <c r="U110" s="58"/>
      <c r="V110" s="59"/>
    </row>
    <row r="111" spans="13:22" x14ac:dyDescent="0.3">
      <c r="M111" s="58"/>
      <c r="N111" s="58"/>
      <c r="O111" s="58"/>
      <c r="P111" s="58"/>
      <c r="Q111" s="58"/>
      <c r="R111" s="58"/>
      <c r="S111" s="58"/>
      <c r="T111" s="58"/>
      <c r="U111" s="58"/>
      <c r="V111" s="59"/>
    </row>
    <row r="112" spans="13:22" x14ac:dyDescent="0.3">
      <c r="M112" s="58"/>
      <c r="N112" s="58"/>
      <c r="O112" s="58"/>
      <c r="P112" s="58"/>
      <c r="Q112" s="58"/>
      <c r="R112" s="58"/>
      <c r="S112" s="58"/>
      <c r="T112" s="58"/>
      <c r="U112" s="58"/>
      <c r="V112" s="59"/>
    </row>
    <row r="113" spans="13:22" x14ac:dyDescent="0.3">
      <c r="M113" s="58"/>
      <c r="N113" s="58"/>
      <c r="O113" s="58"/>
      <c r="P113" s="58"/>
      <c r="Q113" s="58"/>
      <c r="R113" s="58"/>
      <c r="S113" s="58"/>
      <c r="T113" s="58"/>
      <c r="U113" s="58"/>
      <c r="V113" s="59"/>
    </row>
    <row r="114" spans="13:22" x14ac:dyDescent="0.3">
      <c r="M114" s="58"/>
      <c r="N114" s="58"/>
      <c r="O114" s="58"/>
      <c r="P114" s="58"/>
      <c r="Q114" s="58"/>
      <c r="R114" s="58"/>
      <c r="S114" s="58"/>
      <c r="T114" s="58"/>
      <c r="U114" s="58"/>
      <c r="V114" s="59"/>
    </row>
    <row r="115" spans="13:22" x14ac:dyDescent="0.3">
      <c r="M115" s="58"/>
      <c r="N115" s="58"/>
      <c r="O115" s="58"/>
      <c r="P115" s="58"/>
      <c r="Q115" s="58"/>
      <c r="R115" s="58"/>
      <c r="S115" s="58"/>
      <c r="T115" s="58"/>
      <c r="U115" s="58"/>
      <c r="V115" s="59"/>
    </row>
    <row r="116" spans="13:22" x14ac:dyDescent="0.3">
      <c r="M116" s="58"/>
      <c r="N116" s="58"/>
      <c r="O116" s="58"/>
      <c r="P116" s="58"/>
      <c r="Q116" s="58"/>
      <c r="R116" s="58"/>
      <c r="S116" s="58"/>
      <c r="T116" s="58"/>
      <c r="U116" s="58"/>
      <c r="V116" s="59"/>
    </row>
    <row r="117" spans="13:22" x14ac:dyDescent="0.3">
      <c r="M117" s="58"/>
      <c r="N117" s="58"/>
      <c r="O117" s="58"/>
      <c r="P117" s="58"/>
      <c r="Q117" s="58"/>
      <c r="R117" s="58"/>
      <c r="S117" s="58"/>
      <c r="T117" s="58"/>
      <c r="U117" s="58"/>
      <c r="V117" s="59"/>
    </row>
    <row r="118" spans="13:22" x14ac:dyDescent="0.3">
      <c r="M118" s="58"/>
      <c r="N118" s="58"/>
      <c r="O118" s="58"/>
      <c r="P118" s="58"/>
      <c r="Q118" s="58"/>
      <c r="R118" s="58"/>
      <c r="S118" s="58"/>
      <c r="T118" s="58"/>
      <c r="U118" s="58"/>
      <c r="V118" s="59"/>
    </row>
    <row r="119" spans="13:22" x14ac:dyDescent="0.3">
      <c r="M119" s="58"/>
      <c r="N119" s="58"/>
      <c r="O119" s="58"/>
      <c r="P119" s="58"/>
      <c r="Q119" s="58"/>
      <c r="R119" s="58"/>
      <c r="S119" s="58"/>
      <c r="T119" s="58"/>
      <c r="U119" s="58"/>
      <c r="V119" s="59"/>
    </row>
    <row r="120" spans="13:22" x14ac:dyDescent="0.3">
      <c r="M120" s="58"/>
      <c r="N120" s="58"/>
      <c r="O120" s="58"/>
      <c r="P120" s="58"/>
      <c r="Q120" s="58"/>
      <c r="R120" s="58"/>
      <c r="S120" s="58"/>
      <c r="T120" s="58"/>
      <c r="U120" s="58"/>
      <c r="V120" s="59"/>
    </row>
    <row r="121" spans="13:22" x14ac:dyDescent="0.3">
      <c r="M121" s="58"/>
      <c r="N121" s="58"/>
      <c r="O121" s="58"/>
      <c r="P121" s="58"/>
      <c r="Q121" s="58"/>
      <c r="R121" s="58"/>
      <c r="S121" s="58"/>
      <c r="T121" s="58"/>
      <c r="U121" s="58"/>
      <c r="V121" s="59"/>
    </row>
    <row r="122" spans="13:22" x14ac:dyDescent="0.3">
      <c r="M122" s="58"/>
      <c r="N122" s="58"/>
      <c r="O122" s="58"/>
      <c r="P122" s="58"/>
      <c r="Q122" s="58"/>
      <c r="R122" s="58"/>
      <c r="S122" s="58"/>
      <c r="T122" s="58"/>
      <c r="U122" s="58"/>
      <c r="V122" s="59"/>
    </row>
    <row r="123" spans="13:22" x14ac:dyDescent="0.3">
      <c r="M123" s="58"/>
      <c r="N123" s="58"/>
      <c r="O123" s="58"/>
      <c r="P123" s="58"/>
      <c r="Q123" s="58"/>
      <c r="R123" s="58"/>
      <c r="S123" s="58"/>
      <c r="T123" s="58"/>
      <c r="U123" s="58"/>
      <c r="V123" s="59"/>
    </row>
    <row r="124" spans="13:22" x14ac:dyDescent="0.3">
      <c r="M124" s="58"/>
      <c r="N124" s="58"/>
      <c r="O124" s="58"/>
      <c r="P124" s="58"/>
      <c r="Q124" s="58"/>
      <c r="R124" s="58"/>
      <c r="S124" s="58"/>
      <c r="T124" s="58"/>
      <c r="U124" s="58"/>
      <c r="V124" s="59"/>
    </row>
    <row r="125" spans="13:22" x14ac:dyDescent="0.3">
      <c r="M125" s="58"/>
      <c r="N125" s="58"/>
      <c r="O125" s="58"/>
      <c r="P125" s="58"/>
      <c r="Q125" s="58"/>
      <c r="R125" s="58"/>
      <c r="S125" s="58"/>
      <c r="T125" s="58"/>
      <c r="U125" s="58"/>
      <c r="V125" s="59"/>
    </row>
    <row r="126" spans="13:22" x14ac:dyDescent="0.3">
      <c r="M126" s="58"/>
      <c r="N126" s="58"/>
      <c r="O126" s="58"/>
      <c r="P126" s="58"/>
      <c r="Q126" s="58"/>
      <c r="R126" s="58"/>
      <c r="S126" s="58"/>
      <c r="T126" s="58"/>
      <c r="U126" s="58"/>
      <c r="V126" s="59"/>
    </row>
    <row r="127" spans="13:22" x14ac:dyDescent="0.3">
      <c r="M127" s="58"/>
      <c r="N127" s="58"/>
      <c r="O127" s="58"/>
      <c r="P127" s="58"/>
      <c r="Q127" s="58"/>
      <c r="R127" s="58"/>
      <c r="S127" s="58"/>
      <c r="T127" s="58"/>
      <c r="U127" s="58"/>
      <c r="V127" s="59"/>
    </row>
    <row r="128" spans="13:22" x14ac:dyDescent="0.3">
      <c r="M128" s="58"/>
      <c r="N128" s="58"/>
      <c r="O128" s="58"/>
      <c r="P128" s="58"/>
      <c r="Q128" s="58"/>
      <c r="R128" s="58"/>
      <c r="S128" s="58"/>
      <c r="T128" s="58"/>
      <c r="U128" s="58"/>
      <c r="V128" s="59"/>
    </row>
    <row r="129" spans="13:22" x14ac:dyDescent="0.3">
      <c r="M129" s="58"/>
      <c r="N129" s="58"/>
      <c r="O129" s="58"/>
      <c r="P129" s="58"/>
      <c r="Q129" s="58"/>
      <c r="R129" s="58"/>
      <c r="S129" s="58"/>
      <c r="T129" s="58"/>
      <c r="U129" s="58"/>
      <c r="V129" s="59"/>
    </row>
    <row r="130" spans="13:22" x14ac:dyDescent="0.3">
      <c r="M130" s="58"/>
      <c r="N130" s="58"/>
      <c r="O130" s="58"/>
      <c r="P130" s="58"/>
      <c r="Q130" s="58"/>
      <c r="R130" s="58"/>
      <c r="S130" s="58"/>
      <c r="T130" s="58"/>
      <c r="U130" s="58"/>
      <c r="V130" s="59"/>
    </row>
    <row r="131" spans="13:22" x14ac:dyDescent="0.3">
      <c r="M131" s="58"/>
      <c r="N131" s="58"/>
      <c r="O131" s="58"/>
      <c r="P131" s="58"/>
      <c r="Q131" s="58"/>
      <c r="R131" s="58"/>
      <c r="S131" s="58"/>
      <c r="T131" s="58"/>
      <c r="U131" s="58"/>
      <c r="V131" s="59"/>
    </row>
    <row r="132" spans="13:22" x14ac:dyDescent="0.3">
      <c r="M132" s="58"/>
      <c r="N132" s="58"/>
      <c r="O132" s="58"/>
      <c r="P132" s="58"/>
      <c r="Q132" s="58"/>
      <c r="R132" s="58"/>
      <c r="S132" s="58"/>
      <c r="T132" s="58"/>
      <c r="U132" s="58"/>
      <c r="V132" s="59"/>
    </row>
    <row r="133" spans="13:22" x14ac:dyDescent="0.3">
      <c r="M133" s="58"/>
      <c r="N133" s="58"/>
      <c r="O133" s="58"/>
      <c r="P133" s="58"/>
      <c r="Q133" s="58"/>
      <c r="R133" s="58"/>
      <c r="S133" s="58"/>
      <c r="T133" s="58"/>
      <c r="U133" s="58"/>
      <c r="V133" s="59"/>
    </row>
    <row r="134" spans="13:22" x14ac:dyDescent="0.3">
      <c r="M134" s="58"/>
      <c r="N134" s="58"/>
      <c r="O134" s="58"/>
      <c r="P134" s="58"/>
      <c r="Q134" s="58"/>
      <c r="R134" s="58"/>
      <c r="S134" s="58"/>
      <c r="T134" s="58"/>
      <c r="U134" s="58"/>
      <c r="V134" s="59"/>
    </row>
    <row r="135" spans="13:22" x14ac:dyDescent="0.3">
      <c r="M135" s="58"/>
      <c r="N135" s="58"/>
      <c r="O135" s="58"/>
      <c r="P135" s="58"/>
      <c r="Q135" s="58"/>
      <c r="R135" s="58"/>
      <c r="S135" s="58"/>
      <c r="T135" s="58"/>
      <c r="U135" s="58"/>
      <c r="V135" s="59"/>
    </row>
    <row r="136" spans="13:22" x14ac:dyDescent="0.3">
      <c r="M136" s="58"/>
      <c r="N136" s="58"/>
      <c r="O136" s="58"/>
      <c r="P136" s="58"/>
      <c r="Q136" s="58"/>
      <c r="R136" s="58"/>
      <c r="S136" s="58"/>
      <c r="T136" s="58"/>
      <c r="U136" s="58"/>
      <c r="V136" s="59"/>
    </row>
    <row r="137" spans="13:22" x14ac:dyDescent="0.3">
      <c r="M137" s="58"/>
      <c r="N137" s="58"/>
      <c r="O137" s="58"/>
      <c r="P137" s="58"/>
      <c r="Q137" s="58"/>
      <c r="R137" s="58"/>
      <c r="S137" s="58"/>
      <c r="T137" s="58"/>
      <c r="U137" s="58"/>
      <c r="V137" s="59"/>
    </row>
    <row r="138" spans="13:22" x14ac:dyDescent="0.3">
      <c r="M138" s="58"/>
      <c r="N138" s="58"/>
      <c r="O138" s="58"/>
      <c r="P138" s="58"/>
      <c r="Q138" s="58"/>
      <c r="R138" s="58"/>
      <c r="S138" s="58"/>
      <c r="T138" s="58"/>
      <c r="U138" s="58"/>
      <c r="V138" s="59"/>
    </row>
    <row r="139" spans="13:22" x14ac:dyDescent="0.3">
      <c r="M139" s="58"/>
      <c r="N139" s="58"/>
      <c r="O139" s="58"/>
      <c r="P139" s="58"/>
      <c r="Q139" s="58"/>
      <c r="R139" s="58"/>
      <c r="S139" s="58"/>
      <c r="T139" s="58"/>
      <c r="U139" s="58"/>
      <c r="V139" s="59"/>
    </row>
    <row r="140" spans="13:22" x14ac:dyDescent="0.3">
      <c r="M140" s="58"/>
      <c r="N140" s="58"/>
      <c r="O140" s="58"/>
      <c r="P140" s="58"/>
      <c r="Q140" s="58"/>
      <c r="R140" s="58"/>
      <c r="S140" s="58"/>
      <c r="T140" s="58"/>
      <c r="U140" s="58"/>
      <c r="V140" s="59"/>
    </row>
    <row r="141" spans="13:22" x14ac:dyDescent="0.3">
      <c r="M141" s="58"/>
      <c r="N141" s="58"/>
      <c r="O141" s="58"/>
      <c r="P141" s="58"/>
      <c r="Q141" s="58"/>
      <c r="R141" s="58"/>
      <c r="S141" s="58"/>
      <c r="T141" s="58"/>
      <c r="U141" s="58"/>
      <c r="V141" s="59"/>
    </row>
    <row r="142" spans="13:22" x14ac:dyDescent="0.3">
      <c r="M142" s="58"/>
      <c r="N142" s="58"/>
      <c r="O142" s="58"/>
      <c r="P142" s="58"/>
      <c r="Q142" s="58"/>
      <c r="R142" s="58"/>
      <c r="S142" s="58"/>
      <c r="T142" s="58"/>
      <c r="U142" s="58"/>
      <c r="V142" s="59"/>
    </row>
    <row r="143" spans="13:22" x14ac:dyDescent="0.3">
      <c r="M143" s="58"/>
      <c r="N143" s="58"/>
      <c r="O143" s="58"/>
      <c r="P143" s="58"/>
      <c r="Q143" s="58"/>
      <c r="R143" s="58"/>
      <c r="S143" s="58"/>
      <c r="T143" s="58"/>
      <c r="U143" s="58"/>
      <c r="V143" s="59"/>
    </row>
    <row r="144" spans="13:22" x14ac:dyDescent="0.3">
      <c r="M144" s="58"/>
      <c r="N144" s="58"/>
      <c r="O144" s="58"/>
      <c r="P144" s="58"/>
      <c r="Q144" s="58"/>
      <c r="R144" s="58"/>
      <c r="S144" s="58"/>
      <c r="T144" s="58"/>
      <c r="U144" s="58"/>
      <c r="V144" s="59"/>
    </row>
    <row r="145" spans="13:22" x14ac:dyDescent="0.3">
      <c r="M145" s="58"/>
      <c r="N145" s="58"/>
      <c r="O145" s="58"/>
      <c r="P145" s="58"/>
      <c r="Q145" s="58"/>
      <c r="R145" s="58"/>
      <c r="S145" s="58"/>
      <c r="T145" s="58"/>
      <c r="U145" s="58"/>
      <c r="V145" s="59"/>
    </row>
    <row r="146" spans="13:22" x14ac:dyDescent="0.3">
      <c r="M146" s="58"/>
      <c r="N146" s="58"/>
      <c r="O146" s="58"/>
      <c r="P146" s="58"/>
      <c r="Q146" s="58"/>
      <c r="R146" s="58"/>
      <c r="S146" s="58"/>
      <c r="T146" s="58"/>
      <c r="U146" s="58"/>
      <c r="V146" s="59"/>
    </row>
    <row r="147" spans="13:22" x14ac:dyDescent="0.3">
      <c r="M147" s="58"/>
      <c r="N147" s="58"/>
      <c r="O147" s="58"/>
      <c r="P147" s="58"/>
      <c r="Q147" s="58"/>
      <c r="R147" s="58"/>
      <c r="S147" s="58"/>
      <c r="T147" s="58"/>
      <c r="U147" s="58"/>
      <c r="V147" s="59"/>
    </row>
    <row r="148" spans="13:22" x14ac:dyDescent="0.3">
      <c r="M148" s="58"/>
      <c r="N148" s="58"/>
      <c r="O148" s="58"/>
      <c r="P148" s="58"/>
      <c r="Q148" s="58"/>
      <c r="R148" s="58"/>
      <c r="S148" s="58"/>
      <c r="T148" s="58"/>
      <c r="U148" s="58"/>
      <c r="V148" s="59"/>
    </row>
    <row r="149" spans="13:22" x14ac:dyDescent="0.3">
      <c r="M149" s="58"/>
      <c r="N149" s="58"/>
      <c r="O149" s="58"/>
      <c r="P149" s="58"/>
      <c r="Q149" s="58"/>
      <c r="R149" s="58"/>
      <c r="S149" s="58"/>
      <c r="T149" s="58"/>
      <c r="U149" s="58"/>
      <c r="V149" s="59"/>
    </row>
    <row r="150" spans="13:22" x14ac:dyDescent="0.3">
      <c r="M150" s="58"/>
      <c r="N150" s="58"/>
      <c r="O150" s="58"/>
      <c r="P150" s="58"/>
      <c r="Q150" s="58"/>
      <c r="R150" s="58"/>
      <c r="S150" s="58"/>
      <c r="T150" s="58"/>
      <c r="U150" s="58"/>
      <c r="V150" s="59"/>
    </row>
    <row r="151" spans="13:22" x14ac:dyDescent="0.3">
      <c r="M151" s="58"/>
      <c r="N151" s="58"/>
      <c r="O151" s="58"/>
      <c r="P151" s="58"/>
      <c r="Q151" s="58"/>
      <c r="R151" s="58"/>
      <c r="S151" s="58"/>
      <c r="T151" s="58"/>
      <c r="U151" s="58"/>
      <c r="V151" s="59"/>
    </row>
    <row r="152" spans="13:22" x14ac:dyDescent="0.3">
      <c r="M152" s="58"/>
      <c r="N152" s="58"/>
      <c r="O152" s="58"/>
      <c r="P152" s="58"/>
      <c r="Q152" s="58"/>
      <c r="R152" s="58"/>
      <c r="S152" s="58"/>
      <c r="T152" s="58"/>
      <c r="U152" s="58"/>
      <c r="V152" s="59"/>
    </row>
    <row r="153" spans="13:22" x14ac:dyDescent="0.3">
      <c r="M153" s="58"/>
      <c r="N153" s="58"/>
      <c r="O153" s="58"/>
      <c r="P153" s="58"/>
      <c r="Q153" s="58"/>
      <c r="R153" s="58"/>
      <c r="S153" s="58"/>
      <c r="T153" s="58"/>
      <c r="U153" s="58"/>
      <c r="V153" s="59"/>
    </row>
    <row r="154" spans="13:22" x14ac:dyDescent="0.3">
      <c r="M154" s="58"/>
      <c r="N154" s="58"/>
      <c r="O154" s="58"/>
      <c r="P154" s="58"/>
      <c r="Q154" s="58"/>
      <c r="R154" s="58"/>
      <c r="S154" s="58"/>
      <c r="T154" s="58"/>
      <c r="U154" s="58"/>
      <c r="V154" s="59"/>
    </row>
    <row r="155" spans="13:22" x14ac:dyDescent="0.3">
      <c r="M155" s="58"/>
      <c r="N155" s="58"/>
      <c r="O155" s="58"/>
      <c r="P155" s="58"/>
      <c r="Q155" s="58"/>
      <c r="R155" s="58"/>
      <c r="S155" s="58"/>
      <c r="T155" s="58"/>
      <c r="U155" s="58"/>
      <c r="V155" s="59"/>
    </row>
    <row r="156" spans="13:22" x14ac:dyDescent="0.3">
      <c r="M156" s="58"/>
      <c r="N156" s="58"/>
      <c r="O156" s="58"/>
      <c r="P156" s="58"/>
      <c r="Q156" s="58"/>
      <c r="R156" s="58"/>
      <c r="S156" s="58"/>
      <c r="T156" s="58"/>
      <c r="U156" s="58"/>
      <c r="V156" s="59"/>
    </row>
    <row r="157" spans="13:22" x14ac:dyDescent="0.3">
      <c r="M157" s="58"/>
      <c r="N157" s="58"/>
      <c r="O157" s="58"/>
      <c r="P157" s="58"/>
      <c r="Q157" s="58"/>
      <c r="R157" s="58"/>
      <c r="S157" s="58"/>
      <c r="T157" s="58"/>
      <c r="U157" s="58"/>
      <c r="V157" s="59"/>
    </row>
    <row r="158" spans="13:22" x14ac:dyDescent="0.3">
      <c r="M158" s="58"/>
      <c r="N158" s="58"/>
      <c r="O158" s="58"/>
      <c r="P158" s="58"/>
      <c r="Q158" s="58"/>
      <c r="R158" s="58"/>
      <c r="S158" s="58"/>
      <c r="T158" s="58"/>
      <c r="U158" s="58"/>
      <c r="V158" s="59"/>
    </row>
    <row r="159" spans="13:22" x14ac:dyDescent="0.3">
      <c r="M159" s="58"/>
      <c r="N159" s="58"/>
      <c r="O159" s="58"/>
      <c r="P159" s="58"/>
      <c r="Q159" s="58"/>
      <c r="R159" s="58"/>
      <c r="S159" s="58"/>
      <c r="T159" s="58"/>
      <c r="U159" s="58"/>
      <c r="V159" s="59"/>
    </row>
    <row r="160" spans="13:22" x14ac:dyDescent="0.3">
      <c r="M160" s="58"/>
      <c r="N160" s="58"/>
      <c r="O160" s="58"/>
      <c r="P160" s="58"/>
      <c r="Q160" s="58"/>
      <c r="R160" s="58"/>
      <c r="S160" s="58"/>
      <c r="T160" s="58"/>
      <c r="U160" s="58"/>
      <c r="V160" s="59"/>
    </row>
    <row r="161" spans="13:22" x14ac:dyDescent="0.3">
      <c r="M161" s="58"/>
      <c r="N161" s="58"/>
      <c r="O161" s="58"/>
      <c r="P161" s="58"/>
      <c r="Q161" s="58"/>
      <c r="R161" s="58"/>
      <c r="S161" s="58"/>
      <c r="T161" s="58"/>
      <c r="U161" s="58"/>
      <c r="V161" s="59"/>
    </row>
    <row r="162" spans="13:22" x14ac:dyDescent="0.3">
      <c r="M162" s="58"/>
      <c r="N162" s="58"/>
      <c r="O162" s="58"/>
      <c r="P162" s="58"/>
      <c r="Q162" s="58"/>
      <c r="R162" s="58"/>
      <c r="S162" s="58"/>
      <c r="T162" s="58"/>
      <c r="U162" s="58"/>
      <c r="V162" s="59"/>
    </row>
    <row r="163" spans="13:22" x14ac:dyDescent="0.3">
      <c r="M163" s="58"/>
      <c r="N163" s="58"/>
      <c r="O163" s="58"/>
      <c r="P163" s="58"/>
      <c r="Q163" s="58"/>
      <c r="R163" s="58"/>
      <c r="S163" s="58"/>
      <c r="T163" s="58"/>
      <c r="U163" s="58"/>
      <c r="V163" s="59"/>
    </row>
    <row r="164" spans="13:22" x14ac:dyDescent="0.3">
      <c r="M164" s="58"/>
      <c r="N164" s="58"/>
      <c r="O164" s="58"/>
      <c r="P164" s="58"/>
      <c r="Q164" s="58"/>
      <c r="R164" s="58"/>
      <c r="S164" s="58"/>
      <c r="T164" s="58"/>
      <c r="U164" s="58"/>
      <c r="V164" s="59"/>
    </row>
    <row r="165" spans="13:22" x14ac:dyDescent="0.3">
      <c r="M165" s="58"/>
      <c r="N165" s="58"/>
      <c r="O165" s="58"/>
      <c r="P165" s="58"/>
      <c r="Q165" s="58"/>
      <c r="R165" s="58"/>
      <c r="S165" s="58"/>
      <c r="T165" s="58"/>
      <c r="U165" s="58"/>
      <c r="V165" s="59"/>
    </row>
    <row r="166" spans="13:22" x14ac:dyDescent="0.3">
      <c r="M166" s="58"/>
      <c r="N166" s="58"/>
      <c r="O166" s="58"/>
      <c r="P166" s="58"/>
      <c r="Q166" s="58"/>
      <c r="R166" s="58"/>
      <c r="S166" s="58"/>
      <c r="T166" s="58"/>
      <c r="U166" s="58"/>
      <c r="V166" s="59"/>
    </row>
    <row r="167" spans="13:22" x14ac:dyDescent="0.3">
      <c r="M167" s="58"/>
      <c r="N167" s="58"/>
      <c r="O167" s="58"/>
      <c r="P167" s="58"/>
      <c r="Q167" s="58"/>
      <c r="R167" s="58"/>
      <c r="S167" s="58"/>
      <c r="T167" s="58"/>
      <c r="U167" s="58"/>
      <c r="V167" s="59"/>
    </row>
    <row r="168" spans="13:22" x14ac:dyDescent="0.3">
      <c r="M168" s="58"/>
      <c r="N168" s="58"/>
      <c r="O168" s="58"/>
      <c r="P168" s="58"/>
      <c r="Q168" s="58"/>
      <c r="R168" s="58"/>
      <c r="S168" s="58"/>
      <c r="T168" s="58"/>
      <c r="U168" s="58"/>
      <c r="V168" s="59"/>
    </row>
    <row r="169" spans="13:22" x14ac:dyDescent="0.3">
      <c r="M169" s="58"/>
      <c r="N169" s="58"/>
      <c r="O169" s="58"/>
      <c r="P169" s="58"/>
      <c r="Q169" s="58"/>
      <c r="R169" s="58"/>
      <c r="S169" s="58"/>
      <c r="T169" s="58"/>
      <c r="U169" s="58"/>
      <c r="V169" s="59"/>
    </row>
    <row r="170" spans="13:22" x14ac:dyDescent="0.3">
      <c r="M170" s="58"/>
      <c r="N170" s="58"/>
      <c r="O170" s="58"/>
      <c r="P170" s="58"/>
      <c r="Q170" s="58"/>
      <c r="R170" s="58"/>
      <c r="S170" s="58"/>
      <c r="T170" s="58"/>
      <c r="U170" s="58"/>
      <c r="V170" s="59"/>
    </row>
    <row r="171" spans="13:22" x14ac:dyDescent="0.3">
      <c r="M171" s="58"/>
      <c r="N171" s="58"/>
      <c r="O171" s="58"/>
      <c r="P171" s="58"/>
      <c r="Q171" s="58"/>
      <c r="R171" s="58"/>
      <c r="S171" s="58"/>
      <c r="T171" s="58"/>
      <c r="U171" s="58"/>
      <c r="V171" s="59"/>
    </row>
    <row r="172" spans="13:22" x14ac:dyDescent="0.3">
      <c r="M172" s="58"/>
      <c r="N172" s="58"/>
      <c r="O172" s="58"/>
      <c r="P172" s="58"/>
      <c r="Q172" s="58"/>
      <c r="R172" s="58"/>
      <c r="S172" s="58"/>
      <c r="T172" s="58"/>
      <c r="U172" s="58"/>
      <c r="V172" s="59"/>
    </row>
    <row r="173" spans="13:22" x14ac:dyDescent="0.3">
      <c r="M173" s="58"/>
      <c r="N173" s="58"/>
      <c r="O173" s="58"/>
      <c r="P173" s="58"/>
      <c r="Q173" s="58"/>
      <c r="R173" s="58"/>
      <c r="S173" s="58"/>
      <c r="T173" s="58"/>
      <c r="U173" s="58"/>
      <c r="V173" s="59"/>
    </row>
    <row r="174" spans="13:22" x14ac:dyDescent="0.3">
      <c r="M174" s="58"/>
      <c r="N174" s="58"/>
      <c r="O174" s="58"/>
      <c r="P174" s="58"/>
      <c r="Q174" s="58"/>
      <c r="R174" s="58"/>
      <c r="S174" s="58"/>
      <c r="T174" s="58"/>
      <c r="U174" s="58"/>
      <c r="V174" s="59"/>
    </row>
    <row r="175" spans="13:22" x14ac:dyDescent="0.3">
      <c r="M175" s="58"/>
      <c r="N175" s="58"/>
      <c r="O175" s="58"/>
      <c r="P175" s="58"/>
      <c r="Q175" s="58"/>
      <c r="R175" s="58"/>
      <c r="S175" s="58"/>
      <c r="T175" s="58"/>
      <c r="U175" s="58"/>
      <c r="V175" s="59"/>
    </row>
    <row r="176" spans="13:22" x14ac:dyDescent="0.3">
      <c r="M176" s="58"/>
      <c r="N176" s="58"/>
      <c r="O176" s="58"/>
      <c r="P176" s="58"/>
      <c r="Q176" s="58"/>
      <c r="R176" s="58"/>
      <c r="S176" s="58"/>
      <c r="T176" s="58"/>
      <c r="U176" s="58"/>
      <c r="V176" s="59"/>
    </row>
    <row r="177" spans="13:22" x14ac:dyDescent="0.3">
      <c r="M177" s="58"/>
      <c r="N177" s="58"/>
      <c r="O177" s="58"/>
      <c r="P177" s="58"/>
      <c r="Q177" s="58"/>
      <c r="R177" s="58"/>
      <c r="S177" s="58"/>
      <c r="T177" s="58"/>
      <c r="U177" s="58"/>
      <c r="V177" s="59"/>
    </row>
    <row r="178" spans="13:22" x14ac:dyDescent="0.3">
      <c r="M178" s="58"/>
      <c r="N178" s="58"/>
      <c r="O178" s="58"/>
      <c r="P178" s="58"/>
      <c r="Q178" s="58"/>
      <c r="R178" s="58"/>
      <c r="S178" s="58"/>
      <c r="T178" s="58"/>
      <c r="U178" s="58"/>
      <c r="V178" s="59"/>
    </row>
    <row r="179" spans="13:22" x14ac:dyDescent="0.3">
      <c r="M179" s="58"/>
      <c r="N179" s="58"/>
      <c r="O179" s="58"/>
      <c r="P179" s="58"/>
      <c r="Q179" s="58"/>
      <c r="R179" s="58"/>
      <c r="S179" s="58"/>
      <c r="T179" s="58"/>
      <c r="U179" s="58"/>
      <c r="V179" s="59"/>
    </row>
    <row r="180" spans="13:22" x14ac:dyDescent="0.3">
      <c r="M180" s="58"/>
      <c r="N180" s="58"/>
      <c r="O180" s="58"/>
      <c r="P180" s="58"/>
      <c r="Q180" s="58"/>
      <c r="R180" s="58"/>
      <c r="S180" s="58"/>
      <c r="T180" s="58"/>
      <c r="U180" s="58"/>
      <c r="V180" s="59"/>
    </row>
    <row r="181" spans="13:22" x14ac:dyDescent="0.3">
      <c r="M181" s="58"/>
      <c r="N181" s="58"/>
      <c r="O181" s="58"/>
      <c r="P181" s="58"/>
      <c r="Q181" s="58"/>
      <c r="R181" s="58"/>
      <c r="S181" s="58"/>
      <c r="T181" s="58"/>
      <c r="U181" s="58"/>
      <c r="V181" s="59"/>
    </row>
    <row r="182" spans="13:22" x14ac:dyDescent="0.3">
      <c r="M182" s="58"/>
      <c r="N182" s="58"/>
      <c r="O182" s="58"/>
      <c r="P182" s="58"/>
      <c r="Q182" s="58"/>
      <c r="R182" s="58"/>
      <c r="S182" s="58"/>
      <c r="T182" s="58"/>
      <c r="U182" s="58"/>
      <c r="V182" s="59"/>
    </row>
    <row r="183" spans="13:22" x14ac:dyDescent="0.3">
      <c r="M183" s="58"/>
      <c r="N183" s="58"/>
      <c r="O183" s="58"/>
      <c r="P183" s="58"/>
      <c r="Q183" s="58"/>
      <c r="R183" s="58"/>
      <c r="S183" s="58"/>
      <c r="T183" s="58"/>
      <c r="U183" s="58"/>
      <c r="V183" s="59"/>
    </row>
    <row r="184" spans="13:22" x14ac:dyDescent="0.3">
      <c r="M184" s="58"/>
      <c r="N184" s="58"/>
      <c r="O184" s="58"/>
      <c r="P184" s="58"/>
      <c r="Q184" s="58"/>
      <c r="R184" s="58"/>
      <c r="S184" s="58"/>
      <c r="T184" s="58"/>
      <c r="U184" s="58"/>
      <c r="V184" s="59"/>
    </row>
    <row r="185" spans="13:22" x14ac:dyDescent="0.3">
      <c r="M185" s="58"/>
      <c r="N185" s="58"/>
      <c r="O185" s="58"/>
      <c r="P185" s="58"/>
      <c r="Q185" s="58"/>
      <c r="R185" s="58"/>
      <c r="S185" s="58"/>
      <c r="T185" s="58"/>
      <c r="U185" s="58"/>
      <c r="V185" s="59"/>
    </row>
    <row r="186" spans="13:22" x14ac:dyDescent="0.3">
      <c r="M186" s="58"/>
      <c r="N186" s="58"/>
      <c r="O186" s="58"/>
      <c r="P186" s="58"/>
      <c r="Q186" s="58"/>
      <c r="R186" s="58"/>
      <c r="S186" s="58"/>
      <c r="T186" s="58"/>
      <c r="U186" s="58"/>
      <c r="V186" s="59"/>
    </row>
    <row r="187" spans="13:22" x14ac:dyDescent="0.3">
      <c r="M187" s="58"/>
      <c r="N187" s="58"/>
      <c r="O187" s="58"/>
      <c r="P187" s="58"/>
      <c r="Q187" s="58"/>
      <c r="R187" s="58"/>
      <c r="S187" s="58"/>
      <c r="T187" s="58"/>
      <c r="U187" s="58"/>
      <c r="V187" s="59"/>
    </row>
    <row r="188" spans="13:22" x14ac:dyDescent="0.3">
      <c r="M188" s="58"/>
      <c r="N188" s="58"/>
      <c r="O188" s="58"/>
      <c r="P188" s="58"/>
      <c r="Q188" s="58"/>
      <c r="R188" s="58"/>
      <c r="S188" s="58"/>
      <c r="T188" s="58"/>
      <c r="U188" s="58"/>
      <c r="V188" s="59"/>
    </row>
    <row r="189" spans="13:22" x14ac:dyDescent="0.3">
      <c r="M189" s="58"/>
      <c r="N189" s="58"/>
      <c r="O189" s="58"/>
      <c r="P189" s="58"/>
      <c r="Q189" s="58"/>
      <c r="R189" s="58"/>
      <c r="S189" s="58"/>
      <c r="T189" s="58"/>
      <c r="U189" s="58"/>
      <c r="V189" s="59"/>
    </row>
    <row r="190" spans="13:22" x14ac:dyDescent="0.3">
      <c r="M190" s="58"/>
      <c r="N190" s="58"/>
      <c r="O190" s="58"/>
      <c r="P190" s="58"/>
      <c r="Q190" s="58"/>
      <c r="R190" s="58"/>
      <c r="S190" s="58"/>
      <c r="T190" s="58"/>
      <c r="U190" s="58"/>
      <c r="V190" s="59"/>
    </row>
    <row r="191" spans="13:22" x14ac:dyDescent="0.3">
      <c r="M191" s="58"/>
      <c r="N191" s="58"/>
      <c r="O191" s="58"/>
      <c r="P191" s="58"/>
      <c r="Q191" s="58"/>
      <c r="R191" s="58"/>
      <c r="S191" s="58"/>
      <c r="T191" s="58"/>
      <c r="U191" s="58"/>
      <c r="V191" s="59"/>
    </row>
    <row r="192" spans="13:22" x14ac:dyDescent="0.3">
      <c r="M192" s="58"/>
      <c r="N192" s="58"/>
      <c r="O192" s="58"/>
      <c r="P192" s="58"/>
      <c r="Q192" s="58"/>
      <c r="R192" s="58"/>
      <c r="S192" s="58"/>
      <c r="T192" s="58"/>
      <c r="U192" s="58"/>
      <c r="V192" s="59"/>
    </row>
    <row r="193" spans="13:22" x14ac:dyDescent="0.3">
      <c r="M193" s="58"/>
      <c r="N193" s="58"/>
      <c r="O193" s="58"/>
      <c r="P193" s="58"/>
      <c r="Q193" s="58"/>
      <c r="R193" s="58"/>
      <c r="S193" s="58"/>
      <c r="T193" s="58"/>
      <c r="U193" s="58"/>
      <c r="V193" s="59"/>
    </row>
    <row r="194" spans="13:22" x14ac:dyDescent="0.3">
      <c r="M194" s="58"/>
      <c r="N194" s="58"/>
      <c r="O194" s="58"/>
      <c r="P194" s="58"/>
      <c r="Q194" s="58"/>
      <c r="R194" s="58"/>
      <c r="S194" s="58"/>
      <c r="T194" s="58"/>
      <c r="U194" s="58"/>
      <c r="V194" s="59"/>
    </row>
    <row r="195" spans="13:22" x14ac:dyDescent="0.3">
      <c r="M195" s="58"/>
      <c r="N195" s="58"/>
      <c r="O195" s="58"/>
      <c r="P195" s="58"/>
      <c r="Q195" s="58"/>
      <c r="R195" s="58"/>
      <c r="S195" s="58"/>
      <c r="T195" s="58"/>
      <c r="U195" s="58"/>
      <c r="V195" s="59"/>
    </row>
    <row r="196" spans="13:22" x14ac:dyDescent="0.3">
      <c r="M196" s="58"/>
      <c r="N196" s="58"/>
      <c r="O196" s="58"/>
      <c r="P196" s="58"/>
      <c r="Q196" s="58"/>
      <c r="R196" s="58"/>
      <c r="S196" s="58"/>
      <c r="T196" s="58"/>
      <c r="U196" s="58"/>
      <c r="V196" s="59"/>
    </row>
    <row r="197" spans="13:22" x14ac:dyDescent="0.3">
      <c r="M197" s="58"/>
      <c r="N197" s="58"/>
      <c r="O197" s="58"/>
      <c r="P197" s="58"/>
      <c r="Q197" s="58"/>
      <c r="R197" s="58"/>
      <c r="S197" s="58"/>
      <c r="T197" s="58"/>
      <c r="U197" s="58"/>
      <c r="V197" s="59"/>
    </row>
    <row r="198" spans="13:22" x14ac:dyDescent="0.3">
      <c r="M198" s="58"/>
      <c r="N198" s="58"/>
      <c r="O198" s="58"/>
      <c r="P198" s="58"/>
      <c r="Q198" s="58"/>
      <c r="R198" s="58"/>
      <c r="S198" s="58"/>
      <c r="T198" s="58"/>
      <c r="U198" s="58"/>
      <c r="V198" s="59"/>
    </row>
    <row r="199" spans="13:22" x14ac:dyDescent="0.3">
      <c r="M199" s="58"/>
      <c r="N199" s="58"/>
      <c r="O199" s="58"/>
      <c r="P199" s="58"/>
      <c r="Q199" s="58"/>
      <c r="R199" s="58"/>
      <c r="S199" s="58"/>
      <c r="T199" s="58"/>
      <c r="U199" s="58"/>
      <c r="V199" s="59"/>
    </row>
    <row r="200" spans="13:22" x14ac:dyDescent="0.3">
      <c r="M200" s="58"/>
      <c r="N200" s="58"/>
      <c r="O200" s="58"/>
      <c r="P200" s="58"/>
      <c r="Q200" s="58"/>
      <c r="R200" s="58"/>
      <c r="S200" s="58"/>
      <c r="T200" s="58"/>
      <c r="U200" s="58"/>
      <c r="V200" s="59"/>
    </row>
  </sheetData>
  <mergeCells count="3">
    <mergeCell ref="M6:O6"/>
    <mergeCell ref="P6:Q6"/>
    <mergeCell ref="R6:U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Roll Up</vt:lpstr>
      <vt:lpstr>Target</vt:lpstr>
      <vt:lpstr>Export</vt:lpstr>
      <vt:lpstr>Risk</vt:lpstr>
      <vt:lpstr>ATA2100</vt:lpstr>
      <vt:lpstr>ATA2200</vt:lpstr>
      <vt:lpstr>ATA2400LV</vt:lpstr>
      <vt:lpstr>ATA2400HV</vt:lpstr>
      <vt:lpstr>ATA2500</vt:lpstr>
      <vt:lpstr>ATA2700</vt:lpstr>
      <vt:lpstr>ATA2800</vt:lpstr>
      <vt:lpstr>ATA2900</vt:lpstr>
      <vt:lpstr>ATA3200</vt:lpstr>
      <vt:lpstr>ATA3300</vt:lpstr>
      <vt:lpstr>ATA5200</vt:lpstr>
      <vt:lpstr>ATA5300</vt:lpstr>
      <vt:lpstr>ATA5500</vt:lpstr>
      <vt:lpstr>ATA5600</vt:lpstr>
      <vt:lpstr>ATA5700</vt:lpstr>
      <vt:lpstr>ATA7100</vt:lpstr>
      <vt:lpstr>ATA7100T</vt:lpstr>
      <vt:lpstr>ATA2300</vt:lpstr>
      <vt:lpstr>ATA2600</vt:lpstr>
      <vt:lpstr>ATA3000</vt:lpstr>
      <vt:lpstr>ATA3100</vt:lpstr>
      <vt:lpstr>ATA3400</vt:lpstr>
      <vt:lpstr>ATA3500</vt:lpstr>
      <vt:lpstr>ATA3600</vt:lpstr>
      <vt:lpstr>ATA3800</vt:lpstr>
      <vt:lpstr>ATA7300</vt:lpstr>
      <vt:lpstr>ATA7500</vt:lpstr>
      <vt:lpstr>ATA7800</vt:lpstr>
      <vt:lpstr>ATA8000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2026-05-17T15:45:53Z</dcterms:modified>
</cp:coreProperties>
</file>