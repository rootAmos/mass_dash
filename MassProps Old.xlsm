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anderAmos\Documents\AstroM\mass\"/>
    </mc:Choice>
  </mc:AlternateContent>
  <xr:revisionPtr revIDLastSave="0" documentId="13_ncr:1_{228C1857-19F7-407E-9DF0-F43824957181}" xr6:coauthVersionLast="47" xr6:coauthVersionMax="47" xr10:uidLastSave="{00000000-0000-0000-0000-000000000000}"/>
  <bookViews>
    <workbookView xWindow="-28920" yWindow="-120" windowWidth="29040" windowHeight="15720" activeTab="2" xr2:uid="{66D9863A-341A-4414-9E11-CCEB7DF8B0DA}"/>
  </bookViews>
  <sheets>
    <sheet name="Roll Up" sheetId="1" r:id="rId1"/>
    <sheet name="Target" sheetId="4" r:id="rId2"/>
    <sheet name="Export" sheetId="3" r:id="rId3"/>
    <sheet name="Risk" sheetId="6" r:id="rId4"/>
    <sheet name="Structure" sheetId="52" r:id="rId5"/>
    <sheet name="Mechanical" sheetId="53" r:id="rId6"/>
    <sheet name="Electrical" sheetId="54" r:id="rId7"/>
    <sheet name="Avionics" sheetId="55" r:id="rId8"/>
    <sheet name="Powerplant" sheetId="56" r:id="rId9"/>
    <sheet name="Interior" sheetId="57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V63" i="56" l="1"/>
  <c r="E63" i="56"/>
  <c r="V62" i="56"/>
  <c r="E62" i="56"/>
  <c r="V61" i="56"/>
  <c r="E61" i="56"/>
  <c r="V60" i="56"/>
  <c r="E60" i="56"/>
  <c r="V59" i="56"/>
  <c r="E59" i="56"/>
  <c r="V58" i="56"/>
  <c r="E58" i="56"/>
  <c r="V57" i="56"/>
  <c r="E57" i="56"/>
  <c r="V56" i="56"/>
  <c r="E56" i="56"/>
  <c r="V55" i="56"/>
  <c r="E55" i="56"/>
  <c r="V54" i="56"/>
  <c r="E54" i="56"/>
  <c r="V53" i="56"/>
  <c r="E53" i="56"/>
  <c r="V52" i="56"/>
  <c r="E52" i="56"/>
  <c r="V51" i="56"/>
  <c r="E51" i="56"/>
  <c r="V50" i="56"/>
  <c r="E50" i="56"/>
  <c r="V49" i="56"/>
  <c r="E49" i="56"/>
  <c r="V48" i="56"/>
  <c r="E48" i="56"/>
  <c r="V47" i="56"/>
  <c r="E47" i="56"/>
  <c r="V46" i="56"/>
  <c r="E46" i="56"/>
  <c r="V45" i="56"/>
  <c r="E45" i="56"/>
  <c r="V44" i="56"/>
  <c r="E44" i="56"/>
  <c r="V43" i="56"/>
  <c r="E43" i="56"/>
  <c r="V42" i="56"/>
  <c r="E42" i="56"/>
  <c r="V41" i="56"/>
  <c r="E41" i="56"/>
  <c r="V40" i="56"/>
  <c r="E40" i="56"/>
  <c r="V39" i="56"/>
  <c r="E39" i="56"/>
  <c r="V38" i="56"/>
  <c r="E38" i="56"/>
  <c r="V37" i="56"/>
  <c r="E37" i="56"/>
  <c r="V36" i="56"/>
  <c r="E36" i="56"/>
  <c r="V35" i="56"/>
  <c r="E35" i="56"/>
  <c r="V34" i="56"/>
  <c r="E34" i="56"/>
  <c r="V33" i="56"/>
  <c r="E33" i="56"/>
  <c r="V32" i="56"/>
  <c r="E32" i="56"/>
  <c r="V31" i="56"/>
  <c r="E31" i="56"/>
  <c r="V30" i="56"/>
  <c r="E30" i="56"/>
  <c r="V29" i="56"/>
  <c r="E29" i="56"/>
  <c r="V28" i="56"/>
  <c r="E28" i="56"/>
  <c r="V27" i="56"/>
  <c r="E27" i="56"/>
  <c r="V26" i="56"/>
  <c r="E26" i="56"/>
  <c r="V25" i="56"/>
  <c r="E25" i="56"/>
  <c r="V24" i="56"/>
  <c r="E24" i="56"/>
  <c r="V23" i="56"/>
  <c r="E23" i="56"/>
  <c r="V22" i="56"/>
  <c r="E22" i="56"/>
  <c r="V21" i="56"/>
  <c r="E21" i="56"/>
  <c r="V20" i="56"/>
  <c r="E20" i="56"/>
  <c r="V19" i="56"/>
  <c r="E19" i="56"/>
  <c r="V18" i="56"/>
  <c r="E18" i="56"/>
  <c r="V17" i="56"/>
  <c r="E17" i="56"/>
  <c r="V16" i="56"/>
  <c r="E16" i="56"/>
  <c r="V15" i="56"/>
  <c r="E15" i="56"/>
  <c r="V14" i="56"/>
  <c r="E14" i="56"/>
  <c r="V13" i="56"/>
  <c r="E13" i="56"/>
  <c r="V12" i="56"/>
  <c r="E12" i="56"/>
  <c r="V11" i="56"/>
  <c r="E11" i="56"/>
  <c r="V10" i="56"/>
  <c r="E10" i="56"/>
  <c r="V9" i="56"/>
  <c r="E9" i="56"/>
  <c r="G48" i="1"/>
  <c r="M6" i="6"/>
  <c r="V32" i="57"/>
  <c r="V33" i="57"/>
  <c r="V34" i="57"/>
  <c r="V35" i="57"/>
  <c r="E32" i="57"/>
  <c r="E33" i="57"/>
  <c r="E34" i="57"/>
  <c r="E35" i="57"/>
  <c r="V9" i="57"/>
  <c r="V10" i="57"/>
  <c r="V11" i="57"/>
  <c r="V12" i="57"/>
  <c r="V13" i="57"/>
  <c r="V14" i="57"/>
  <c r="V15" i="57"/>
  <c r="E9" i="57"/>
  <c r="E10" i="57"/>
  <c r="E11" i="57"/>
  <c r="E12" i="57"/>
  <c r="E13" i="57"/>
  <c r="E14" i="57"/>
  <c r="E15" i="57"/>
  <c r="V121" i="56"/>
  <c r="V122" i="56"/>
  <c r="V123" i="56"/>
  <c r="E121" i="56"/>
  <c r="E122" i="56"/>
  <c r="E123" i="56"/>
  <c r="V102" i="56"/>
  <c r="V103" i="56"/>
  <c r="V104" i="56"/>
  <c r="E102" i="56"/>
  <c r="E103" i="56"/>
  <c r="E104" i="56"/>
  <c r="V81" i="56"/>
  <c r="V82" i="56"/>
  <c r="V83" i="56"/>
  <c r="V84" i="56"/>
  <c r="V85" i="56"/>
  <c r="E81" i="56"/>
  <c r="E82" i="56"/>
  <c r="E83" i="56"/>
  <c r="E84" i="56"/>
  <c r="E85" i="56"/>
  <c r="V67" i="55"/>
  <c r="V68" i="55"/>
  <c r="V69" i="55"/>
  <c r="V70" i="55"/>
  <c r="V71" i="55"/>
  <c r="E67" i="55"/>
  <c r="E77" i="55" s="1"/>
  <c r="F77" i="55" s="1"/>
  <c r="E68" i="55"/>
  <c r="E69" i="55"/>
  <c r="E70" i="55"/>
  <c r="E71" i="55"/>
  <c r="V46" i="55"/>
  <c r="V47" i="55"/>
  <c r="V48" i="55"/>
  <c r="V49" i="55"/>
  <c r="V50" i="55"/>
  <c r="E46" i="55"/>
  <c r="E47" i="55"/>
  <c r="E48" i="55"/>
  <c r="E49" i="55"/>
  <c r="E50" i="55"/>
  <c r="V27" i="55"/>
  <c r="V28" i="55"/>
  <c r="V29" i="55"/>
  <c r="E27" i="55"/>
  <c r="E28" i="55"/>
  <c r="E29" i="55"/>
  <c r="V9" i="55"/>
  <c r="V10" i="55"/>
  <c r="E9" i="55"/>
  <c r="E10" i="55"/>
  <c r="V50" i="54"/>
  <c r="V51" i="54"/>
  <c r="V52" i="54"/>
  <c r="V53" i="54"/>
  <c r="V54" i="54"/>
  <c r="E50" i="54"/>
  <c r="E51" i="54"/>
  <c r="E52" i="54"/>
  <c r="E53" i="54"/>
  <c r="E54" i="54"/>
  <c r="V29" i="54"/>
  <c r="V30" i="54"/>
  <c r="V31" i="54"/>
  <c r="V32" i="54"/>
  <c r="V33" i="54"/>
  <c r="E29" i="54"/>
  <c r="E30" i="54"/>
  <c r="E31" i="54"/>
  <c r="E32" i="54"/>
  <c r="E33" i="54"/>
  <c r="V9" i="54"/>
  <c r="V10" i="54"/>
  <c r="V11" i="54"/>
  <c r="V12" i="54"/>
  <c r="E9" i="54"/>
  <c r="E10" i="54"/>
  <c r="E11" i="54"/>
  <c r="E12" i="54"/>
  <c r="V151" i="53"/>
  <c r="V152" i="53"/>
  <c r="V153" i="53"/>
  <c r="E151" i="53"/>
  <c r="E152" i="53"/>
  <c r="E153" i="53"/>
  <c r="V132" i="53"/>
  <c r="V133" i="53"/>
  <c r="V134" i="53"/>
  <c r="E132" i="53"/>
  <c r="E133" i="53"/>
  <c r="E134" i="53"/>
  <c r="V113" i="53"/>
  <c r="V114" i="53"/>
  <c r="V115" i="53"/>
  <c r="E113" i="53"/>
  <c r="E114" i="53"/>
  <c r="E115" i="53"/>
  <c r="V93" i="53"/>
  <c r="V94" i="53"/>
  <c r="V95" i="53"/>
  <c r="V96" i="53"/>
  <c r="E93" i="53"/>
  <c r="E94" i="53"/>
  <c r="E95" i="53"/>
  <c r="E96" i="53"/>
  <c r="V73" i="53"/>
  <c r="V74" i="53"/>
  <c r="V75" i="53"/>
  <c r="V76" i="53"/>
  <c r="E73" i="53"/>
  <c r="E74" i="53"/>
  <c r="E75" i="53"/>
  <c r="E76" i="53"/>
  <c r="V51" i="53"/>
  <c r="V52" i="53"/>
  <c r="V53" i="53"/>
  <c r="V54" i="53"/>
  <c r="V55" i="53"/>
  <c r="V56" i="53"/>
  <c r="E51" i="53"/>
  <c r="E52" i="53"/>
  <c r="E53" i="53"/>
  <c r="E54" i="53"/>
  <c r="E55" i="53"/>
  <c r="E56" i="53"/>
  <c r="V29" i="53"/>
  <c r="V30" i="53"/>
  <c r="V31" i="53"/>
  <c r="V32" i="53"/>
  <c r="V33" i="53"/>
  <c r="V34" i="53"/>
  <c r="E29" i="53"/>
  <c r="E30" i="53"/>
  <c r="E31" i="53"/>
  <c r="E32" i="53"/>
  <c r="E33" i="53"/>
  <c r="E34" i="53"/>
  <c r="V9" i="53"/>
  <c r="V10" i="53"/>
  <c r="V11" i="53"/>
  <c r="V12" i="53"/>
  <c r="E9" i="53"/>
  <c r="E10" i="53"/>
  <c r="E11" i="53"/>
  <c r="E12" i="53"/>
  <c r="V125" i="52"/>
  <c r="V126" i="52"/>
  <c r="V127" i="52"/>
  <c r="V128" i="52"/>
  <c r="E125" i="52"/>
  <c r="E126" i="52"/>
  <c r="E127" i="52"/>
  <c r="E128" i="52"/>
  <c r="E114" i="52"/>
  <c r="G114" i="52" s="1"/>
  <c r="V97" i="52"/>
  <c r="V98" i="52"/>
  <c r="V99" i="52"/>
  <c r="V100" i="52"/>
  <c r="V101" i="52"/>
  <c r="V102" i="52"/>
  <c r="V103" i="52"/>
  <c r="V104" i="52"/>
  <c r="V105" i="52"/>
  <c r="V106" i="52"/>
  <c r="V107" i="52"/>
  <c r="V108" i="52"/>
  <c r="E97" i="52"/>
  <c r="E98" i="52"/>
  <c r="E99" i="52"/>
  <c r="E100" i="52"/>
  <c r="E101" i="52"/>
  <c r="E102" i="52"/>
  <c r="E103" i="52"/>
  <c r="E104" i="52"/>
  <c r="E105" i="52"/>
  <c r="E106" i="52"/>
  <c r="E107" i="52"/>
  <c r="E108" i="52"/>
  <c r="V78" i="52"/>
  <c r="V79" i="52"/>
  <c r="V80" i="52"/>
  <c r="E78" i="52"/>
  <c r="E79" i="52"/>
  <c r="E80" i="52"/>
  <c r="V55" i="52"/>
  <c r="V56" i="52"/>
  <c r="V57" i="52"/>
  <c r="V58" i="52"/>
  <c r="V59" i="52"/>
  <c r="V60" i="52"/>
  <c r="V61" i="52"/>
  <c r="E55" i="52"/>
  <c r="E56" i="52"/>
  <c r="E57" i="52"/>
  <c r="E58" i="52"/>
  <c r="E59" i="52"/>
  <c r="E60" i="52"/>
  <c r="E61" i="52"/>
  <c r="V28" i="52"/>
  <c r="V29" i="52"/>
  <c r="V30" i="52"/>
  <c r="V31" i="52"/>
  <c r="V32" i="52"/>
  <c r="V33" i="52"/>
  <c r="V34" i="52"/>
  <c r="V35" i="52"/>
  <c r="V36" i="52"/>
  <c r="V37" i="52"/>
  <c r="V38" i="52"/>
  <c r="E28" i="52"/>
  <c r="E29" i="52"/>
  <c r="E30" i="52"/>
  <c r="E31" i="52"/>
  <c r="E32" i="52"/>
  <c r="E33" i="52"/>
  <c r="E34" i="52"/>
  <c r="E35" i="52"/>
  <c r="E36" i="52"/>
  <c r="E37" i="52"/>
  <c r="E38" i="52"/>
  <c r="V9" i="52"/>
  <c r="V10" i="52"/>
  <c r="V11" i="52"/>
  <c r="E9" i="52"/>
  <c r="E10" i="52"/>
  <c r="E11" i="52"/>
  <c r="D40" i="3"/>
  <c r="C39" i="3"/>
  <c r="D38" i="3"/>
  <c r="C37" i="3"/>
  <c r="D36" i="3"/>
  <c r="C35" i="3"/>
  <c r="D34" i="3"/>
  <c r="C33" i="3"/>
  <c r="D32" i="3"/>
  <c r="M11" i="6"/>
  <c r="M10" i="6"/>
  <c r="O10" i="6"/>
  <c r="M9" i="6"/>
  <c r="M7" i="6"/>
  <c r="P28" i="3"/>
  <c r="O28" i="3"/>
  <c r="E28" i="3"/>
  <c r="B28" i="3"/>
  <c r="A28" i="3"/>
  <c r="P27" i="3"/>
  <c r="O27" i="3"/>
  <c r="E27" i="3"/>
  <c r="B27" i="3"/>
  <c r="A27" i="3"/>
  <c r="P26" i="3"/>
  <c r="O26" i="3"/>
  <c r="E26" i="3"/>
  <c r="B26" i="3"/>
  <c r="A26" i="3"/>
  <c r="P25" i="3"/>
  <c r="O25" i="3"/>
  <c r="E25" i="3"/>
  <c r="B25" i="3"/>
  <c r="A25" i="3"/>
  <c r="P24" i="3"/>
  <c r="O24" i="3"/>
  <c r="E24" i="3"/>
  <c r="B24" i="3"/>
  <c r="A24" i="3"/>
  <c r="P23" i="3"/>
  <c r="O23" i="3"/>
  <c r="E23" i="3"/>
  <c r="B23" i="3"/>
  <c r="A23" i="3"/>
  <c r="P22" i="3"/>
  <c r="O22" i="3"/>
  <c r="E22" i="3"/>
  <c r="B22" i="3"/>
  <c r="A22" i="3"/>
  <c r="P21" i="3"/>
  <c r="O21" i="3"/>
  <c r="E21" i="3"/>
  <c r="B21" i="3"/>
  <c r="A21" i="3"/>
  <c r="P20" i="3"/>
  <c r="O20" i="3"/>
  <c r="E20" i="3"/>
  <c r="B20" i="3"/>
  <c r="A20" i="3"/>
  <c r="P19" i="3"/>
  <c r="O19" i="3"/>
  <c r="E19" i="3"/>
  <c r="B19" i="3"/>
  <c r="A19" i="3"/>
  <c r="P18" i="3"/>
  <c r="O18" i="3"/>
  <c r="E18" i="3"/>
  <c r="B18" i="3"/>
  <c r="A18" i="3"/>
  <c r="P17" i="3"/>
  <c r="O17" i="3"/>
  <c r="E17" i="3"/>
  <c r="B17" i="3"/>
  <c r="A17" i="3"/>
  <c r="P16" i="3"/>
  <c r="O16" i="3"/>
  <c r="E16" i="3"/>
  <c r="B16" i="3"/>
  <c r="A16" i="3"/>
  <c r="P15" i="3"/>
  <c r="O15" i="3"/>
  <c r="E15" i="3"/>
  <c r="B15" i="3"/>
  <c r="A15" i="3"/>
  <c r="P14" i="3"/>
  <c r="O14" i="3"/>
  <c r="E14" i="3"/>
  <c r="B14" i="3"/>
  <c r="A14" i="3"/>
  <c r="P13" i="3"/>
  <c r="O13" i="3"/>
  <c r="E13" i="3"/>
  <c r="B13" i="3"/>
  <c r="A13" i="3"/>
  <c r="P12" i="3"/>
  <c r="O12" i="3"/>
  <c r="E12" i="3"/>
  <c r="B12" i="3"/>
  <c r="A12" i="3"/>
  <c r="P11" i="3"/>
  <c r="O11" i="3"/>
  <c r="E11" i="3"/>
  <c r="B11" i="3"/>
  <c r="A11" i="3"/>
  <c r="P10" i="3"/>
  <c r="O10" i="3"/>
  <c r="E10" i="3"/>
  <c r="B10" i="3"/>
  <c r="A10" i="3"/>
  <c r="P9" i="3"/>
  <c r="O9" i="3"/>
  <c r="E9" i="3"/>
  <c r="B9" i="3"/>
  <c r="A9" i="3"/>
  <c r="P8" i="3"/>
  <c r="O8" i="3"/>
  <c r="E8" i="3"/>
  <c r="B8" i="3"/>
  <c r="A8" i="3"/>
  <c r="P7" i="3"/>
  <c r="O7" i="3"/>
  <c r="E7" i="3"/>
  <c r="B7" i="3"/>
  <c r="A7" i="3"/>
  <c r="P6" i="3"/>
  <c r="O6" i="3"/>
  <c r="E6" i="3"/>
  <c r="B6" i="3"/>
  <c r="A6" i="3"/>
  <c r="P5" i="3"/>
  <c r="O5" i="3"/>
  <c r="E5" i="3"/>
  <c r="B5" i="3"/>
  <c r="A5" i="3"/>
  <c r="P4" i="3"/>
  <c r="O4" i="3"/>
  <c r="E4" i="3"/>
  <c r="B4" i="3"/>
  <c r="A4" i="3"/>
  <c r="P3" i="3"/>
  <c r="O3" i="3"/>
  <c r="E3" i="3"/>
  <c r="B3" i="3"/>
  <c r="A3" i="3"/>
  <c r="P2" i="3"/>
  <c r="O2" i="3"/>
  <c r="E2" i="3"/>
  <c r="B2" i="3"/>
  <c r="A2" i="3"/>
  <c r="N49" i="1"/>
  <c r="N45" i="1"/>
  <c r="N39" i="1"/>
  <c r="N33" i="1"/>
  <c r="N28" i="1"/>
  <c r="N18" i="1"/>
  <c r="E16" i="55" l="1"/>
  <c r="F16" i="55" s="1"/>
  <c r="E102" i="53"/>
  <c r="C24" i="1" s="1"/>
  <c r="E40" i="53"/>
  <c r="C21" i="1" s="1"/>
  <c r="C13" i="6" s="1"/>
  <c r="I39" i="54"/>
  <c r="K31" i="1" s="1"/>
  <c r="E91" i="56"/>
  <c r="H91" i="56" s="1"/>
  <c r="E56" i="55"/>
  <c r="G56" i="55" s="1"/>
  <c r="E37" i="1" s="1"/>
  <c r="H21" i="3" s="1"/>
  <c r="I16" i="55"/>
  <c r="J35" i="1" s="1"/>
  <c r="M19" i="3" s="1"/>
  <c r="E140" i="53"/>
  <c r="H140" i="53" s="1"/>
  <c r="E121" i="53"/>
  <c r="D110" i="53" s="1"/>
  <c r="C26" i="1"/>
  <c r="C18" i="6" s="1"/>
  <c r="D129" i="53"/>
  <c r="C42" i="1"/>
  <c r="O42" i="1" s="1"/>
  <c r="F24" i="3" s="1"/>
  <c r="D64" i="55"/>
  <c r="I67" i="52"/>
  <c r="H52" i="52" s="1"/>
  <c r="I121" i="53"/>
  <c r="J25" i="1" s="1"/>
  <c r="E62" i="53"/>
  <c r="F62" i="53" s="1"/>
  <c r="E86" i="52"/>
  <c r="D75" i="52" s="1"/>
  <c r="I134" i="52"/>
  <c r="H122" i="52" s="1"/>
  <c r="I102" i="53"/>
  <c r="I18" i="54"/>
  <c r="H6" i="54" s="1"/>
  <c r="H21" i="57"/>
  <c r="F47" i="1" s="1"/>
  <c r="I27" i="3" s="1"/>
  <c r="I56" i="55"/>
  <c r="K37" i="1" s="1"/>
  <c r="N21" i="3" s="1"/>
  <c r="I21" i="57"/>
  <c r="K47" i="1" s="1"/>
  <c r="N27" i="3" s="1"/>
  <c r="E18" i="54"/>
  <c r="D6" i="54" s="1"/>
  <c r="E17" i="52"/>
  <c r="C12" i="1" s="1"/>
  <c r="I35" i="55"/>
  <c r="I24" i="55" s="1"/>
  <c r="I82" i="53"/>
  <c r="H70" i="53" s="1"/>
  <c r="I41" i="57"/>
  <c r="H29" i="57" s="1"/>
  <c r="I110" i="56"/>
  <c r="H99" i="56" s="1"/>
  <c r="H77" i="55"/>
  <c r="F38" i="1" s="1"/>
  <c r="I22" i="3" s="1"/>
  <c r="I40" i="53"/>
  <c r="I26" i="53" s="1"/>
  <c r="H102" i="53"/>
  <c r="G90" i="53" s="1"/>
  <c r="I114" i="52"/>
  <c r="I94" i="52" s="1"/>
  <c r="I44" i="52"/>
  <c r="E159" i="53"/>
  <c r="D148" i="53" s="1"/>
  <c r="D90" i="53"/>
  <c r="E44" i="52"/>
  <c r="G44" i="52" s="1"/>
  <c r="I18" i="53"/>
  <c r="I6" i="53" s="1"/>
  <c r="I60" i="54"/>
  <c r="F140" i="53"/>
  <c r="D26" i="1" s="1"/>
  <c r="G14" i="3" s="1"/>
  <c r="G102" i="53"/>
  <c r="E24" i="1" s="1"/>
  <c r="H12" i="3" s="1"/>
  <c r="E21" i="57"/>
  <c r="F21" i="57" s="1"/>
  <c r="I91" i="56"/>
  <c r="H78" i="56" s="1"/>
  <c r="I159" i="53"/>
  <c r="I148" i="53" s="1"/>
  <c r="G16" i="55"/>
  <c r="E35" i="1" s="1"/>
  <c r="H19" i="3" s="1"/>
  <c r="H16" i="55"/>
  <c r="F35" i="1" s="1"/>
  <c r="I19" i="3" s="1"/>
  <c r="I129" i="56"/>
  <c r="J44" i="1" s="1"/>
  <c r="D6" i="55"/>
  <c r="F102" i="53"/>
  <c r="D24" i="1" s="1"/>
  <c r="G12" i="3" s="1"/>
  <c r="I17" i="52"/>
  <c r="K12" i="1" s="1"/>
  <c r="N2" i="3" s="1"/>
  <c r="D26" i="53"/>
  <c r="I140" i="53"/>
  <c r="K26" i="1" s="1"/>
  <c r="N14" i="3" s="1"/>
  <c r="I70" i="56"/>
  <c r="I6" i="56" s="1"/>
  <c r="C35" i="1"/>
  <c r="C23" i="6" s="1"/>
  <c r="I62" i="53"/>
  <c r="I48" i="53" s="1"/>
  <c r="I77" i="55"/>
  <c r="H64" i="55" s="1"/>
  <c r="E129" i="56"/>
  <c r="F129" i="56" s="1"/>
  <c r="J36" i="1"/>
  <c r="M20" i="3" s="1"/>
  <c r="E6" i="55"/>
  <c r="D35" i="1"/>
  <c r="G19" i="3" s="1"/>
  <c r="F86" i="52"/>
  <c r="H86" i="52"/>
  <c r="I110" i="53"/>
  <c r="I25" i="52"/>
  <c r="J13" i="1"/>
  <c r="M3" i="3" s="1"/>
  <c r="K13" i="1"/>
  <c r="H25" i="52"/>
  <c r="D38" i="1"/>
  <c r="G22" i="3" s="1"/>
  <c r="E64" i="55"/>
  <c r="K24" i="1"/>
  <c r="N12" i="3" s="1"/>
  <c r="J24" i="1"/>
  <c r="I90" i="53"/>
  <c r="H90" i="53"/>
  <c r="E16" i="1"/>
  <c r="H6" i="3" s="1"/>
  <c r="F94" i="52"/>
  <c r="I47" i="54"/>
  <c r="H47" i="54"/>
  <c r="J32" i="1"/>
  <c r="M18" i="3" s="1"/>
  <c r="K32" i="1"/>
  <c r="N18" i="3" s="1"/>
  <c r="H114" i="52"/>
  <c r="D78" i="56"/>
  <c r="D94" i="52"/>
  <c r="E18" i="53"/>
  <c r="F18" i="53"/>
  <c r="E82" i="53"/>
  <c r="I86" i="52"/>
  <c r="E129" i="53"/>
  <c r="H18" i="53"/>
  <c r="G82" i="53"/>
  <c r="E70" i="56"/>
  <c r="C37" i="1"/>
  <c r="O37" i="1" s="1"/>
  <c r="F21" i="3" s="1"/>
  <c r="I26" i="54"/>
  <c r="D43" i="55"/>
  <c r="E60" i="54"/>
  <c r="G60" i="54" s="1"/>
  <c r="E35" i="55"/>
  <c r="H35" i="55" s="1"/>
  <c r="H56" i="55"/>
  <c r="E67" i="52"/>
  <c r="F67" i="52" s="1"/>
  <c r="F121" i="53"/>
  <c r="E41" i="57"/>
  <c r="F41" i="57" s="1"/>
  <c r="G40" i="53"/>
  <c r="F114" i="52"/>
  <c r="F90" i="53"/>
  <c r="H121" i="53"/>
  <c r="H40" i="53"/>
  <c r="E110" i="56"/>
  <c r="C16" i="1"/>
  <c r="C38" i="1"/>
  <c r="O38" i="1" s="1"/>
  <c r="F22" i="3" s="1"/>
  <c r="H6" i="55"/>
  <c r="F40" i="53"/>
  <c r="H26" i="54"/>
  <c r="E39" i="54"/>
  <c r="J31" i="1"/>
  <c r="G77" i="55"/>
  <c r="G140" i="53"/>
  <c r="F56" i="55"/>
  <c r="K35" i="1"/>
  <c r="N19" i="3" s="1"/>
  <c r="E134" i="52"/>
  <c r="G91" i="56"/>
  <c r="M17" i="3"/>
  <c r="D9" i="3"/>
  <c r="O21" i="1"/>
  <c r="F9" i="3" s="1"/>
  <c r="D24" i="3"/>
  <c r="N51" i="1"/>
  <c r="O26" i="1"/>
  <c r="F14" i="3" s="1"/>
  <c r="C16" i="6"/>
  <c r="D12" i="3"/>
  <c r="G24" i="1"/>
  <c r="J12" i="3" s="1"/>
  <c r="O24" i="1"/>
  <c r="F12" i="3" s="1"/>
  <c r="H24" i="1"/>
  <c r="K12" i="3" s="1"/>
  <c r="N17" i="3"/>
  <c r="C28" i="6" l="1"/>
  <c r="I78" i="56"/>
  <c r="J42" i="1"/>
  <c r="K36" i="1"/>
  <c r="K48" i="1"/>
  <c r="N28" i="3" s="1"/>
  <c r="H6" i="56"/>
  <c r="H48" i="53"/>
  <c r="J22" i="1"/>
  <c r="K22" i="1"/>
  <c r="N10" i="3" s="1"/>
  <c r="H24" i="55"/>
  <c r="G17" i="52"/>
  <c r="G18" i="54"/>
  <c r="E30" i="1" s="1"/>
  <c r="J41" i="1"/>
  <c r="I6" i="55"/>
  <c r="C15" i="1"/>
  <c r="C9" i="6" s="1"/>
  <c r="F17" i="52"/>
  <c r="E6" i="52" s="1"/>
  <c r="J48" i="1"/>
  <c r="K41" i="1"/>
  <c r="N23" i="3" s="1"/>
  <c r="F91" i="56"/>
  <c r="C25" i="1"/>
  <c r="O25" i="1" s="1"/>
  <c r="F13" i="3" s="1"/>
  <c r="G86" i="52"/>
  <c r="F42" i="1"/>
  <c r="I24" i="3" s="1"/>
  <c r="G78" i="56"/>
  <c r="I6" i="52"/>
  <c r="C26" i="6"/>
  <c r="J27" i="1"/>
  <c r="M15" i="3" s="1"/>
  <c r="C17" i="6"/>
  <c r="J12" i="1"/>
  <c r="M2" i="3" s="1"/>
  <c r="K27" i="1"/>
  <c r="N15" i="3" s="1"/>
  <c r="H118" i="56"/>
  <c r="G6" i="57"/>
  <c r="H6" i="52"/>
  <c r="H148" i="53"/>
  <c r="I118" i="56"/>
  <c r="K44" i="1"/>
  <c r="N26" i="3" s="1"/>
  <c r="J21" i="1"/>
  <c r="F43" i="55"/>
  <c r="K21" i="1"/>
  <c r="N9" i="3" s="1"/>
  <c r="H26" i="53"/>
  <c r="G6" i="55"/>
  <c r="D48" i="53"/>
  <c r="H62" i="53"/>
  <c r="K42" i="1"/>
  <c r="N24" i="3" s="1"/>
  <c r="C22" i="1"/>
  <c r="D10" i="3" s="1"/>
  <c r="G62" i="53"/>
  <c r="F48" i="53" s="1"/>
  <c r="J38" i="1"/>
  <c r="M22" i="3" s="1"/>
  <c r="J17" i="1"/>
  <c r="D11" i="6" s="1"/>
  <c r="K38" i="1"/>
  <c r="N22" i="3" s="1"/>
  <c r="I64" i="55"/>
  <c r="K17" i="1"/>
  <c r="N7" i="3" s="1"/>
  <c r="O35" i="1"/>
  <c r="F19" i="3" s="1"/>
  <c r="H60" i="54"/>
  <c r="G47" i="54" s="1"/>
  <c r="I122" i="52"/>
  <c r="G26" i="1"/>
  <c r="J14" i="3" s="1"/>
  <c r="G121" i="53"/>
  <c r="F110" i="53" s="1"/>
  <c r="I52" i="52"/>
  <c r="D14" i="3"/>
  <c r="K25" i="1"/>
  <c r="N13" i="3" s="1"/>
  <c r="H16" i="1"/>
  <c r="K6" i="3" s="1"/>
  <c r="H110" i="53"/>
  <c r="G35" i="55"/>
  <c r="E36" i="1" s="1"/>
  <c r="H20" i="3" s="1"/>
  <c r="O12" i="1"/>
  <c r="F2" i="3" s="1"/>
  <c r="D2" i="3"/>
  <c r="D118" i="56"/>
  <c r="D13" i="3"/>
  <c r="F159" i="53"/>
  <c r="G129" i="56"/>
  <c r="E44" i="1" s="1"/>
  <c r="F24" i="1"/>
  <c r="I12" i="3" s="1"/>
  <c r="G159" i="53"/>
  <c r="H18" i="54"/>
  <c r="F30" i="1" s="1"/>
  <c r="I16" i="3" s="1"/>
  <c r="C44" i="1"/>
  <c r="H44" i="52"/>
  <c r="F13" i="1" s="1"/>
  <c r="G64" i="55"/>
  <c r="C27" i="1"/>
  <c r="D15" i="3" s="1"/>
  <c r="D6" i="52"/>
  <c r="F44" i="52"/>
  <c r="D13" i="1" s="1"/>
  <c r="J26" i="1"/>
  <c r="F18" i="6" s="1"/>
  <c r="I129" i="53"/>
  <c r="I70" i="53"/>
  <c r="H17" i="52"/>
  <c r="G6" i="52" s="1"/>
  <c r="F18" i="54"/>
  <c r="D30" i="1" s="1"/>
  <c r="G16" i="3" s="1"/>
  <c r="C30" i="1"/>
  <c r="O30" i="1" s="1"/>
  <c r="F16" i="3" s="1"/>
  <c r="H94" i="52"/>
  <c r="F6" i="55"/>
  <c r="J20" i="1"/>
  <c r="M8" i="3" s="1"/>
  <c r="I99" i="56"/>
  <c r="I6" i="54"/>
  <c r="H159" i="53"/>
  <c r="F27" i="1" s="1"/>
  <c r="K49" i="1"/>
  <c r="K23" i="1"/>
  <c r="N11" i="3" s="1"/>
  <c r="F23" i="6"/>
  <c r="K20" i="1"/>
  <c r="N8" i="3" s="1"/>
  <c r="M23" i="3"/>
  <c r="E90" i="53"/>
  <c r="C13" i="1"/>
  <c r="K43" i="1"/>
  <c r="N25" i="3" s="1"/>
  <c r="J30" i="1"/>
  <c r="J33" i="1" s="1"/>
  <c r="J47" i="1"/>
  <c r="J49" i="1" s="1"/>
  <c r="J23" i="1"/>
  <c r="M11" i="3" s="1"/>
  <c r="J16" i="1"/>
  <c r="M6" i="3" s="1"/>
  <c r="D23" i="6"/>
  <c r="E23" i="6" s="1"/>
  <c r="H6" i="53"/>
  <c r="J43" i="1"/>
  <c r="M25" i="3" s="1"/>
  <c r="H35" i="1"/>
  <c r="K19" i="3" s="1"/>
  <c r="I35" i="1"/>
  <c r="L19" i="3" s="1"/>
  <c r="K16" i="1"/>
  <c r="N6" i="3" s="1"/>
  <c r="I6" i="57"/>
  <c r="D25" i="52"/>
  <c r="H43" i="55"/>
  <c r="K30" i="1"/>
  <c r="N16" i="3" s="1"/>
  <c r="C47" i="1"/>
  <c r="D6" i="57"/>
  <c r="H6" i="57"/>
  <c r="H129" i="56"/>
  <c r="G118" i="56" s="1"/>
  <c r="I43" i="55"/>
  <c r="J14" i="1"/>
  <c r="M4" i="3" s="1"/>
  <c r="G21" i="57"/>
  <c r="G35" i="1"/>
  <c r="J19" i="3" s="1"/>
  <c r="H41" i="57"/>
  <c r="G29" i="57" s="1"/>
  <c r="H129" i="53"/>
  <c r="D19" i="3"/>
  <c r="H67" i="52"/>
  <c r="G52" i="52" s="1"/>
  <c r="G67" i="52"/>
  <c r="F52" i="52" s="1"/>
  <c r="J37" i="1"/>
  <c r="D25" i="6" s="1"/>
  <c r="I29" i="57"/>
  <c r="K14" i="1"/>
  <c r="N4" i="3" s="1"/>
  <c r="C10" i="6"/>
  <c r="D48" i="1"/>
  <c r="G28" i="3" s="1"/>
  <c r="E29" i="57"/>
  <c r="E52" i="52"/>
  <c r="D14" i="1"/>
  <c r="G4" i="3" s="1"/>
  <c r="E6" i="53"/>
  <c r="D20" i="1"/>
  <c r="G8" i="3" s="1"/>
  <c r="C41" i="1"/>
  <c r="D6" i="56"/>
  <c r="H70" i="56"/>
  <c r="G70" i="56"/>
  <c r="F70" i="56"/>
  <c r="G38" i="1"/>
  <c r="J22" i="3" s="1"/>
  <c r="I38" i="1"/>
  <c r="L22" i="3" s="1"/>
  <c r="F26" i="53"/>
  <c r="E21" i="1"/>
  <c r="G15" i="1"/>
  <c r="J5" i="3" s="1"/>
  <c r="D6" i="53"/>
  <c r="C20" i="1"/>
  <c r="G110" i="56"/>
  <c r="D99" i="56"/>
  <c r="H110" i="56"/>
  <c r="F110" i="56"/>
  <c r="C43" i="1"/>
  <c r="K15" i="1"/>
  <c r="N5" i="3" s="1"/>
  <c r="J15" i="1"/>
  <c r="M5" i="3" s="1"/>
  <c r="I75" i="52"/>
  <c r="H75" i="52"/>
  <c r="D16" i="1"/>
  <c r="G6" i="3" s="1"/>
  <c r="E94" i="52"/>
  <c r="G16" i="1"/>
  <c r="J6" i="3" s="1"/>
  <c r="E42" i="1"/>
  <c r="F78" i="56"/>
  <c r="G24" i="55"/>
  <c r="F36" i="1"/>
  <c r="I20" i="3" s="1"/>
  <c r="F148" i="53"/>
  <c r="E27" i="1"/>
  <c r="H15" i="3" s="1"/>
  <c r="F20" i="1"/>
  <c r="I8" i="3" s="1"/>
  <c r="G6" i="53"/>
  <c r="D15" i="1"/>
  <c r="G5" i="3" s="1"/>
  <c r="E75" i="52"/>
  <c r="E26" i="1"/>
  <c r="F129" i="53"/>
  <c r="E110" i="53"/>
  <c r="D25" i="1"/>
  <c r="G13" i="3" s="1"/>
  <c r="D21" i="1"/>
  <c r="E26" i="53"/>
  <c r="F15" i="1"/>
  <c r="I5" i="3" s="1"/>
  <c r="G75" i="52"/>
  <c r="O15" i="1"/>
  <c r="F5" i="3" s="1"/>
  <c r="C25" i="6"/>
  <c r="F75" i="52"/>
  <c r="E15" i="1"/>
  <c r="H5" i="3" s="1"/>
  <c r="F25" i="1"/>
  <c r="G110" i="53"/>
  <c r="D5" i="3"/>
  <c r="D122" i="52"/>
  <c r="G134" i="52"/>
  <c r="C17" i="1"/>
  <c r="H134" i="52"/>
  <c r="F134" i="52"/>
  <c r="D47" i="1"/>
  <c r="E6" i="57"/>
  <c r="D52" i="52"/>
  <c r="C14" i="1"/>
  <c r="H37" i="1"/>
  <c r="K21" i="3" s="1"/>
  <c r="D24" i="55"/>
  <c r="F35" i="55"/>
  <c r="C36" i="1"/>
  <c r="C32" i="1"/>
  <c r="D47" i="54"/>
  <c r="F60" i="54"/>
  <c r="F21" i="1"/>
  <c r="G26" i="53"/>
  <c r="E23" i="1"/>
  <c r="H11" i="3" s="1"/>
  <c r="F70" i="53"/>
  <c r="F47" i="54"/>
  <c r="E32" i="1"/>
  <c r="H18" i="3" s="1"/>
  <c r="F16" i="1"/>
  <c r="I6" i="3" s="1"/>
  <c r="G94" i="52"/>
  <c r="D22" i="3"/>
  <c r="E13" i="1"/>
  <c r="F25" i="52"/>
  <c r="D6" i="3"/>
  <c r="D22" i="1"/>
  <c r="E48" i="53"/>
  <c r="E148" i="53"/>
  <c r="D27" i="1"/>
  <c r="G15" i="3" s="1"/>
  <c r="C23" i="1"/>
  <c r="D70" i="53"/>
  <c r="O16" i="1"/>
  <c r="F6" i="3" s="1"/>
  <c r="C48" i="1"/>
  <c r="D29" i="57"/>
  <c r="G41" i="57"/>
  <c r="D21" i="3"/>
  <c r="F37" i="1"/>
  <c r="I21" i="3" s="1"/>
  <c r="G43" i="55"/>
  <c r="H39" i="54"/>
  <c r="F39" i="54"/>
  <c r="C31" i="1"/>
  <c r="D26" i="54"/>
  <c r="F82" i="53"/>
  <c r="G18" i="53"/>
  <c r="F26" i="1"/>
  <c r="G129" i="53"/>
  <c r="F6" i="52"/>
  <c r="E12" i="1"/>
  <c r="H2" i="3" s="1"/>
  <c r="G39" i="54"/>
  <c r="D37" i="1"/>
  <c r="G21" i="3" s="1"/>
  <c r="E43" i="55"/>
  <c r="F64" i="55"/>
  <c r="E38" i="1"/>
  <c r="H22" i="3" s="1"/>
  <c r="E118" i="56"/>
  <c r="D44" i="1"/>
  <c r="H82" i="53"/>
  <c r="C6" i="6"/>
  <c r="E78" i="56"/>
  <c r="D42" i="1"/>
  <c r="D12" i="1"/>
  <c r="G2" i="3" s="1"/>
  <c r="E29" i="3"/>
  <c r="B37" i="6"/>
  <c r="N6" i="6" s="1"/>
  <c r="M26" i="3"/>
  <c r="M24" i="3"/>
  <c r="M13" i="3"/>
  <c r="F26" i="6"/>
  <c r="M12" i="3"/>
  <c r="F16" i="6"/>
  <c r="D16" i="6"/>
  <c r="E16" i="6" s="1"/>
  <c r="F32" i="6"/>
  <c r="M28" i="3"/>
  <c r="D32" i="6"/>
  <c r="K39" i="1"/>
  <c r="N20" i="3"/>
  <c r="D24" i="6"/>
  <c r="F24" i="6"/>
  <c r="F9" i="6"/>
  <c r="N3" i="3"/>
  <c r="D7" i="6"/>
  <c r="F7" i="6"/>
  <c r="F22" i="6"/>
  <c r="D22" i="6"/>
  <c r="D14" i="6"/>
  <c r="M10" i="3"/>
  <c r="M9" i="3"/>
  <c r="F13" i="6"/>
  <c r="D13" i="6"/>
  <c r="E13" i="6" s="1"/>
  <c r="K33" i="1"/>
  <c r="F21" i="6"/>
  <c r="D21" i="6"/>
  <c r="F27" i="6" l="1"/>
  <c r="I42" i="1"/>
  <c r="L24" i="3" s="1"/>
  <c r="H16" i="3"/>
  <c r="H30" i="1"/>
  <c r="K16" i="3" s="1"/>
  <c r="F31" i="6"/>
  <c r="F25" i="6"/>
  <c r="M21" i="3"/>
  <c r="F17" i="6"/>
  <c r="F24" i="55"/>
  <c r="G25" i="1"/>
  <c r="J13" i="3" s="1"/>
  <c r="I16" i="1"/>
  <c r="L6" i="3" s="1"/>
  <c r="D19" i="6"/>
  <c r="E14" i="1"/>
  <c r="H4" i="3" s="1"/>
  <c r="C14" i="6"/>
  <c r="E14" i="6" s="1"/>
  <c r="G14" i="6" s="1"/>
  <c r="D31" i="6"/>
  <c r="I15" i="1"/>
  <c r="L5" i="3" s="1"/>
  <c r="F19" i="6"/>
  <c r="D27" i="6"/>
  <c r="F14" i="6"/>
  <c r="F6" i="54"/>
  <c r="M27" i="3"/>
  <c r="D17" i="6"/>
  <c r="E17" i="6" s="1"/>
  <c r="D6" i="6"/>
  <c r="F6" i="6"/>
  <c r="E25" i="1"/>
  <c r="H13" i="3" s="1"/>
  <c r="O22" i="1"/>
  <c r="F10" i="3" s="1"/>
  <c r="M7" i="3"/>
  <c r="F12" i="1"/>
  <c r="I2" i="3" s="1"/>
  <c r="D26" i="6"/>
  <c r="E26" i="6" s="1"/>
  <c r="G26" i="6" s="1"/>
  <c r="F32" i="1"/>
  <c r="I18" i="3" s="1"/>
  <c r="D9" i="6"/>
  <c r="E9" i="6" s="1"/>
  <c r="G9" i="6" s="1"/>
  <c r="D10" i="6"/>
  <c r="E10" i="6" s="1"/>
  <c r="G10" i="6" s="1"/>
  <c r="F10" i="6"/>
  <c r="F29" i="6"/>
  <c r="F11" i="6"/>
  <c r="G6" i="54"/>
  <c r="E25" i="52"/>
  <c r="D28" i="6"/>
  <c r="E28" i="6" s="1"/>
  <c r="F28" i="6"/>
  <c r="J45" i="1"/>
  <c r="G48" i="53"/>
  <c r="F22" i="1"/>
  <c r="I10" i="3" s="1"/>
  <c r="J39" i="1"/>
  <c r="G23" i="6"/>
  <c r="D29" i="6"/>
  <c r="M16" i="3"/>
  <c r="D30" i="6"/>
  <c r="E22" i="1"/>
  <c r="H10" i="3" s="1"/>
  <c r="K45" i="1"/>
  <c r="F30" i="6"/>
  <c r="I15" i="3"/>
  <c r="I27" i="1"/>
  <c r="L15" i="3" s="1"/>
  <c r="G37" i="1"/>
  <c r="J21" i="3" s="1"/>
  <c r="F44" i="1"/>
  <c r="I44" i="1" s="1"/>
  <c r="L26" i="3" s="1"/>
  <c r="D27" i="3"/>
  <c r="C31" i="6"/>
  <c r="E31" i="6" s="1"/>
  <c r="G31" i="6" s="1"/>
  <c r="I47" i="1"/>
  <c r="L27" i="3" s="1"/>
  <c r="O47" i="1"/>
  <c r="F27" i="3" s="1"/>
  <c r="D15" i="6"/>
  <c r="C20" i="6"/>
  <c r="F14" i="1"/>
  <c r="I4" i="3" s="1"/>
  <c r="F15" i="6"/>
  <c r="K28" i="1"/>
  <c r="C19" i="6"/>
  <c r="F48" i="1"/>
  <c r="I28" i="3" s="1"/>
  <c r="J18" i="1"/>
  <c r="E47" i="1"/>
  <c r="H27" i="3" s="1"/>
  <c r="F6" i="57"/>
  <c r="G148" i="53"/>
  <c r="E6" i="54"/>
  <c r="F20" i="6"/>
  <c r="D8" i="6"/>
  <c r="D18" i="6"/>
  <c r="E18" i="6" s="1"/>
  <c r="G18" i="6" s="1"/>
  <c r="D16" i="3"/>
  <c r="F118" i="56"/>
  <c r="H27" i="1"/>
  <c r="K15" i="3" s="1"/>
  <c r="D12" i="6"/>
  <c r="M14" i="3"/>
  <c r="J28" i="1"/>
  <c r="F12" i="6"/>
  <c r="C7" i="6"/>
  <c r="E7" i="6" s="1"/>
  <c r="G7" i="6" s="1"/>
  <c r="O13" i="1"/>
  <c r="F3" i="3" s="1"/>
  <c r="D3" i="3"/>
  <c r="H38" i="1"/>
  <c r="K22" i="3" s="1"/>
  <c r="O44" i="1"/>
  <c r="F26" i="3" s="1"/>
  <c r="C30" i="6"/>
  <c r="D26" i="3"/>
  <c r="O27" i="1"/>
  <c r="F15" i="3" s="1"/>
  <c r="F8" i="6"/>
  <c r="I24" i="1"/>
  <c r="L12" i="3" s="1"/>
  <c r="D20" i="6"/>
  <c r="E20" i="6" s="1"/>
  <c r="G20" i="6" s="1"/>
  <c r="G25" i="52"/>
  <c r="E19" i="6"/>
  <c r="G19" i="6" s="1"/>
  <c r="H14" i="3"/>
  <c r="H26" i="1"/>
  <c r="K14" i="3" s="1"/>
  <c r="O43" i="1"/>
  <c r="F25" i="3" s="1"/>
  <c r="D25" i="3"/>
  <c r="C29" i="6"/>
  <c r="O17" i="1"/>
  <c r="F7" i="3" s="1"/>
  <c r="C11" i="6"/>
  <c r="E11" i="6" s="1"/>
  <c r="G11" i="6" s="1"/>
  <c r="D7" i="3"/>
  <c r="F99" i="56"/>
  <c r="E43" i="1"/>
  <c r="H25" i="3" s="1"/>
  <c r="E17" i="1"/>
  <c r="H7" i="3" s="1"/>
  <c r="F122" i="52"/>
  <c r="H3" i="3"/>
  <c r="H13" i="1"/>
  <c r="K3" i="3" s="1"/>
  <c r="H9" i="3"/>
  <c r="H21" i="1"/>
  <c r="K9" i="3" s="1"/>
  <c r="F6" i="53"/>
  <c r="E20" i="1"/>
  <c r="H8" i="3" s="1"/>
  <c r="H15" i="1"/>
  <c r="K5" i="3" s="1"/>
  <c r="D23" i="1"/>
  <c r="G11" i="3" s="1"/>
  <c r="E70" i="53"/>
  <c r="I13" i="3"/>
  <c r="I25" i="1"/>
  <c r="L13" i="3" s="1"/>
  <c r="I14" i="3"/>
  <c r="I26" i="1"/>
  <c r="L14" i="3" s="1"/>
  <c r="I9" i="3"/>
  <c r="I21" i="1"/>
  <c r="L9" i="3" s="1"/>
  <c r="O41" i="1"/>
  <c r="F23" i="3" s="1"/>
  <c r="D23" i="3"/>
  <c r="C27" i="6"/>
  <c r="E27" i="6" s="1"/>
  <c r="G27" i="6" s="1"/>
  <c r="C45" i="1"/>
  <c r="O45" i="1" s="1"/>
  <c r="E99" i="56"/>
  <c r="D43" i="1"/>
  <c r="G25" i="3" s="1"/>
  <c r="G99" i="56"/>
  <c r="F43" i="1"/>
  <c r="I25" i="3" s="1"/>
  <c r="F17" i="1"/>
  <c r="I7" i="3" s="1"/>
  <c r="G122" i="52"/>
  <c r="G3" i="3"/>
  <c r="G13" i="1"/>
  <c r="J3" i="3" s="1"/>
  <c r="D41" i="1"/>
  <c r="G23" i="3" s="1"/>
  <c r="E6" i="56"/>
  <c r="E26" i="54"/>
  <c r="D31" i="1"/>
  <c r="G17" i="3" s="1"/>
  <c r="H12" i="1"/>
  <c r="O31" i="1"/>
  <c r="F17" i="3" s="1"/>
  <c r="C21" i="6"/>
  <c r="E21" i="6" s="1"/>
  <c r="G21" i="6" s="1"/>
  <c r="D17" i="3"/>
  <c r="G24" i="3"/>
  <c r="G42" i="1"/>
  <c r="J24" i="3" s="1"/>
  <c r="E48" i="1"/>
  <c r="H28" i="3" s="1"/>
  <c r="F29" i="57"/>
  <c r="E25" i="6"/>
  <c r="G25" i="6" s="1"/>
  <c r="G12" i="1"/>
  <c r="E31" i="1"/>
  <c r="H17" i="3" s="1"/>
  <c r="F26" i="54"/>
  <c r="G27" i="3"/>
  <c r="G47" i="1"/>
  <c r="D17" i="1"/>
  <c r="G7" i="3" s="1"/>
  <c r="E122" i="52"/>
  <c r="E41" i="1"/>
  <c r="H23" i="3" s="1"/>
  <c r="F6" i="56"/>
  <c r="D20" i="3"/>
  <c r="C39" i="1"/>
  <c r="O39" i="1" s="1"/>
  <c r="G36" i="1"/>
  <c r="C24" i="6"/>
  <c r="E24" i="6" s="1"/>
  <c r="G24" i="6" s="1"/>
  <c r="I36" i="1"/>
  <c r="H36" i="1"/>
  <c r="O36" i="1"/>
  <c r="F20" i="3" s="1"/>
  <c r="C33" i="1"/>
  <c r="O33" i="1" s="1"/>
  <c r="K18" i="1"/>
  <c r="I37" i="1"/>
  <c r="L21" i="3" s="1"/>
  <c r="H26" i="3"/>
  <c r="H44" i="1"/>
  <c r="K26" i="3" s="1"/>
  <c r="G10" i="3"/>
  <c r="G22" i="1"/>
  <c r="J10" i="3" s="1"/>
  <c r="D8" i="3"/>
  <c r="G20" i="1"/>
  <c r="C28" i="1"/>
  <c r="O28" i="1" s="1"/>
  <c r="O20" i="1"/>
  <c r="F8" i="3" s="1"/>
  <c r="C12" i="6"/>
  <c r="I20" i="1"/>
  <c r="I30" i="1"/>
  <c r="E6" i="6"/>
  <c r="G26" i="3"/>
  <c r="G44" i="1"/>
  <c r="J26" i="3" s="1"/>
  <c r="H24" i="3"/>
  <c r="H42" i="1"/>
  <c r="K24" i="3" s="1"/>
  <c r="F31" i="1"/>
  <c r="I17" i="3" s="1"/>
  <c r="G26" i="54"/>
  <c r="F41" i="1"/>
  <c r="I23" i="3" s="1"/>
  <c r="G6" i="56"/>
  <c r="F23" i="1"/>
  <c r="I11" i="3" s="1"/>
  <c r="G70" i="53"/>
  <c r="D32" i="1"/>
  <c r="G18" i="3" s="1"/>
  <c r="E47" i="54"/>
  <c r="O32" i="1"/>
  <c r="F18" i="3" s="1"/>
  <c r="D18" i="3"/>
  <c r="H32" i="1"/>
  <c r="K18" i="3" s="1"/>
  <c r="C22" i="6"/>
  <c r="E22" i="6" s="1"/>
  <c r="G22" i="6" s="1"/>
  <c r="G27" i="1"/>
  <c r="J15" i="3" s="1"/>
  <c r="O48" i="1"/>
  <c r="F28" i="3" s="1"/>
  <c r="C49" i="1"/>
  <c r="O49" i="1" s="1"/>
  <c r="J28" i="3"/>
  <c r="D28" i="3"/>
  <c r="C32" i="6"/>
  <c r="E32" i="6" s="1"/>
  <c r="G32" i="6" s="1"/>
  <c r="I3" i="3"/>
  <c r="I13" i="1"/>
  <c r="L3" i="3" s="1"/>
  <c r="E24" i="55"/>
  <c r="D36" i="1"/>
  <c r="G20" i="3" s="1"/>
  <c r="G9" i="3"/>
  <c r="G21" i="1"/>
  <c r="J9" i="3" s="1"/>
  <c r="H23" i="1"/>
  <c r="K11" i="3" s="1"/>
  <c r="C15" i="6"/>
  <c r="O23" i="1"/>
  <c r="F11" i="3" s="1"/>
  <c r="D11" i="3"/>
  <c r="G30" i="1"/>
  <c r="C8" i="6"/>
  <c r="D4" i="3"/>
  <c r="G14" i="1"/>
  <c r="J4" i="3" s="1"/>
  <c r="C18" i="1"/>
  <c r="H14" i="1"/>
  <c r="K4" i="3" s="1"/>
  <c r="O14" i="1"/>
  <c r="F4" i="3" s="1"/>
  <c r="H25" i="1"/>
  <c r="K13" i="3" s="1"/>
  <c r="G6" i="6"/>
  <c r="G13" i="6"/>
  <c r="K15" i="6"/>
  <c r="J29" i="6"/>
  <c r="J60" i="6"/>
  <c r="K17" i="6"/>
  <c r="J37" i="6"/>
  <c r="J70" i="6"/>
  <c r="K16" i="6"/>
  <c r="J61" i="6"/>
  <c r="J30" i="6"/>
  <c r="J62" i="6"/>
  <c r="J32" i="6"/>
  <c r="J64" i="6"/>
  <c r="K20" i="6"/>
  <c r="J33" i="6"/>
  <c r="K25" i="6"/>
  <c r="K19" i="6"/>
  <c r="J65" i="6"/>
  <c r="K24" i="6"/>
  <c r="J69" i="6"/>
  <c r="K18" i="6"/>
  <c r="J31" i="6"/>
  <c r="J63" i="6"/>
  <c r="K21" i="6"/>
  <c r="J34" i="6"/>
  <c r="J66" i="6"/>
  <c r="K22" i="6"/>
  <c r="J35" i="6"/>
  <c r="J67" i="6"/>
  <c r="J36" i="6"/>
  <c r="J68" i="6"/>
  <c r="J38" i="6"/>
  <c r="J47" i="6"/>
  <c r="K23" i="6"/>
  <c r="K26" i="6"/>
  <c r="J39" i="6"/>
  <c r="J71" i="6"/>
  <c r="K27" i="6"/>
  <c r="J40" i="6"/>
  <c r="J72" i="6"/>
  <c r="J41" i="6"/>
  <c r="J73" i="6"/>
  <c r="K28" i="6"/>
  <c r="J42" i="6"/>
  <c r="J74" i="6"/>
  <c r="J43" i="6"/>
  <c r="J75" i="6"/>
  <c r="J44" i="6"/>
  <c r="J76" i="6"/>
  <c r="J45" i="6"/>
  <c r="J77" i="6"/>
  <c r="J46" i="6"/>
  <c r="J78" i="6"/>
  <c r="J79" i="6"/>
  <c r="J51" i="6"/>
  <c r="J52" i="6"/>
  <c r="J55" i="6"/>
  <c r="J56" i="6"/>
  <c r="K6" i="6"/>
  <c r="J48" i="6"/>
  <c r="J49" i="6"/>
  <c r="J53" i="6"/>
  <c r="J54" i="6"/>
  <c r="J50" i="6"/>
  <c r="J57" i="6"/>
  <c r="J58" i="6"/>
  <c r="J59" i="6"/>
  <c r="J81" i="6"/>
  <c r="J82" i="6"/>
  <c r="J83" i="6"/>
  <c r="K13" i="6"/>
  <c r="J80" i="6"/>
  <c r="K7" i="6"/>
  <c r="K8" i="6"/>
  <c r="K11" i="6"/>
  <c r="K12" i="6"/>
  <c r="J84" i="6"/>
  <c r="N7" i="6"/>
  <c r="K9" i="6"/>
  <c r="K10" i="6"/>
  <c r="K14" i="6"/>
  <c r="G16" i="6"/>
  <c r="G17" i="6"/>
  <c r="B48" i="6" l="1"/>
  <c r="I14" i="1"/>
  <c r="L4" i="3" s="1"/>
  <c r="E15" i="6"/>
  <c r="G28" i="6"/>
  <c r="C47" i="6"/>
  <c r="D47" i="6" s="1"/>
  <c r="I12" i="1"/>
  <c r="L2" i="3" s="1"/>
  <c r="E30" i="6"/>
  <c r="G30" i="6" s="1"/>
  <c r="I32" i="1"/>
  <c r="L18" i="3" s="1"/>
  <c r="B47" i="6"/>
  <c r="G32" i="1"/>
  <c r="J18" i="3" s="1"/>
  <c r="E12" i="6"/>
  <c r="G12" i="6" s="1"/>
  <c r="C44" i="6"/>
  <c r="D44" i="6" s="1"/>
  <c r="E29" i="6"/>
  <c r="G29" i="6" s="1"/>
  <c r="I22" i="1"/>
  <c r="L10" i="3" s="1"/>
  <c r="J51" i="1"/>
  <c r="M29" i="3" s="1"/>
  <c r="H41" i="1"/>
  <c r="I26" i="3"/>
  <c r="K51" i="1"/>
  <c r="N29" i="3" s="1"/>
  <c r="C46" i="6"/>
  <c r="D46" i="6" s="1"/>
  <c r="G15" i="6"/>
  <c r="H22" i="1"/>
  <c r="K10" i="3" s="1"/>
  <c r="D33" i="6"/>
  <c r="B45" i="6"/>
  <c r="I48" i="1"/>
  <c r="L28" i="3" s="1"/>
  <c r="C45" i="6"/>
  <c r="D45" i="6" s="1"/>
  <c r="F33" i="6"/>
  <c r="F37" i="6" s="1"/>
  <c r="O7" i="6" s="1"/>
  <c r="H47" i="1"/>
  <c r="K27" i="3" s="1"/>
  <c r="C48" i="6"/>
  <c r="D48" i="6" s="1"/>
  <c r="B46" i="6"/>
  <c r="B44" i="6"/>
  <c r="C51" i="1"/>
  <c r="O18" i="1"/>
  <c r="K20" i="3"/>
  <c r="H39" i="1"/>
  <c r="E39" i="1"/>
  <c r="L20" i="3"/>
  <c r="I39" i="1"/>
  <c r="F39" i="1"/>
  <c r="J16" i="3"/>
  <c r="D49" i="1"/>
  <c r="J27" i="3"/>
  <c r="G49" i="1"/>
  <c r="I17" i="1"/>
  <c r="L7" i="3" s="1"/>
  <c r="K2" i="3"/>
  <c r="L16" i="3"/>
  <c r="H17" i="1"/>
  <c r="K7" i="3" s="1"/>
  <c r="G31" i="1"/>
  <c r="J17" i="3" s="1"/>
  <c r="J2" i="3"/>
  <c r="K23" i="3"/>
  <c r="I41" i="1"/>
  <c r="L8" i="3"/>
  <c r="G43" i="1"/>
  <c r="J25" i="3" s="1"/>
  <c r="G23" i="1"/>
  <c r="J11" i="3" s="1"/>
  <c r="C33" i="6"/>
  <c r="G41" i="1"/>
  <c r="I43" i="1"/>
  <c r="L25" i="3" s="1"/>
  <c r="H48" i="1"/>
  <c r="H20" i="1"/>
  <c r="I31" i="1"/>
  <c r="L17" i="3" s="1"/>
  <c r="J20" i="3"/>
  <c r="G39" i="1"/>
  <c r="D39" i="1"/>
  <c r="I23" i="1"/>
  <c r="L11" i="3" s="1"/>
  <c r="G17" i="1"/>
  <c r="J7" i="3" s="1"/>
  <c r="J8" i="3"/>
  <c r="H43" i="1"/>
  <c r="K25" i="3" s="1"/>
  <c r="H31" i="1"/>
  <c r="E8" i="6"/>
  <c r="G8" i="6" s="1"/>
  <c r="D28" i="1" l="1"/>
  <c r="I49" i="1"/>
  <c r="F49" i="1"/>
  <c r="E33" i="6"/>
  <c r="G18" i="1"/>
  <c r="O11" i="6"/>
  <c r="O9" i="6"/>
  <c r="F33" i="1"/>
  <c r="I33" i="1"/>
  <c r="G28" i="1"/>
  <c r="D18" i="1"/>
  <c r="I28" i="1"/>
  <c r="F28" i="1"/>
  <c r="E45" i="1"/>
  <c r="F18" i="1"/>
  <c r="H45" i="1"/>
  <c r="D37" i="6"/>
  <c r="N9" i="6" s="1"/>
  <c r="G33" i="6"/>
  <c r="K17" i="3"/>
  <c r="E33" i="1"/>
  <c r="H33" i="1"/>
  <c r="L23" i="3"/>
  <c r="F45" i="1"/>
  <c r="I45" i="1"/>
  <c r="G33" i="1"/>
  <c r="K28" i="3"/>
  <c r="H49" i="1"/>
  <c r="E49" i="1"/>
  <c r="J23" i="3"/>
  <c r="G45" i="1"/>
  <c r="D45" i="1"/>
  <c r="H18" i="1"/>
  <c r="D33" i="1"/>
  <c r="E18" i="1"/>
  <c r="E28" i="1"/>
  <c r="K8" i="3"/>
  <c r="H28" i="1"/>
  <c r="I18" i="1"/>
  <c r="O51" i="1"/>
  <c r="F29" i="3" s="1"/>
  <c r="D29" i="3"/>
  <c r="C54" i="1"/>
  <c r="K52" i="6" l="1"/>
  <c r="J23" i="6"/>
  <c r="K38" i="6"/>
  <c r="K37" i="6"/>
  <c r="J17" i="6"/>
  <c r="J26" i="6"/>
  <c r="K83" i="6"/>
  <c r="J8" i="6"/>
  <c r="K53" i="6"/>
  <c r="K68" i="6"/>
  <c r="K70" i="6"/>
  <c r="K69" i="6"/>
  <c r="K32" i="6"/>
  <c r="J27" i="6"/>
  <c r="K35" i="6"/>
  <c r="K64" i="6"/>
  <c r="J25" i="6"/>
  <c r="K62" i="6"/>
  <c r="K55" i="6"/>
  <c r="K57" i="6"/>
  <c r="J18" i="6"/>
  <c r="K81" i="6"/>
  <c r="K67" i="6"/>
  <c r="K58" i="6"/>
  <c r="J13" i="6"/>
  <c r="K66" i="6"/>
  <c r="J20" i="6"/>
  <c r="K59" i="6"/>
  <c r="K48" i="6"/>
  <c r="K29" i="6"/>
  <c r="K72" i="6"/>
  <c r="J28" i="6"/>
  <c r="K56" i="6"/>
  <c r="K76" i="6"/>
  <c r="K36" i="6"/>
  <c r="K84" i="6"/>
  <c r="K43" i="6"/>
  <c r="J6" i="6"/>
  <c r="K31" i="6"/>
  <c r="D38" i="6"/>
  <c r="K73" i="6"/>
  <c r="B39" i="6"/>
  <c r="D39" i="6" s="1"/>
  <c r="K44" i="6"/>
  <c r="K54" i="6"/>
  <c r="K51" i="6"/>
  <c r="B38" i="6"/>
  <c r="K40" i="6"/>
  <c r="K34" i="6"/>
  <c r="K45" i="6"/>
  <c r="K65" i="6"/>
  <c r="K75" i="6"/>
  <c r="K50" i="6"/>
  <c r="K39" i="6"/>
  <c r="J11" i="6"/>
  <c r="K77" i="6"/>
  <c r="K80" i="6"/>
  <c r="J22" i="6"/>
  <c r="J24" i="6"/>
  <c r="K30" i="6"/>
  <c r="J10" i="6"/>
  <c r="K47" i="6"/>
  <c r="J7" i="6"/>
  <c r="N10" i="6"/>
  <c r="K63" i="6"/>
  <c r="N11" i="6"/>
  <c r="K46" i="6"/>
  <c r="K74" i="6"/>
  <c r="J21" i="6"/>
  <c r="K33" i="6"/>
  <c r="J16" i="6"/>
  <c r="K61" i="6"/>
  <c r="G51" i="1"/>
  <c r="J29" i="3" s="1"/>
  <c r="J15" i="6"/>
  <c r="K41" i="6"/>
  <c r="K82" i="6"/>
  <c r="K60" i="6"/>
  <c r="J14" i="6"/>
  <c r="K49" i="6"/>
  <c r="J9" i="6"/>
  <c r="J19" i="6"/>
  <c r="K71" i="6"/>
  <c r="K79" i="6"/>
  <c r="K42" i="6"/>
  <c r="J12" i="6"/>
  <c r="K78" i="6"/>
  <c r="E54" i="1"/>
  <c r="E32" i="3" s="1"/>
  <c r="C32" i="3"/>
  <c r="C56" i="1"/>
  <c r="F54" i="1"/>
  <c r="F32" i="3" s="1"/>
  <c r="D51" i="1"/>
  <c r="G29" i="3" s="1"/>
  <c r="I51" i="1"/>
  <c r="L29" i="3" s="1"/>
  <c r="F51" i="1"/>
  <c r="I29" i="3" s="1"/>
  <c r="E51" i="1"/>
  <c r="H29" i="3" s="1"/>
  <c r="H51" i="1"/>
  <c r="K29" i="3" s="1"/>
  <c r="B40" i="6" l="1"/>
  <c r="C34" i="3"/>
  <c r="C58" i="1"/>
  <c r="E56" i="1"/>
  <c r="E34" i="3" s="1"/>
  <c r="F56" i="1"/>
  <c r="F34" i="3" s="1"/>
  <c r="E44" i="4"/>
  <c r="E42" i="4"/>
  <c r="E41" i="4"/>
  <c r="C60" i="1" l="1"/>
  <c r="C36" i="3"/>
  <c r="F58" i="1"/>
  <c r="F36" i="3" s="1"/>
  <c r="E58" i="1"/>
  <c r="E36" i="3" s="1"/>
  <c r="D5" i="4"/>
  <c r="E5" i="4" s="1"/>
  <c r="F60" i="1" l="1"/>
  <c r="F38" i="3" s="1"/>
  <c r="C62" i="1"/>
  <c r="E60" i="1"/>
  <c r="E38" i="3" s="1"/>
  <c r="C38" i="3"/>
  <c r="D34" i="4"/>
  <c r="E34" i="4" s="1"/>
  <c r="D14" i="4"/>
  <c r="E14" i="4" s="1"/>
  <c r="D33" i="4"/>
  <c r="E33" i="4" s="1"/>
  <c r="D22" i="4"/>
  <c r="E22" i="4" s="1"/>
  <c r="D32" i="4"/>
  <c r="E32" i="4" s="1"/>
  <c r="D18" i="4"/>
  <c r="E18" i="4" s="1"/>
  <c r="D13" i="4"/>
  <c r="E13" i="4" s="1"/>
  <c r="D9" i="4"/>
  <c r="E9" i="4" s="1"/>
  <c r="D10" i="4"/>
  <c r="E10" i="4" s="1"/>
  <c r="D25" i="4"/>
  <c r="E25" i="4" s="1"/>
  <c r="D15" i="4"/>
  <c r="E15" i="4" s="1"/>
  <c r="D21" i="4"/>
  <c r="E21" i="4" s="1"/>
  <c r="D23" i="4"/>
  <c r="E23" i="4" s="1"/>
  <c r="D29" i="4"/>
  <c r="E29" i="4" s="1"/>
  <c r="D8" i="4"/>
  <c r="E8" i="4" s="1"/>
  <c r="D20" i="4"/>
  <c r="E20" i="4" s="1"/>
  <c r="D17" i="4"/>
  <c r="E17" i="4" s="1"/>
  <c r="D26" i="4"/>
  <c r="E26" i="4" s="1"/>
  <c r="D19" i="4"/>
  <c r="E19" i="4" s="1"/>
  <c r="D12" i="4"/>
  <c r="E12" i="4" s="1"/>
  <c r="D30" i="4"/>
  <c r="E30" i="4" s="1"/>
  <c r="D7" i="4"/>
  <c r="E7" i="4" s="1"/>
  <c r="D24" i="4"/>
  <c r="E24" i="4" s="1"/>
  <c r="D28" i="4"/>
  <c r="E28" i="4" s="1"/>
  <c r="D6" i="4"/>
  <c r="E6" i="4" s="1"/>
  <c r="D27" i="4"/>
  <c r="E27" i="4" s="1"/>
  <c r="D31" i="4"/>
  <c r="E31" i="4" s="1"/>
  <c r="D11" i="4"/>
  <c r="E11" i="4" s="1"/>
  <c r="D16" i="4"/>
  <c r="E16" i="4" s="1"/>
  <c r="E62" i="1" l="1"/>
  <c r="E40" i="3" s="1"/>
  <c r="F62" i="1"/>
  <c r="F40" i="3" s="1"/>
  <c r="C40" i="3"/>
  <c r="D38" i="4"/>
  <c r="D43" i="4"/>
  <c r="E43" i="4" s="1"/>
  <c r="E38" i="4" l="1"/>
  <c r="D39" i="4"/>
  <c r="E39" i="4" l="1"/>
  <c r="D40" i="4"/>
  <c r="E40" i="4" s="1"/>
</calcChain>
</file>

<file path=xl/sharedStrings.xml><?xml version="1.0" encoding="utf-8"?>
<sst xmlns="http://schemas.openxmlformats.org/spreadsheetml/2006/main" count="2188" uniqueCount="548">
  <si>
    <t>Aircraft Mass Properties Tracker</t>
  </si>
  <si>
    <t>ATA</t>
  </si>
  <si>
    <t>Qty</t>
  </si>
  <si>
    <t>Notes</t>
  </si>
  <si>
    <t>Air Conditioning</t>
  </si>
  <si>
    <t>Auto Flight</t>
  </si>
  <si>
    <t>Communications</t>
  </si>
  <si>
    <t>Electrical Power</t>
  </si>
  <si>
    <t>Equipment / Furnishings</t>
  </si>
  <si>
    <t>Fire Protection</t>
  </si>
  <si>
    <t>Flight Controls</t>
  </si>
  <si>
    <t>Fuel</t>
  </si>
  <si>
    <t>Hydraulic Power</t>
  </si>
  <si>
    <t>Ice &amp; Rain Protection</t>
  </si>
  <si>
    <t>Indicating / Recording</t>
  </si>
  <si>
    <t>Landing Gear</t>
  </si>
  <si>
    <t>Lights</t>
  </si>
  <si>
    <t>Navigation</t>
  </si>
  <si>
    <t>Oxygen</t>
  </si>
  <si>
    <t>Pneumatic</t>
  </si>
  <si>
    <t>Water / Waste</t>
  </si>
  <si>
    <t>APU</t>
  </si>
  <si>
    <t>Doors</t>
  </si>
  <si>
    <t>Fuselage</t>
  </si>
  <si>
    <t>Nacelles / Pylons</t>
  </si>
  <si>
    <t>Stabilizers</t>
  </si>
  <si>
    <t>Windows</t>
  </si>
  <si>
    <t>Wings</t>
  </si>
  <si>
    <t>Power Plant</t>
  </si>
  <si>
    <t>Engine Fuel &amp; Control</t>
  </si>
  <si>
    <t>Engine Air</t>
  </si>
  <si>
    <t>Exhaust</t>
  </si>
  <si>
    <t>Engine Oil</t>
  </si>
  <si>
    <t>Starting</t>
  </si>
  <si>
    <t>Distributed</t>
  </si>
  <si>
    <t>Wingtips + tail</t>
  </si>
  <si>
    <t>Version</t>
  </si>
  <si>
    <t>Status</t>
  </si>
  <si>
    <t>Draft</t>
  </si>
  <si>
    <t>Last Updated</t>
  </si>
  <si>
    <t>Author</t>
  </si>
  <si>
    <t>Change Note</t>
  </si>
  <si>
    <t>Initial business jet baseline (Challenger 350 / Praetor 500 class)</t>
  </si>
  <si>
    <t>ata</t>
  </si>
  <si>
    <t>notes</t>
  </si>
  <si>
    <t>DON'T FORGET TO EXPORT IF CHANGES WERE MADE</t>
  </si>
  <si>
    <t>Target Mass Allocations</t>
  </si>
  <si>
    <t>Set target total mass (kg) per ATA chapter and per aircraft mass condition. Deltas on Mass sheet are computed as Current − Target.</t>
  </si>
  <si>
    <t>Description</t>
  </si>
  <si>
    <t>Δ (Current − Target)</t>
  </si>
  <si>
    <t>MEW</t>
  </si>
  <si>
    <t>Manufacturer's Empty Weight</t>
  </si>
  <si>
    <t>Airframe + propulsion + standard systems (excl. fluids, crew, payload)</t>
  </si>
  <si>
    <t>OEW</t>
  </si>
  <si>
    <t>Operating Empty Weight</t>
  </si>
  <si>
    <t>MEW + crew + unusable fuel + operator equipment</t>
  </si>
  <si>
    <t>ZFW</t>
  </si>
  <si>
    <t>Zero Fuel Weight</t>
  </si>
  <si>
    <t>OEW + payload (pax, cargo)</t>
  </si>
  <si>
    <t>MZFW</t>
  </si>
  <si>
    <t>Max Zero Fuel Weight</t>
  </si>
  <si>
    <t>Structural limit on ZFW</t>
  </si>
  <si>
    <t>MLW</t>
  </si>
  <si>
    <t>Max Landing Weight</t>
  </si>
  <si>
    <t>Structural limit at touchdown</t>
  </si>
  <si>
    <t>MTOW</t>
  </si>
  <si>
    <t>Max Take-Off Weight</t>
  </si>
  <si>
    <t>Certified gross weight</t>
  </si>
  <si>
    <t>MRW</t>
  </si>
  <si>
    <t>Max Ramp Weight</t>
  </si>
  <si>
    <t>MTOW + taxi/start fuel</t>
  </si>
  <si>
    <t>TOTALS</t>
  </si>
  <si>
    <t>Unit Mass (lbm)</t>
  </si>
  <si>
    <t>Total Mass (lbm)</t>
  </si>
  <si>
    <t>Mx (lbm·ft)</t>
  </si>
  <si>
    <t>My (lbm·ft)</t>
  </si>
  <si>
    <t>Mz (lbm·ft)</t>
  </si>
  <si>
    <t>Target (lbm)</t>
  </si>
  <si>
    <t>Target Mass (lbm)</t>
  </si>
  <si>
    <t>Current (lbm)</t>
  </si>
  <si>
    <t>Mass Properties Risk Analysis</t>
  </si>
  <si>
    <t>Nominal (lbm)</t>
  </si>
  <si>
    <t>TOTAL</t>
  </si>
  <si>
    <t>All Components</t>
  </si>
  <si>
    <t>Unc + (lbm)</t>
  </si>
  <si>
    <t>Unc − (lbm)</t>
  </si>
  <si>
    <t>Mean Shift (lbm)</t>
  </si>
  <si>
    <t>Adjusted Mean (lbm)</t>
  </si>
  <si>
    <t>Verdict</t>
  </si>
  <si>
    <t>Rank</t>
  </si>
  <si>
    <t>σ (lbm)</t>
  </si>
  <si>
    <t>System</t>
  </si>
  <si>
    <t>X CoG (ft)</t>
  </si>
  <si>
    <t>Y CoG (ft)</t>
  </si>
  <si>
    <t>Z CoG (ft)</t>
  </si>
  <si>
    <t>System Owner</t>
  </si>
  <si>
    <t>Electrical Power (Low Voltage)</t>
  </si>
  <si>
    <t>Electrical Power (High Voltage Hybrid)</t>
  </si>
  <si>
    <t>Generators, inverters, motor controllers, HV cables</t>
  </si>
  <si>
    <t>Equipment &amp; Furnishings</t>
  </si>
  <si>
    <t>Door</t>
  </si>
  <si>
    <t>V-Tail</t>
  </si>
  <si>
    <t>Combined HTP+VTP ruddervators</t>
  </si>
  <si>
    <t>Duality Engines</t>
  </si>
  <si>
    <t>Intake, 2-stage fan, motors, burner, nozzle (LH + RH)</t>
  </si>
  <si>
    <t>ECS</t>
  </si>
  <si>
    <t>#</t>
  </si>
  <si>
    <t>Line Item</t>
  </si>
  <si>
    <t>Length (ft)</t>
  </si>
  <si>
    <t>Width (ft)</t>
  </si>
  <si>
    <t>Height (ft)</t>
  </si>
  <si>
    <t>Mass Maturity</t>
  </si>
  <si>
    <t>Geometry Status</t>
  </si>
  <si>
    <t>Avionics</t>
  </si>
  <si>
    <t>Electrical</t>
  </si>
  <si>
    <t>Interiors</t>
  </si>
  <si>
    <t>Fuel Systems</t>
  </si>
  <si>
    <t>Hydraulics</t>
  </si>
  <si>
    <t>Structures</t>
  </si>
  <si>
    <t>Propulsion</t>
  </si>
  <si>
    <t>Electrical Power (LV)</t>
  </si>
  <si>
    <t>Water &amp; Waste</t>
  </si>
  <si>
    <t>Air (Intakes)</t>
  </si>
  <si>
    <t>2 duality + 1 turbogen intakes</t>
  </si>
  <si>
    <t>Coordinate system: X = longitudinal (aft +), Y = lateral (right +), Z = vertical (up +). Units: mass in lbm, positions in ft. Moments = mass × position.</t>
  </si>
  <si>
    <t>2400LV</t>
  </si>
  <si>
    <t>2400HV</t>
  </si>
  <si>
    <t>Recirculation fan</t>
  </si>
  <si>
    <t>OOM</t>
  </si>
  <si>
    <t>N</t>
  </si>
  <si>
    <t>Cabin air recirc</t>
  </si>
  <si>
    <t>Cabin pressure controller</t>
  </si>
  <si>
    <t>ECS ducting</t>
  </si>
  <si>
    <t>Cabin + cockpit</t>
  </si>
  <si>
    <t>Heat exchanger</t>
  </si>
  <si>
    <t>Autopilot computer</t>
  </si>
  <si>
    <t>Dual redundant</t>
  </si>
  <si>
    <t>Yaw damper actuator</t>
  </si>
  <si>
    <t>V-tail integrated</t>
  </si>
  <si>
    <t>VHF comm radio</t>
  </si>
  <si>
    <t>Satcom unit</t>
  </si>
  <si>
    <t>Roof mount antenna</t>
  </si>
  <si>
    <t>Antennas + cabling</t>
  </si>
  <si>
    <t>Main battery</t>
  </si>
  <si>
    <t>Ni-Cd 28V</t>
  </si>
  <si>
    <t>DC bus / distribution panel</t>
  </si>
  <si>
    <t>LV wiring harness</t>
  </si>
  <si>
    <t>Transformer rectifier unit</t>
  </si>
  <si>
    <t>Motor controller / inverter (duality)</t>
  </si>
  <si>
    <t>One per duality engine</t>
  </si>
  <si>
    <t>Generator inverter (turbogen)</t>
  </si>
  <si>
    <t>HV cable run (gen → motors)</t>
  </si>
  <si>
    <t>High-voltage DC</t>
  </si>
  <si>
    <t>DC link capacitors / EMI filter</t>
  </si>
  <si>
    <t>HV battery pack (buffer)</t>
  </si>
  <si>
    <t>Transient load support</t>
  </si>
  <si>
    <t>Pilot seat</t>
  </si>
  <si>
    <t>Passenger seats (club 2+2)</t>
  </si>
  <si>
    <t>Forward + aft facing pairs</t>
  </si>
  <si>
    <t>Aft single seat</t>
  </si>
  <si>
    <t>Cabin sidewalls + ceiling</t>
  </si>
  <si>
    <t>Floor panels + insulation</t>
  </si>
  <si>
    <t>Cabin lavatory</t>
  </si>
  <si>
    <t>Aft</t>
  </si>
  <si>
    <t>Galley / refreshment center</t>
  </si>
  <si>
    <t>Fire bottle (engine)</t>
  </si>
  <si>
    <t>Safety</t>
  </si>
  <si>
    <t>One per duality</t>
  </si>
  <si>
    <t>Fire bottle (turbogen)</t>
  </si>
  <si>
    <t>Fire detection loops</t>
  </si>
  <si>
    <t>Engine bay + turbogen</t>
  </si>
  <si>
    <t>Cabin extinguisher (portable)</t>
  </si>
  <si>
    <t>Actual</t>
  </si>
  <si>
    <t>Primary control yokes</t>
  </si>
  <si>
    <t>Pilot + copilot</t>
  </si>
  <si>
    <t>Aileron actuators</t>
  </si>
  <si>
    <t>Outboard wing</t>
  </si>
  <si>
    <t>Ruddervator actuators</t>
  </si>
  <si>
    <t>V-tail</t>
  </si>
  <si>
    <t>Flap drive motor + screwjack</t>
  </si>
  <si>
    <t>Trim actuators</t>
  </si>
  <si>
    <t>Control cables + push rods</t>
  </si>
  <si>
    <t>Fwd fuselage tank (structure + bladder)</t>
  </si>
  <si>
    <t>~250 gal</t>
  </si>
  <si>
    <t>Aft fuselage tank (structure + bladder)</t>
  </si>
  <si>
    <t>~300 gal</t>
  </si>
  <si>
    <t>Fuel pumps</t>
  </si>
  <si>
    <t>Boost + transfer</t>
  </si>
  <si>
    <t>Fuel lines</t>
  </si>
  <si>
    <t>Fuel quantity sensors</t>
  </si>
  <si>
    <t>Fuel control unit</t>
  </si>
  <si>
    <t>Hydraulic pump (engine driven)</t>
  </si>
  <si>
    <t>Hydraulic reservoir</t>
  </si>
  <si>
    <t>Accumulator</t>
  </si>
  <si>
    <t>Hydraulic lines</t>
  </si>
  <si>
    <t>Wing leading edge boots / heaters</t>
  </si>
  <si>
    <t>Pneumatic boots</t>
  </si>
  <si>
    <t>Windshield heat</t>
  </si>
  <si>
    <t>Electric</t>
  </si>
  <si>
    <t>Pitot heat</t>
  </si>
  <si>
    <t>Engine inlet anti-ice</t>
  </si>
  <si>
    <t>2 duality + 1 turbogen</t>
  </si>
  <si>
    <t>Primary flight display</t>
  </si>
  <si>
    <t>Multifunction display</t>
  </si>
  <si>
    <t>Engine indication</t>
  </si>
  <si>
    <t>Standby instruments</t>
  </si>
  <si>
    <t>FDR / CVR</t>
  </si>
  <si>
    <t>Aft fuselage</t>
  </si>
  <si>
    <t>Nose gear assembly</t>
  </si>
  <si>
    <t>Retractable</t>
  </si>
  <si>
    <t>Main gear assembly</t>
  </si>
  <si>
    <t>Trailing link</t>
  </si>
  <si>
    <t>Brakes + wheels</t>
  </si>
  <si>
    <t>Main only</t>
  </si>
  <si>
    <t>Gear actuation + uplocks</t>
  </si>
  <si>
    <t>Hydraulic retract</t>
  </si>
  <si>
    <t>Cockpit lighting</t>
  </si>
  <si>
    <t>LED panels</t>
  </si>
  <si>
    <t>Cabin lighting</t>
  </si>
  <si>
    <t>LED wash</t>
  </si>
  <si>
    <t>Nav / position lights</t>
  </si>
  <si>
    <t>Landing / taxi lights</t>
  </si>
  <si>
    <t>Anti-collision strobe</t>
  </si>
  <si>
    <t>V-tail tips</t>
  </si>
  <si>
    <t>GPS / WAAS receiver</t>
  </si>
  <si>
    <t>IRS / AHRS</t>
  </si>
  <si>
    <t>Dual</t>
  </si>
  <si>
    <t>ADS-B transponder</t>
  </si>
  <si>
    <t>Weather radar</t>
  </si>
  <si>
    <t>Nose mount</t>
  </si>
  <si>
    <t>TCAS / TAWS</t>
  </si>
  <si>
    <t>Crew oxygen bottle</t>
  </si>
  <si>
    <t>Passenger oxygen system</t>
  </si>
  <si>
    <t>Drop-down masks</t>
  </si>
  <si>
    <t>O2 plumbing + regulators</t>
  </si>
  <si>
    <t>Bleed air ducting (turbogen)</t>
  </si>
  <si>
    <t>Cabin pressurization</t>
  </si>
  <si>
    <t>Pressure regulator + flow control</t>
  </si>
  <si>
    <t>Precooler</t>
  </si>
  <si>
    <t>Potable water tank</t>
  </si>
  <si>
    <t>~5 gal full</t>
  </si>
  <si>
    <t>Waste tank</t>
  </si>
  <si>
    <t>~8 gal full</t>
  </si>
  <si>
    <t>Water/waste plumbing</t>
  </si>
  <si>
    <t>Main entry door (LH fwd)</t>
  </si>
  <si>
    <t>Plug door</t>
  </si>
  <si>
    <t>Door mechanism + hinges</t>
  </si>
  <si>
    <t>Door seals</t>
  </si>
  <si>
    <t>Pressurization seal</t>
  </si>
  <si>
    <t>Forward fuselage frames (FS 0-10)</t>
  </si>
  <si>
    <t>Cockpit + nose</t>
  </si>
  <si>
    <t>Cabin fuselage frames (FS 10-25)</t>
  </si>
  <si>
    <t>Pressurized section</t>
  </si>
  <si>
    <t>Aft fuselage frames (FS 25-35)</t>
  </si>
  <si>
    <t>Engine bay</t>
  </si>
  <si>
    <t>Longerons / stringers</t>
  </si>
  <si>
    <t>Skin panels (fwd)</t>
  </si>
  <si>
    <t>Skin panels (cabin)</t>
  </si>
  <si>
    <t>Pressurized</t>
  </si>
  <si>
    <t>Skin panels (aft)</t>
  </si>
  <si>
    <t>Pressure bulkhead (fwd)</t>
  </si>
  <si>
    <t>Pressure bulkhead (aft)</t>
  </si>
  <si>
    <t>Wing carry-through structure</t>
  </si>
  <si>
    <t>Center wing box</t>
  </si>
  <si>
    <t>Floor beams</t>
  </si>
  <si>
    <t>V-tail spar (LH)</t>
  </si>
  <si>
    <t>Carbon spar</t>
  </si>
  <si>
    <t>V-tail spar (RH)</t>
  </si>
  <si>
    <t>V-tail ribs</t>
  </si>
  <si>
    <t>V-tail skin (LH)</t>
  </si>
  <si>
    <t>V-tail skin (RH)</t>
  </si>
  <si>
    <t>Ruddervators (LH+RH)</t>
  </si>
  <si>
    <t>Control surface</t>
  </si>
  <si>
    <t>V-tail attach fittings</t>
  </si>
  <si>
    <t>Windshield (LH+RH)</t>
  </si>
  <si>
    <t>Heated laminated</t>
  </si>
  <si>
    <t>Cabin windows</t>
  </si>
  <si>
    <t>4 per side</t>
  </si>
  <si>
    <t>Window frames + retainers</t>
  </si>
  <si>
    <t>Wing spar - main (LH)</t>
  </si>
  <si>
    <t>Carbon</t>
  </si>
  <si>
    <t>Wing spar - main (RH)</t>
  </si>
  <si>
    <t>Wing spar - rear (LH)</t>
  </si>
  <si>
    <t>Wing spar - rear (RH)</t>
  </si>
  <si>
    <t>Wing ribs (LH)</t>
  </si>
  <si>
    <t>Wing ribs (RH)</t>
  </si>
  <si>
    <t>Wing skin (LH upper+lower)</t>
  </si>
  <si>
    <t>Wing skin (RH upper+lower)</t>
  </si>
  <si>
    <t>Ailerons (LH+RH)</t>
  </si>
  <si>
    <t>Flaps (LH+RH)</t>
  </si>
  <si>
    <t>Wing attach fittings</t>
  </si>
  <si>
    <t>Winglets (LH+RH)</t>
  </si>
  <si>
    <t>Duality intake duct (LH)</t>
  </si>
  <si>
    <t>Long intake aft of wing</t>
  </si>
  <si>
    <t>Duality intake duct (RH)</t>
  </si>
  <si>
    <t>Afterburner-style</t>
  </si>
  <si>
    <t>FADEC (duality LH+RH)</t>
  </si>
  <si>
    <t>FADEC (turbogen)</t>
  </si>
  <si>
    <t>Engine fuel pump (turbogen)</t>
  </si>
  <si>
    <t>Engine fuel pump (duality LH+RH)</t>
  </si>
  <si>
    <t>For burner</t>
  </si>
  <si>
    <t>Engine fuel manifolds</t>
  </si>
  <si>
    <t>Duality intake lip/cowl (LH)</t>
  </si>
  <si>
    <t>Duality intake lip/cowl (RH)</t>
  </si>
  <si>
    <t>Turbogen intake lip/cowl</t>
  </si>
  <si>
    <t>Dorsal</t>
  </si>
  <si>
    <t>Starter motor (turbogen)</t>
  </si>
  <si>
    <t>Electric start</t>
  </si>
  <si>
    <t>Ignition exciter (turbogen)</t>
  </si>
  <si>
    <t>Ignition exciter (duality LH+RH)</t>
  </si>
  <si>
    <t>Owner</t>
  </si>
  <si>
    <t>STRUCTURE</t>
  </si>
  <si>
    <t>Structure Subtotal</t>
  </si>
  <si>
    <t>MECHANICAL SYSTEMS</t>
  </si>
  <si>
    <t>Fuel System</t>
  </si>
  <si>
    <t>Plumbing/pumps only (fuel mass in Fuel block below)</t>
  </si>
  <si>
    <t>Mechanical Subtotal</t>
  </si>
  <si>
    <t>ELECTRICAL SYSTEMS</t>
  </si>
  <si>
    <t>Electrical Subtotal</t>
  </si>
  <si>
    <t>AVIONICS</t>
  </si>
  <si>
    <t>Instruments</t>
  </si>
  <si>
    <t>Avionics Subtotal</t>
  </si>
  <si>
    <t>POWERPLANT</t>
  </si>
  <si>
    <t>Powerplant Subtotal</t>
  </si>
  <si>
    <t>INTERIOR</t>
  </si>
  <si>
    <t>Interior Subtotal</t>
  </si>
  <si>
    <t>EMPTY WEIGHT</t>
  </si>
  <si>
    <t>(sum of all subtotals)</t>
  </si>
  <si>
    <t>WEIGHT SUMMARY</t>
  </si>
  <si>
    <t>Mass (lbm)</t>
  </si>
  <si>
    <t>Spec Target (lbm)</t>
  </si>
  <si>
    <t>Delta (lbm)</t>
  </si>
  <si>
    <t>Margin %</t>
  </si>
  <si>
    <t>Empty Weight</t>
  </si>
  <si>
    <t>Sum of all ATA subtotals</t>
  </si>
  <si>
    <t>(crew, oil, unusable fuel)</t>
  </si>
  <si>
    <t>1 pilot @ 200 lbm + oil + unusable fuel</t>
  </si>
  <si>
    <t>= Operating Empty Weight (OEW)</t>
  </si>
  <si>
    <t>(5 pax + bags)</t>
  </si>
  <si>
    <t>5 pax @ 200 lbm + 300 lbm bags</t>
  </si>
  <si>
    <t>= Zero Fuel Weight (ZFW)</t>
  </si>
  <si>
    <t>MZFW spec</t>
  </si>
  <si>
    <t>(max usable)</t>
  </si>
  <si>
    <t>~1200 gal @ 6.7 lbm/gal Jet-A</t>
  </si>
  <si>
    <t>= Takeoff Weight (TOW)</t>
  </si>
  <si>
    <t>MTOW spec</t>
  </si>
  <si>
    <t>Typical mission burn</t>
  </si>
  <si>
    <t>= Landing Weight (LW)</t>
  </si>
  <si>
    <t>MLW spec</t>
  </si>
  <si>
    <t>Rep</t>
  </si>
  <si>
    <t>Y</t>
  </si>
  <si>
    <t>Space Res</t>
  </si>
  <si>
    <t>Ref Geom</t>
  </si>
  <si>
    <t>Sketch</t>
  </si>
  <si>
    <t>Completed</t>
  </si>
  <si>
    <t>Unc %</t>
  </si>
  <si>
    <t>X</t>
  </si>
  <si>
    <t>Δ vs Target</t>
  </si>
  <si>
    <t>Each ATA carries asymmetric uncertainty (Unc+, Unc−) from the Roll Up sheet. Treated as a triangular distribution per row: mean shift = (Unc+ − Unc−)/3, σ² = (Unc+² + Unc−² − Unc+·Unc−)/18. Uncertainties combine by RSS (root-sum-square); mean shifts add linearly. 95% CI = adjusted mean ± 1.96·σ.</t>
  </si>
  <si>
    <t>95% CI Range (lbm)</t>
  </si>
  <si>
    <t>Ice &amp; Rain</t>
  </si>
  <si>
    <t>Electrical Power (HV)</t>
  </si>
  <si>
    <t>Empty Weight Probability Analysis</t>
  </si>
  <si>
    <t>Target EW (lbm)</t>
  </si>
  <si>
    <t>Margin to Target (lbm)</t>
  </si>
  <si>
    <t>Z-score (σ from target)</t>
  </si>
  <si>
    <t>P(EW ≤ Target)</t>
  </si>
  <si>
    <t>P(EW &gt; Target)</t>
  </si>
  <si>
    <t>Top 5 Risk Drivers (highest σ)</t>
  </si>
  <si>
    <t>ATA / Description</t>
  </si>
  <si>
    <t>% of Total Variance</t>
  </si>
  <si>
    <t>system</t>
  </si>
  <si>
    <t>group</t>
  </si>
  <si>
    <t>total_mass_lbm</t>
  </si>
  <si>
    <t>target_mass_lbm</t>
  </si>
  <si>
    <t>delta_lbm</t>
  </si>
  <si>
    <t>x_cg_ft</t>
  </si>
  <si>
    <t>y_cg_ft</t>
  </si>
  <si>
    <t>z_cg_ft</t>
  </si>
  <si>
    <t>mx_lbm_ft</t>
  </si>
  <si>
    <t>my_lbm_ft</t>
  </si>
  <si>
    <t>mz_lbm_ft</t>
  </si>
  <si>
    <t>unc_plus_lbm</t>
  </si>
  <si>
    <t>unc_minus_lbm</t>
  </si>
  <si>
    <t>system_owner</t>
  </si>
  <si>
    <t>Structure</t>
  </si>
  <si>
    <t>Mechanical</t>
  </si>
  <si>
    <t>Powerplant</t>
  </si>
  <si>
    <t>Interior</t>
  </si>
  <si>
    <t xml:space="preserve">  + Operating Items</t>
  </si>
  <si>
    <t xml:space="preserve">  + Payload</t>
  </si>
  <si>
    <t xml:space="preserve">  + Fuel</t>
  </si>
  <si>
    <t xml:space="preserve">  − Trip Fuel Burn</t>
  </si>
  <si>
    <t>x (lbm)</t>
  </si>
  <si>
    <t>PDF Pass</t>
  </si>
  <si>
    <t>PDF Fail</t>
  </si>
  <si>
    <t>Marker</t>
  </si>
  <si>
    <t>x</t>
  </si>
  <si>
    <t>y</t>
  </si>
  <si>
    <t>Adjusted Mean</t>
  </si>
  <si>
    <t>Crew, oil, unusable fuel</t>
  </si>
  <si>
    <t>− Trip Fuel Burn</t>
  </si>
  <si>
    <t>VERSION</t>
  </si>
  <si>
    <t>Date</t>
  </si>
  <si>
    <t>CHANGE NOTES</t>
  </si>
  <si>
    <t>• Added weight summary rollup (OEW, ZFW, TOW, LW) linked to Roll Up sheet</t>
  </si>
  <si>
    <t>• Added version stamp and change notes block</t>
  </si>
  <si>
    <t>• Set workbook-wide font to Aptos</t>
  </si>
  <si>
    <t>ATA 5200 — Door</t>
  </si>
  <si>
    <t>ATA 5200 Subtotal</t>
  </si>
  <si>
    <t>ATA 5300 — Fuselage</t>
  </si>
  <si>
    <t>ATA 5300 Subtotal</t>
  </si>
  <si>
    <t>ATA 5500 — V-Tail</t>
  </si>
  <si>
    <t>ATA 5500 Subtotal</t>
  </si>
  <si>
    <t>ATA 5600 — Windows</t>
  </si>
  <si>
    <t>ATA 5600 Subtotal</t>
  </si>
  <si>
    <t>ATA 5700 — Wings</t>
  </si>
  <si>
    <t>ATA 5700 Subtotal</t>
  </si>
  <si>
    <t>ATA 3200 — Landing Gear</t>
  </si>
  <si>
    <t>ATA 3200 Subtotal</t>
  </si>
  <si>
    <t>MECHANICAL</t>
  </si>
  <si>
    <t>ATA 2100 — Air Conditioning</t>
  </si>
  <si>
    <t>ATA 2100 Subtotal</t>
  </si>
  <si>
    <t>ATA 2700 — Flight Controls</t>
  </si>
  <si>
    <t>ATA 2700 Subtotal</t>
  </si>
  <si>
    <t>ATA 2800 — Fuel System</t>
  </si>
  <si>
    <t>ATA 2800 Subtotal</t>
  </si>
  <si>
    <t>ATA 2900 — Hydraulic Power</t>
  </si>
  <si>
    <t>ATA 2900 Subtotal</t>
  </si>
  <si>
    <t>ATA 3000 — Ice &amp; Rain Protection</t>
  </si>
  <si>
    <t>ATA 3000 Subtotal</t>
  </si>
  <si>
    <t>ATA 3500 — Oxygen</t>
  </si>
  <si>
    <t>ATA 3500 Subtotal</t>
  </si>
  <si>
    <t>ATA 3600 — Pneumatic</t>
  </si>
  <si>
    <t>ATA 3600 Subtotal</t>
  </si>
  <si>
    <t>ATA 3800 — Water &amp; Waste</t>
  </si>
  <si>
    <t>ATA 3800 Subtotal</t>
  </si>
  <si>
    <t>ELECTRICAL</t>
  </si>
  <si>
    <t>ATA 2400LV — Electrical Power (Low Voltage)</t>
  </si>
  <si>
    <t>ATA 2400LV Subtotal</t>
  </si>
  <si>
    <t>ATA 2400HV — Electrical Power (High Voltage Hybrid)</t>
  </si>
  <si>
    <t>ATA 2400HV Subtotal</t>
  </si>
  <si>
    <t>ATA 3300 — Lights</t>
  </si>
  <si>
    <t>ATA 3300 Subtotal</t>
  </si>
  <si>
    <t>ATA 2200 — Auto Flight</t>
  </si>
  <si>
    <t>ATA 2200 Subtotal</t>
  </si>
  <si>
    <t>ATA 2300 — Communications</t>
  </si>
  <si>
    <t>ATA 2300 Subtotal</t>
  </si>
  <si>
    <t>ATA 3100 — Instruments</t>
  </si>
  <si>
    <t>ATA 3100 Subtotal</t>
  </si>
  <si>
    <t>ATA 3400 — Navigation</t>
  </si>
  <si>
    <t>ATA 3400 Subtotal</t>
  </si>
  <si>
    <t>ATA 7100 Subtotal</t>
  </si>
  <si>
    <t>ATA 7300 — Engine Fuel &amp; Control</t>
  </si>
  <si>
    <t>ATA 7300 Subtotal</t>
  </si>
  <si>
    <t>ATA 7500 — Air (Intakes)</t>
  </si>
  <si>
    <t>ATA 7500 Subtotal</t>
  </si>
  <si>
    <t>ATA 8000 — Starting</t>
  </si>
  <si>
    <t>ATA 8000 Subtotal</t>
  </si>
  <si>
    <t>ATA 2500 — Equipment &amp; Furnishings</t>
  </si>
  <si>
    <t>ATA 2500 Subtotal</t>
  </si>
  <si>
    <t>ATA 2600 — Fire Protection</t>
  </si>
  <si>
    <t>ATA 2600 Subtotal</t>
  </si>
  <si>
    <t>Duality Engines (incl. Turbogen &amp; Exhaust)</t>
  </si>
  <si>
    <t>SUMMARY</t>
  </si>
  <si>
    <t>ATA 7100 — Duality Engines (incl. Turbogen &amp; Exhaust)</t>
  </si>
  <si>
    <t>v0.1.11</t>
  </si>
  <si>
    <t>• Merged ATA 71T (Turbogen) and 78 (Exhaust) into ATA 71 in Risk analysis</t>
  </si>
  <si>
    <t>v0.1.12</t>
  </si>
  <si>
    <t>• Removed dead 7100T/7800 reference rows from Export (folded into 7100)</t>
  </si>
  <si>
    <t>0.1.14</t>
  </si>
  <si>
    <t>Modelled in CAD</t>
  </si>
  <si>
    <t>Duality Stage 1 fan (LH)</t>
  </si>
  <si>
    <t>Forward fan rotor</t>
  </si>
  <si>
    <t>Duality Stage 1 fan (RH)</t>
  </si>
  <si>
    <t>Duality Stage 2 fan (LH)</t>
  </si>
  <si>
    <t>Aft fan rotor</t>
  </si>
  <si>
    <t>Duality Stage 2 fan (RH)</t>
  </si>
  <si>
    <t>Duality front hub (LH)</t>
  </si>
  <si>
    <t>Nose cone / forward fan hub</t>
  </si>
  <si>
    <t>Duality front hub (RH)</t>
  </si>
  <si>
    <t>Duality rear hub (LH)</t>
  </si>
  <si>
    <t>Inter-stage / aft fan hub</t>
  </si>
  <si>
    <t>Duality rear hub (RH)</t>
  </si>
  <si>
    <t>Duality front stator vanes (set) (LH)</t>
  </si>
  <si>
    <t>x3 vanes between hub and S1 fan</t>
  </si>
  <si>
    <t>Duality front stator vanes (set) (RH)</t>
  </si>
  <si>
    <t>Duality rear stator vanes (set) (LH)</t>
  </si>
  <si>
    <t>x3 vanes between fans</t>
  </si>
  <si>
    <t>Duality rear stator vanes (set) (RH)</t>
  </si>
  <si>
    <t>Duality bypass annulus (LH)</t>
  </si>
  <si>
    <t>Fan duct outer wall</t>
  </si>
  <si>
    <t>Duality bypass annulus (RH)</t>
  </si>
  <si>
    <t>Duality Stage 1 motor (LH)</t>
  </si>
  <si>
    <t>Drives Stage 1 fan</t>
  </si>
  <si>
    <t>Duality Stage 1 motor (RH)</t>
  </si>
  <si>
    <t>Duality Stage 2 motor (LH)</t>
  </si>
  <si>
    <t>Drives Stage 2 fan</t>
  </si>
  <si>
    <t>Duality Stage 2 motor (RH)</t>
  </si>
  <si>
    <t>Duality Stage 1 motor mounts (LH)</t>
  </si>
  <si>
    <t>Duality Stage 1 motor mounts (RH)</t>
  </si>
  <si>
    <t>Duality Stage 2 motor mounts (LH)</t>
  </si>
  <si>
    <t>Duality Stage 2 motor mounts (RH)</t>
  </si>
  <si>
    <t>Duality Stage 1 motor controller (LH)</t>
  </si>
  <si>
    <t>Inverter for S1 motor</t>
  </si>
  <si>
    <t>Duality Stage 1 motor controller (RH)</t>
  </si>
  <si>
    <t>Duality Stage 2 motor controller (LH)</t>
  </si>
  <si>
    <t>Inverter for S2 motor</t>
  </si>
  <si>
    <t>Duality Stage 2 motor controller (RH)</t>
  </si>
  <si>
    <t>Duality combustion chamber (LH)</t>
  </si>
  <si>
    <t>Duality combustion chamber (RH)</t>
  </si>
  <si>
    <t>Duality flameholder (LH)</t>
  </si>
  <si>
    <t>Duality flameholder (RH)</t>
  </si>
  <si>
    <t>Duality turbine inlet (LH)</t>
  </si>
  <si>
    <t>Inlet duct to exhaust nozzle</t>
  </si>
  <si>
    <t>Duality turbine inlet (RH)</t>
  </si>
  <si>
    <t>Duality duct &amp; exhaust (LH)</t>
  </si>
  <si>
    <t>Duality duct &amp; exhaust (RH)</t>
  </si>
  <si>
    <t>Duality nozzle (LH)</t>
  </si>
  <si>
    <t>Variable-geometry</t>
  </si>
  <si>
    <t>Duality nozzle (RH)</t>
  </si>
  <si>
    <t>Duality nozzle actuators (LH)</t>
  </si>
  <si>
    <t>Duality nozzle actuators (RH)</t>
  </si>
  <si>
    <t>Central turbine</t>
  </si>
  <si>
    <t>Gas generator, longitudinal axis</t>
  </si>
  <si>
    <t>Turbine mounts</t>
  </si>
  <si>
    <t>Turbine fuel lines</t>
  </si>
  <si>
    <t>Feeds central turbine</t>
  </si>
  <si>
    <t>Stage 1 generator (LH motor feed)</t>
  </si>
  <si>
    <t>Powers LH S1 motor</t>
  </si>
  <si>
    <t>Stage 1 generator (RH motor feed)</t>
  </si>
  <si>
    <t>Powers RH S1 motor</t>
  </si>
  <si>
    <t>Stage 2 generator (LH motor feed)</t>
  </si>
  <si>
    <t>Powers LH S2 motor</t>
  </si>
  <si>
    <t>Stage 2 generator (RH motor feed)</t>
  </si>
  <si>
    <t>Powers RH S2 motor</t>
  </si>
  <si>
    <t>Stage 1 generator mount (LH)</t>
  </si>
  <si>
    <t>Stage 1 generator mount (RH)</t>
  </si>
  <si>
    <t>Stage 2 generator mount (LH)</t>
  </si>
  <si>
    <t>Stage 2 generator mount (RH)</t>
  </si>
  <si>
    <t>Stage 1 generator controller (LH)</t>
  </si>
  <si>
    <t>Rectifier/inverter for S1 LH gen</t>
  </si>
  <si>
    <t>Stage 1 generator controller (RH)</t>
  </si>
  <si>
    <t>Rectifier/inverter for S1 RH gen</t>
  </si>
  <si>
    <t>Stage 2 generator controller (LH)</t>
  </si>
  <si>
    <t>Rectifier/inverter for S2 LH gen</t>
  </si>
  <si>
    <t>Stage 2 generator controller (RH)</t>
  </si>
  <si>
    <t>Rectifier/inverter for S2 RH 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</si>
</sst>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;\(#,##0.0\);\-"/>
    <numFmt numFmtId="165" formatCode="0.0%"/>
    <numFmt numFmtId="166" formatCode="#,##0;\(#,##0\)"/>
    <numFmt numFmtId="167" formatCode="#,##0.0"/>
  </numFmts>
  <fonts count="18" x14ac:knownFonts="1">
    <font>
      <sz val="11"/>
      <color theme="1"/>
      <name val="Aptos Narrow"/>
      <family val="2"/>
      <scheme val="minor"/>
    </font>
    <font>
      <b/>
      <sz val="11"/>
      <color rgb="FFFFFFFF"/>
      <name val="Aptos"/>
    </font>
    <font>
      <b/>
      <sz val="11"/>
      <color rgb="FF0000FF"/>
      <name val="Aptos"/>
    </font>
    <font>
      <sz val="11"/>
      <color theme="1"/>
      <name val="Aptos"/>
    </font>
    <font>
      <b/>
      <sz val="20"/>
      <color rgb="FFFFFFFF"/>
      <name val="Aptos"/>
    </font>
    <font>
      <sz val="11"/>
      <color rgb="FF0000FF"/>
      <name val="Aptos"/>
    </font>
    <font>
      <b/>
      <sz val="14"/>
      <color theme="1"/>
      <name val="Aptos"/>
    </font>
    <font>
      <i/>
      <sz val="11"/>
      <color rgb="FF555555"/>
      <name val="Aptos"/>
    </font>
    <font>
      <b/>
      <sz val="11"/>
      <color rgb="FF1F4E78"/>
      <name val="Aptos"/>
    </font>
    <font>
      <b/>
      <sz val="12"/>
      <color rgb="FFFFFFFF"/>
      <name val="Aptos"/>
    </font>
    <font>
      <b/>
      <sz val="14"/>
      <color rgb="FFFFFFFF"/>
      <name val="Aptos"/>
    </font>
    <font>
      <b/>
      <sz val="11"/>
      <color theme="1"/>
      <name val="Aptos"/>
    </font>
    <font>
      <sz val="11"/>
      <color rgb="FF008000"/>
      <name val="Aptos"/>
    </font>
    <font>
      <sz val="11"/>
      <color rgb="FF000000"/>
      <name val="Aptos"/>
    </font>
    <font>
      <b/>
      <sz val="12"/>
      <color theme="1"/>
      <name val="Aptos"/>
    </font>
    <font>
      <b/>
      <sz val="16"/>
      <color rgb="FFFFFFFF"/>
      <name val="Aptos"/>
    </font>
    <font>
      <sz val="11"/>
      <color rgb="FF1F4E78"/>
      <name val="Aptos"/>
    </font>
    <font>
      <b/>
      <sz val="10"/>
      <color rgb="FFFFFFFF"/>
      <name val="Aptos"/>
    </font>
  </fonts>
  <fills count="9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E69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auto="1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auto="1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2" borderId="0" xfId="0" applyFont="1" applyFill="1"/>
    <xf numFmtId="0" fontId="2" fillId="0" borderId="0" xfId="0" applyFont="1"/>
    <xf numFmtId="0" fontId="3" fillId="0" borderId="0" xfId="0" applyFont="1"/>
    <xf numFmtId="0" fontId="4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2" fillId="0" borderId="0" xfId="0" applyNumberFormat="1" applyFont="1"/>
    <xf numFmtId="0" fontId="5" fillId="0" borderId="0" xfId="0" applyFont="1"/>
    <xf numFmtId="0" fontId="3" fillId="4" borderId="0" xfId="0" applyFont="1" applyFill="1"/>
    <xf numFmtId="0" fontId="6" fillId="0" borderId="0" xfId="0" applyFont="1"/>
    <xf numFmtId="0" fontId="7" fillId="0" borderId="0" xfId="0" applyFont="1"/>
    <xf numFmtId="0" fontId="1" fillId="7" borderId="0" xfId="0" applyFont="1" applyFill="1"/>
    <xf numFmtId="0" fontId="1" fillId="2" borderId="11" xfId="0" applyFont="1" applyFill="1" applyBorder="1"/>
    <xf numFmtId="0" fontId="3" fillId="2" borderId="11" xfId="0" applyFont="1" applyFill="1" applyBorder="1"/>
    <xf numFmtId="3" fontId="3" fillId="0" borderId="0" xfId="0" applyNumberFormat="1" applyFont="1"/>
    <xf numFmtId="2" fontId="3" fillId="0" borderId="0" xfId="0" applyNumberFormat="1" applyFont="1"/>
    <xf numFmtId="3" fontId="5" fillId="0" borderId="0" xfId="0" applyNumberFormat="1" applyFont="1"/>
    <xf numFmtId="166" fontId="3" fillId="0" borderId="0" xfId="0" applyNumberFormat="1" applyFont="1"/>
    <xf numFmtId="0" fontId="8" fillId="3" borderId="0" xfId="0" applyFont="1" applyFill="1"/>
    <xf numFmtId="3" fontId="8" fillId="3" borderId="0" xfId="0" applyNumberFormat="1" applyFont="1" applyFill="1"/>
    <xf numFmtId="2" fontId="8" fillId="3" borderId="0" xfId="0" applyNumberFormat="1" applyFont="1" applyFill="1"/>
    <xf numFmtId="166" fontId="8" fillId="3" borderId="0" xfId="0" applyNumberFormat="1" applyFont="1" applyFill="1"/>
    <xf numFmtId="3" fontId="1" fillId="2" borderId="11" xfId="0" applyNumberFormat="1" applyFont="1" applyFill="1" applyBorder="1"/>
    <xf numFmtId="2" fontId="1" fillId="2" borderId="11" xfId="0" applyNumberFormat="1" applyFont="1" applyFill="1" applyBorder="1"/>
    <xf numFmtId="3" fontId="3" fillId="2" borderId="11" xfId="0" applyNumberFormat="1" applyFont="1" applyFill="1" applyBorder="1"/>
    <xf numFmtId="166" fontId="3" fillId="2" borderId="11" xfId="0" applyNumberFormat="1" applyFont="1" applyFill="1" applyBorder="1"/>
    <xf numFmtId="0" fontId="8" fillId="3" borderId="10" xfId="0" applyFont="1" applyFill="1" applyBorder="1"/>
    <xf numFmtId="3" fontId="8" fillId="3" borderId="10" xfId="0" applyNumberFormat="1" applyFont="1" applyFill="1" applyBorder="1"/>
    <xf numFmtId="2" fontId="8" fillId="3" borderId="10" xfId="0" applyNumberFormat="1" applyFont="1" applyFill="1" applyBorder="1"/>
    <xf numFmtId="166" fontId="8" fillId="3" borderId="10" xfId="0" applyNumberFormat="1" applyFont="1" applyFill="1" applyBorder="1"/>
    <xf numFmtId="0" fontId="9" fillId="2" borderId="12" xfId="0" applyFont="1" applyFill="1" applyBorder="1"/>
    <xf numFmtId="3" fontId="9" fillId="2" borderId="12" xfId="0" applyNumberFormat="1" applyFont="1" applyFill="1" applyBorder="1"/>
    <xf numFmtId="2" fontId="9" fillId="2" borderId="12" xfId="0" applyNumberFormat="1" applyFont="1" applyFill="1" applyBorder="1"/>
    <xf numFmtId="0" fontId="3" fillId="2" borderId="12" xfId="0" applyFont="1" applyFill="1" applyBorder="1"/>
    <xf numFmtId="166" fontId="9" fillId="2" borderId="12" xfId="0" applyNumberFormat="1" applyFont="1" applyFill="1" applyBorder="1"/>
    <xf numFmtId="0" fontId="10" fillId="2" borderId="0" xfId="0" applyFont="1" applyFill="1"/>
    <xf numFmtId="0" fontId="3" fillId="2" borderId="0" xfId="0" applyFont="1" applyFill="1"/>
    <xf numFmtId="0" fontId="9" fillId="2" borderId="0" xfId="0" applyFont="1" applyFill="1" applyAlignment="1">
      <alignment horizontal="center"/>
    </xf>
    <xf numFmtId="0" fontId="11" fillId="0" borderId="0" xfId="0" applyFont="1"/>
    <xf numFmtId="3" fontId="11" fillId="0" borderId="0" xfId="0" applyNumberFormat="1" applyFont="1"/>
    <xf numFmtId="166" fontId="11" fillId="0" borderId="0" xfId="0" applyNumberFormat="1" applyFont="1"/>
    <xf numFmtId="165" fontId="3" fillId="0" borderId="0" xfId="0" applyNumberFormat="1" applyFont="1"/>
    <xf numFmtId="0" fontId="11" fillId="3" borderId="0" xfId="0" quotePrefix="1" applyFont="1" applyFill="1"/>
    <xf numFmtId="0" fontId="3" fillId="3" borderId="0" xfId="0" applyFont="1" applyFill="1"/>
    <xf numFmtId="3" fontId="11" fillId="3" borderId="0" xfId="0" applyNumberFormat="1" applyFont="1" applyFill="1"/>
    <xf numFmtId="3" fontId="5" fillId="3" borderId="0" xfId="0" applyNumberFormat="1" applyFont="1" applyFill="1"/>
    <xf numFmtId="166" fontId="11" fillId="3" borderId="0" xfId="0" applyNumberFormat="1" applyFont="1" applyFill="1"/>
    <xf numFmtId="165" fontId="3" fillId="3" borderId="0" xfId="0" applyNumberFormat="1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/>
    <xf numFmtId="164" fontId="5" fillId="6" borderId="5" xfId="0" applyNumberFormat="1" applyFont="1" applyFill="1" applyBorder="1"/>
    <xf numFmtId="164" fontId="12" fillId="0" borderId="5" xfId="0" applyNumberFormat="1" applyFont="1" applyBorder="1"/>
    <xf numFmtId="164" fontId="13" fillId="0" borderId="5" xfId="0" applyNumberFormat="1" applyFont="1" applyBorder="1"/>
    <xf numFmtId="0" fontId="3" fillId="0" borderId="6" xfId="0" applyFont="1" applyBorder="1"/>
    <xf numFmtId="0" fontId="3" fillId="0" borderId="7" xfId="0" applyFont="1" applyBorder="1" applyAlignment="1">
      <alignment horizontal="center"/>
    </xf>
    <xf numFmtId="0" fontId="3" fillId="0" borderId="8" xfId="0" applyFont="1" applyBorder="1"/>
    <xf numFmtId="164" fontId="5" fillId="6" borderId="8" xfId="0" applyNumberFormat="1" applyFont="1" applyFill="1" applyBorder="1"/>
    <xf numFmtId="164" fontId="12" fillId="0" borderId="8" xfId="0" applyNumberFormat="1" applyFont="1" applyBorder="1"/>
    <xf numFmtId="164" fontId="13" fillId="0" borderId="8" xfId="0" applyNumberFormat="1" applyFont="1" applyBorder="1"/>
    <xf numFmtId="0" fontId="3" fillId="0" borderId="9" xfId="0" applyFont="1" applyBorder="1"/>
    <xf numFmtId="0" fontId="14" fillId="3" borderId="0" xfId="0" applyFont="1" applyFill="1"/>
    <xf numFmtId="0" fontId="11" fillId="0" borderId="4" xfId="0" applyFont="1" applyBorder="1" applyAlignment="1">
      <alignment horizontal="center"/>
    </xf>
    <xf numFmtId="164" fontId="3" fillId="0" borderId="5" xfId="0" applyNumberFormat="1" applyFont="1" applyBorder="1"/>
    <xf numFmtId="0" fontId="11" fillId="0" borderId="7" xfId="0" applyFont="1" applyBorder="1" applyAlignment="1">
      <alignment horizontal="center"/>
    </xf>
    <xf numFmtId="164" fontId="3" fillId="0" borderId="8" xfId="0" applyNumberFormat="1" applyFont="1" applyBorder="1"/>
    <xf numFmtId="3" fontId="1" fillId="2" borderId="0" xfId="0" applyNumberFormat="1" applyFont="1" applyFill="1"/>
    <xf numFmtId="2" fontId="1" fillId="2" borderId="0" xfId="0" applyNumberFormat="1" applyFont="1" applyFill="1"/>
    <xf numFmtId="0" fontId="14" fillId="0" borderId="0" xfId="0" applyFont="1"/>
    <xf numFmtId="3" fontId="2" fillId="0" borderId="0" xfId="0" applyNumberFormat="1" applyFont="1"/>
    <xf numFmtId="2" fontId="11" fillId="0" borderId="0" xfId="0" applyNumberFormat="1" applyFont="1"/>
    <xf numFmtId="165" fontId="11" fillId="0" borderId="0" xfId="0" applyNumberFormat="1" applyFont="1"/>
    <xf numFmtId="0" fontId="11" fillId="3" borderId="0" xfId="0" applyFont="1" applyFill="1"/>
    <xf numFmtId="9" fontId="3" fillId="0" borderId="0" xfId="0" applyNumberFormat="1" applyFont="1"/>
    <xf numFmtId="0" fontId="11" fillId="3" borderId="0" xfId="0" applyFont="1" applyFill="1" applyAlignment="1">
      <alignment horizontal="right"/>
    </xf>
    <xf numFmtId="167" fontId="3" fillId="0" borderId="0" xfId="0" applyNumberFormat="1" applyFont="1"/>
    <xf numFmtId="0" fontId="11" fillId="0" borderId="0" xfId="0" quotePrefix="1" applyFont="1"/>
    <xf numFmtId="167" fontId="11" fillId="0" borderId="0" xfId="0" applyNumberFormat="1" applyFont="1"/>
    <xf numFmtId="0" fontId="11" fillId="8" borderId="0" xfId="0" applyFont="1" applyFill="1"/>
    <xf numFmtId="14" fontId="3" fillId="0" borderId="0" xfId="0" applyNumberFormat="1" applyFont="1"/>
    <xf numFmtId="0" fontId="16" fillId="3" borderId="0" xfId="0" applyFont="1" applyFill="1"/>
    <xf numFmtId="0" fontId="1" fillId="2" borderId="0" xfId="0" applyFont="1" applyFill="1" applyAlignment="1">
      <alignment horizontal="center"/>
    </xf>
    <xf numFmtId="167" fontId="3" fillId="3" borderId="0" xfId="0" applyNumberFormat="1" applyFont="1" applyFill="1"/>
    <xf numFmtId="2" fontId="3" fillId="3" borderId="0" xfId="0" applyNumberFormat="1" applyFont="1" applyFill="1"/>
    <xf numFmtId="167" fontId="8" fillId="3" borderId="10" xfId="0" applyNumberFormat="1" applyFont="1" applyFill="1" applyBorder="1"/>
    <xf numFmtId="0" fontId="15" fillId="2" borderId="0" xfId="0" applyFont="1" applyFill="1" applyAlignment="1">
      <alignment horizontal="center"/>
    </xf>
    <xf numFmtId="0" fontId="3" fillId="0" borderId="0" xfId="0" applyFont="1"/>
    <xf numFmtId="0" fontId="9" fillId="2" borderId="11" xfId="0" applyFont="1" applyFill="1" applyBorder="1"/>
    <xf numFmtId="0" fontId="3" fillId="0" borderId="11" xfId="0" applyFont="1" applyBorder="1"/>
    <xf numFmtId="0" fontId="17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4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30">
    <dxf>
      <font>
        <b/>
        <i val="0"/>
        <color rgb="FF006100"/>
      </font>
    </dxf>
    <dxf>
      <font>
        <b/>
        <i val="0"/>
        <color rgb="FFC00000"/>
      </font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color rgb="FF00802A"/>
      </font>
    </dxf>
    <dxf>
      <font>
        <b/>
        <i val="0"/>
        <color rgb="FFC00000"/>
      </font>
    </dxf>
    <dxf>
      <font>
        <color rgb="FF00802A"/>
      </font>
    </dxf>
    <dxf>
      <font>
        <b/>
        <i val="0"/>
        <color rgb="FFC00000"/>
      </font>
    </dxf>
    <dxf>
      <font>
        <b/>
        <i val="0"/>
        <color rgb="FFCCFFCC"/>
      </font>
    </dxf>
    <dxf>
      <font>
        <b/>
        <i val="0"/>
        <color rgb="FFFFCCCC"/>
      </font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Empty Weight Distribution — Risk of Missing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 (within target)</c:v>
          </c:tx>
          <c:spPr>
            <a:ln w="25400" cap="rnd">
              <a:solidFill>
                <a:srgbClr val="0061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Risk!$I$6:$I$84</c:f>
              <c:numCache>
                <c:formatCode>General</c:formatCode>
                <c:ptCount val="79"/>
                <c:pt idx="0">
                  <c:v>7567.6074148454081</c:v>
                </c:pt>
                <c:pt idx="1">
                  <c:v>7599.7547294742726</c:v>
                </c:pt>
                <c:pt idx="2">
                  <c:v>7631.902044103138</c:v>
                </c:pt>
                <c:pt idx="3">
                  <c:v>7664.0493587320025</c:v>
                </c:pt>
                <c:pt idx="4">
                  <c:v>7696.196673360867</c:v>
                </c:pt>
                <c:pt idx="5">
                  <c:v>7728.3439879897323</c:v>
                </c:pt>
                <c:pt idx="6">
                  <c:v>7760.4913026185968</c:v>
                </c:pt>
                <c:pt idx="7">
                  <c:v>7792.6386172474613</c:v>
                </c:pt>
                <c:pt idx="8">
                  <c:v>7824.7859318763267</c:v>
                </c:pt>
                <c:pt idx="9">
                  <c:v>7856.9332465051912</c:v>
                </c:pt>
                <c:pt idx="10">
                  <c:v>7889.0805611340566</c:v>
                </c:pt>
                <c:pt idx="11">
                  <c:v>7921.227875762921</c:v>
                </c:pt>
                <c:pt idx="12">
                  <c:v>7953.3751903917855</c:v>
                </c:pt>
                <c:pt idx="13">
                  <c:v>7985.5225050206509</c:v>
                </c:pt>
                <c:pt idx="14">
                  <c:v>8017.6698196495154</c:v>
                </c:pt>
                <c:pt idx="15">
                  <c:v>8049.8171342783799</c:v>
                </c:pt>
                <c:pt idx="16">
                  <c:v>8081.9644489072452</c:v>
                </c:pt>
                <c:pt idx="17">
                  <c:v>8114.1117635361097</c:v>
                </c:pt>
                <c:pt idx="18">
                  <c:v>8146.2590781649742</c:v>
                </c:pt>
                <c:pt idx="19">
                  <c:v>8178.4063927938396</c:v>
                </c:pt>
                <c:pt idx="20">
                  <c:v>8210.5537074227032</c:v>
                </c:pt>
                <c:pt idx="21">
                  <c:v>8242.7010220515695</c:v>
                </c:pt>
                <c:pt idx="22">
                  <c:v>8306.9956513092984</c:v>
                </c:pt>
                <c:pt idx="23">
                  <c:v>8339.1429659381629</c:v>
                </c:pt>
                <c:pt idx="24">
                  <c:v>8403.4375951958937</c:v>
                </c:pt>
                <c:pt idx="25">
                  <c:v>8435.5849098247581</c:v>
                </c:pt>
                <c:pt idx="26">
                  <c:v>8467.7322244536226</c:v>
                </c:pt>
                <c:pt idx="27">
                  <c:v>8499.8795390824871</c:v>
                </c:pt>
                <c:pt idx="28">
                  <c:v>8532.0268537113516</c:v>
                </c:pt>
                <c:pt idx="29">
                  <c:v>8564.1741683402161</c:v>
                </c:pt>
                <c:pt idx="30">
                  <c:v>8596.3214829690824</c:v>
                </c:pt>
                <c:pt idx="31">
                  <c:v>8628.4687975979468</c:v>
                </c:pt>
                <c:pt idx="32">
                  <c:v>8660.6161122268113</c:v>
                </c:pt>
                <c:pt idx="33">
                  <c:v>8692.7634268556758</c:v>
                </c:pt>
                <c:pt idx="34">
                  <c:v>8724.9107414845403</c:v>
                </c:pt>
                <c:pt idx="35">
                  <c:v>8757.0580561134047</c:v>
                </c:pt>
                <c:pt idx="36">
                  <c:v>8789.205370742271</c:v>
                </c:pt>
                <c:pt idx="37">
                  <c:v>8821.3526853711355</c:v>
                </c:pt>
                <c:pt idx="38">
                  <c:v>8853.5</c:v>
                </c:pt>
                <c:pt idx="39">
                  <c:v>8885.6473146288645</c:v>
                </c:pt>
                <c:pt idx="40">
                  <c:v>8917.794629257729</c:v>
                </c:pt>
                <c:pt idx="41">
                  <c:v>8949.9419438865953</c:v>
                </c:pt>
                <c:pt idx="42">
                  <c:v>8982.0892585154597</c:v>
                </c:pt>
                <c:pt idx="43">
                  <c:v>9014.2365731443242</c:v>
                </c:pt>
                <c:pt idx="44">
                  <c:v>9046.3838877731887</c:v>
                </c:pt>
                <c:pt idx="45">
                  <c:v>9078.5312024020532</c:v>
                </c:pt>
                <c:pt idx="46">
                  <c:v>9110.6785170309195</c:v>
                </c:pt>
                <c:pt idx="47">
                  <c:v>9142.8258316597839</c:v>
                </c:pt>
                <c:pt idx="48">
                  <c:v>9174.9731462886484</c:v>
                </c:pt>
                <c:pt idx="49">
                  <c:v>9207.1204609175129</c:v>
                </c:pt>
                <c:pt idx="50">
                  <c:v>9239.2677755463774</c:v>
                </c:pt>
                <c:pt idx="51">
                  <c:v>9271.4150901752419</c:v>
                </c:pt>
                <c:pt idx="52">
                  <c:v>9303.5624048041063</c:v>
                </c:pt>
                <c:pt idx="53">
                  <c:v>9335.7097194329726</c:v>
                </c:pt>
                <c:pt idx="54">
                  <c:v>9367.8570340618371</c:v>
                </c:pt>
                <c:pt idx="55">
                  <c:v>9400.0043486907016</c:v>
                </c:pt>
                <c:pt idx="56">
                  <c:v>9432.1516633195661</c:v>
                </c:pt>
                <c:pt idx="57">
                  <c:v>9464.2989779484305</c:v>
                </c:pt>
                <c:pt idx="58">
                  <c:v>9496.4462925772968</c:v>
                </c:pt>
                <c:pt idx="59">
                  <c:v>9528.5936072061613</c:v>
                </c:pt>
                <c:pt idx="60">
                  <c:v>9560.7409218350258</c:v>
                </c:pt>
                <c:pt idx="61">
                  <c:v>9592.8882364638903</c:v>
                </c:pt>
                <c:pt idx="62">
                  <c:v>9625.0355510927548</c:v>
                </c:pt>
                <c:pt idx="63">
                  <c:v>9657.1828657216211</c:v>
                </c:pt>
                <c:pt idx="64">
                  <c:v>9689.3301803504837</c:v>
                </c:pt>
                <c:pt idx="65">
                  <c:v>9721.47749497935</c:v>
                </c:pt>
                <c:pt idx="66">
                  <c:v>9753.6248096082145</c:v>
                </c:pt>
                <c:pt idx="67">
                  <c:v>9785.772124237079</c:v>
                </c:pt>
                <c:pt idx="68">
                  <c:v>9817.9194388659434</c:v>
                </c:pt>
                <c:pt idx="69">
                  <c:v>9850.0667534948079</c:v>
                </c:pt>
                <c:pt idx="70">
                  <c:v>9882.2140681236742</c:v>
                </c:pt>
                <c:pt idx="71">
                  <c:v>9914.3613827525387</c:v>
                </c:pt>
                <c:pt idx="72">
                  <c:v>9946.5086973814032</c:v>
                </c:pt>
                <c:pt idx="73">
                  <c:v>9978.6560120102677</c:v>
                </c:pt>
                <c:pt idx="74">
                  <c:v>10010.803326639132</c:v>
                </c:pt>
                <c:pt idx="75">
                  <c:v>10042.950641267998</c:v>
                </c:pt>
                <c:pt idx="76">
                  <c:v>10075.097955896863</c:v>
                </c:pt>
                <c:pt idx="77">
                  <c:v>10107.245270525727</c:v>
                </c:pt>
                <c:pt idx="78">
                  <c:v>10139.392585154592</c:v>
                </c:pt>
              </c:numCache>
            </c:numRef>
          </c:xVal>
          <c:yVal>
            <c:numRef>
              <c:f>Risk!$J$6:$J$84</c:f>
              <c:numCache>
                <c:formatCode>General</c:formatCode>
                <c:ptCount val="79"/>
                <c:pt idx="0">
                  <c:v>7.1791246763881102E-5</c:v>
                </c:pt>
                <c:pt idx="1">
                  <c:v>9.0993789963162309E-5</c:v>
                </c:pt>
                <c:pt idx="2">
                  <c:v>1.14157121480912E-4</c:v>
                </c:pt>
                <c:pt idx="3">
                  <c:v>1.417572440055161E-4</c:v>
                </c:pt>
                <c:pt idx="4">
                  <c:v>1.7423624774988379E-4</c:v>
                </c:pt>
                <c:pt idx="5">
                  <c:v>2.1197407805721971E-4</c:v>
                </c:pt>
                <c:pt idx="6">
                  <c:v>2.5525719763964646E-4</c:v>
                </c:pt>
                <c:pt idx="7">
                  <c:v>3.0424555056135597E-4</c:v>
                </c:pt>
                <c:pt idx="8">
                  <c:v>3.5893967967813724E-4</c:v>
                </c:pt>
                <c:pt idx="9">
                  <c:v>4.1915022428650947E-4</c:v>
                </c:pt>
                <c:pt idx="10">
                  <c:v>4.8447227824633662E-4</c:v>
                </c:pt>
                <c:pt idx="11">
                  <c:v>5.5426717176420952E-4</c:v>
                </c:pt>
                <c:pt idx="12">
                  <c:v>6.2765411272841141E-4</c:v>
                </c:pt>
                <c:pt idx="13">
                  <c:v>7.0351376226484707E-4</c:v>
                </c:pt>
                <c:pt idx="14">
                  <c:v>7.805052218390258E-4</c:v>
                </c:pt>
                <c:pt idx="15">
                  <c:v>8.5709709877627559E-4</c:v>
                </c:pt>
                <c:pt idx="16">
                  <c:v>9.3161234275283768E-4</c:v>
                </c:pt>
                <c:pt idx="17">
                  <c:v>1.0022854808771559E-3</c:v>
                </c:pt>
                <c:pt idx="18">
                  <c:v>1.0673298151142926E-3</c:v>
                </c:pt>
                <c:pt idx="19">
                  <c:v>1.1250111845184708E-3</c:v>
                </c:pt>
                <c:pt idx="20">
                  <c:v>1.1737241365969103E-3</c:v>
                </c:pt>
                <c:pt idx="21">
                  <c:v>1.2120658850541578E-3</c:v>
                </c:pt>
                <c:pt idx="22">
                  <c:v>1.2534286059883791E-3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3A-4203-B64B-32ADDE7160BE}"/>
            </c:ext>
          </c:extLst>
        </c:ser>
        <c:ser>
          <c:idx val="1"/>
          <c:order val="1"/>
          <c:tx>
            <c:v>PDF (over target)</c:v>
          </c:tx>
          <c:spPr>
            <a:ln w="2540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Risk!$I$6:$I$84</c:f>
              <c:numCache>
                <c:formatCode>General</c:formatCode>
                <c:ptCount val="79"/>
                <c:pt idx="0">
                  <c:v>7567.6074148454081</c:v>
                </c:pt>
                <c:pt idx="1">
                  <c:v>7599.7547294742726</c:v>
                </c:pt>
                <c:pt idx="2">
                  <c:v>7631.902044103138</c:v>
                </c:pt>
                <c:pt idx="3">
                  <c:v>7664.0493587320025</c:v>
                </c:pt>
                <c:pt idx="4">
                  <c:v>7696.196673360867</c:v>
                </c:pt>
                <c:pt idx="5">
                  <c:v>7728.3439879897323</c:v>
                </c:pt>
                <c:pt idx="6">
                  <c:v>7760.4913026185968</c:v>
                </c:pt>
                <c:pt idx="7">
                  <c:v>7792.6386172474613</c:v>
                </c:pt>
                <c:pt idx="8">
                  <c:v>7824.7859318763267</c:v>
                </c:pt>
                <c:pt idx="9">
                  <c:v>7856.9332465051912</c:v>
                </c:pt>
                <c:pt idx="10">
                  <c:v>7889.0805611340566</c:v>
                </c:pt>
                <c:pt idx="11">
                  <c:v>7921.227875762921</c:v>
                </c:pt>
                <c:pt idx="12">
                  <c:v>7953.3751903917855</c:v>
                </c:pt>
                <c:pt idx="13">
                  <c:v>7985.5225050206509</c:v>
                </c:pt>
                <c:pt idx="14">
                  <c:v>8017.6698196495154</c:v>
                </c:pt>
                <c:pt idx="15">
                  <c:v>8049.8171342783799</c:v>
                </c:pt>
                <c:pt idx="16">
                  <c:v>8081.9644489072452</c:v>
                </c:pt>
                <c:pt idx="17">
                  <c:v>8114.1117635361097</c:v>
                </c:pt>
                <c:pt idx="18">
                  <c:v>8146.2590781649742</c:v>
                </c:pt>
                <c:pt idx="19">
                  <c:v>8178.4063927938396</c:v>
                </c:pt>
                <c:pt idx="20">
                  <c:v>8210.5537074227032</c:v>
                </c:pt>
                <c:pt idx="21">
                  <c:v>8242.7010220515695</c:v>
                </c:pt>
                <c:pt idx="22">
                  <c:v>8306.9956513092984</c:v>
                </c:pt>
                <c:pt idx="23">
                  <c:v>8339.1429659381629</c:v>
                </c:pt>
                <c:pt idx="24">
                  <c:v>8403.4375951958937</c:v>
                </c:pt>
                <c:pt idx="25">
                  <c:v>8435.5849098247581</c:v>
                </c:pt>
                <c:pt idx="26">
                  <c:v>8467.7322244536226</c:v>
                </c:pt>
                <c:pt idx="27">
                  <c:v>8499.8795390824871</c:v>
                </c:pt>
                <c:pt idx="28">
                  <c:v>8532.0268537113516</c:v>
                </c:pt>
                <c:pt idx="29">
                  <c:v>8564.1741683402161</c:v>
                </c:pt>
                <c:pt idx="30">
                  <c:v>8596.3214829690824</c:v>
                </c:pt>
                <c:pt idx="31">
                  <c:v>8628.4687975979468</c:v>
                </c:pt>
                <c:pt idx="32">
                  <c:v>8660.6161122268113</c:v>
                </c:pt>
                <c:pt idx="33">
                  <c:v>8692.7634268556758</c:v>
                </c:pt>
                <c:pt idx="34">
                  <c:v>8724.9107414845403</c:v>
                </c:pt>
                <c:pt idx="35">
                  <c:v>8757.0580561134047</c:v>
                </c:pt>
                <c:pt idx="36">
                  <c:v>8789.205370742271</c:v>
                </c:pt>
                <c:pt idx="37">
                  <c:v>8821.3526853711355</c:v>
                </c:pt>
                <c:pt idx="38">
                  <c:v>8853.5</c:v>
                </c:pt>
                <c:pt idx="39">
                  <c:v>8885.6473146288645</c:v>
                </c:pt>
                <c:pt idx="40">
                  <c:v>8917.794629257729</c:v>
                </c:pt>
                <c:pt idx="41">
                  <c:v>8949.9419438865953</c:v>
                </c:pt>
                <c:pt idx="42">
                  <c:v>8982.0892585154597</c:v>
                </c:pt>
                <c:pt idx="43">
                  <c:v>9014.2365731443242</c:v>
                </c:pt>
                <c:pt idx="44">
                  <c:v>9046.3838877731887</c:v>
                </c:pt>
                <c:pt idx="45">
                  <c:v>9078.5312024020532</c:v>
                </c:pt>
                <c:pt idx="46">
                  <c:v>9110.6785170309195</c:v>
                </c:pt>
                <c:pt idx="47">
                  <c:v>9142.8258316597839</c:v>
                </c:pt>
                <c:pt idx="48">
                  <c:v>9174.9731462886484</c:v>
                </c:pt>
                <c:pt idx="49">
                  <c:v>9207.1204609175129</c:v>
                </c:pt>
                <c:pt idx="50">
                  <c:v>9239.2677755463774</c:v>
                </c:pt>
                <c:pt idx="51">
                  <c:v>9271.4150901752419</c:v>
                </c:pt>
                <c:pt idx="52">
                  <c:v>9303.5624048041063</c:v>
                </c:pt>
                <c:pt idx="53">
                  <c:v>9335.7097194329726</c:v>
                </c:pt>
                <c:pt idx="54">
                  <c:v>9367.8570340618371</c:v>
                </c:pt>
                <c:pt idx="55">
                  <c:v>9400.0043486907016</c:v>
                </c:pt>
                <c:pt idx="56">
                  <c:v>9432.1516633195661</c:v>
                </c:pt>
                <c:pt idx="57">
                  <c:v>9464.2989779484305</c:v>
                </c:pt>
                <c:pt idx="58">
                  <c:v>9496.4462925772968</c:v>
                </c:pt>
                <c:pt idx="59">
                  <c:v>9528.5936072061613</c:v>
                </c:pt>
                <c:pt idx="60">
                  <c:v>9560.7409218350258</c:v>
                </c:pt>
                <c:pt idx="61">
                  <c:v>9592.8882364638903</c:v>
                </c:pt>
                <c:pt idx="62">
                  <c:v>9625.0355510927548</c:v>
                </c:pt>
                <c:pt idx="63">
                  <c:v>9657.1828657216211</c:v>
                </c:pt>
                <c:pt idx="64">
                  <c:v>9689.3301803504837</c:v>
                </c:pt>
                <c:pt idx="65">
                  <c:v>9721.47749497935</c:v>
                </c:pt>
                <c:pt idx="66">
                  <c:v>9753.6248096082145</c:v>
                </c:pt>
                <c:pt idx="67">
                  <c:v>9785.772124237079</c:v>
                </c:pt>
                <c:pt idx="68">
                  <c:v>9817.9194388659434</c:v>
                </c:pt>
                <c:pt idx="69">
                  <c:v>9850.0667534948079</c:v>
                </c:pt>
                <c:pt idx="70">
                  <c:v>9882.2140681236742</c:v>
                </c:pt>
                <c:pt idx="71">
                  <c:v>9914.3613827525387</c:v>
                </c:pt>
                <c:pt idx="72">
                  <c:v>9946.5086973814032</c:v>
                </c:pt>
                <c:pt idx="73">
                  <c:v>9978.6560120102677</c:v>
                </c:pt>
                <c:pt idx="74">
                  <c:v>10010.803326639132</c:v>
                </c:pt>
                <c:pt idx="75">
                  <c:v>10042.950641267998</c:v>
                </c:pt>
                <c:pt idx="76">
                  <c:v>10075.097955896863</c:v>
                </c:pt>
                <c:pt idx="77">
                  <c:v>10107.245270525727</c:v>
                </c:pt>
                <c:pt idx="78">
                  <c:v>10139.392585154592</c:v>
                </c:pt>
              </c:numCache>
            </c:numRef>
          </c:xVal>
          <c:yVal>
            <c:numRef>
              <c:f>Risk!$K$6:$K$84</c:f>
              <c:numCache>
                <c:formatCode>General</c:formatCode>
                <c:ptCount val="7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1.2551995769772943E-3</c:v>
                </c:pt>
                <c:pt idx="24">
                  <c:v>1.2206527633388255E-3</c:v>
                </c:pt>
                <c:pt idx="25">
                  <c:v>1.185381952652846E-3</c:v>
                </c:pt>
                <c:pt idx="26">
                  <c:v>1.1393980707384635E-3</c:v>
                </c:pt>
                <c:pt idx="27">
                  <c:v>1.0840358510398617E-3</c:v>
                </c:pt>
                <c:pt idx="28">
                  <c:v>1.0208520555978874E-3</c:v>
                </c:pt>
                <c:pt idx="29">
                  <c:v>9.515529644021438E-4</c:v>
                </c:pt>
                <c:pt idx="30">
                  <c:v>8.7791834105767222E-4</c:v>
                </c:pt>
                <c:pt idx="31">
                  <c:v>8.0172656580532946E-4</c:v>
                </c:pt>
                <c:pt idx="32">
                  <c:v>7.2468525262345761E-4</c:v>
                </c:pt>
                <c:pt idx="33">
                  <c:v>6.4837098126927222E-4</c:v>
                </c:pt>
                <c:pt idx="34">
                  <c:v>5.7418086010895431E-4</c:v>
                </c:pt>
                <c:pt idx="35">
                  <c:v>5.0329758969042181E-4</c:v>
                </c:pt>
                <c:pt idx="36">
                  <c:v>4.3666862262386151E-4</c:v>
                </c:pt>
                <c:pt idx="37">
                  <c:v>3.7499900781316683E-4</c:v>
                </c:pt>
                <c:pt idx="38">
                  <c:v>3.1875664545455976E-4</c:v>
                </c:pt>
                <c:pt idx="39">
                  <c:v>2.6818801971331967E-4</c:v>
                </c:pt>
                <c:pt idx="40">
                  <c:v>2.2334204887824037E-4</c:v>
                </c:pt>
                <c:pt idx="41">
                  <c:v>1.8409950255928663E-4</c:v>
                </c:pt>
                <c:pt idx="42">
                  <c:v>1.5020546386588043E-4</c:v>
                </c:pt>
                <c:pt idx="43">
                  <c:v>1.2130252561139897E-4</c:v>
                </c:pt>
                <c:pt idx="44">
                  <c:v>9.696275630972852E-5</c:v>
                </c:pt>
                <c:pt idx="45">
                  <c:v>7.6716902276055792E-5</c:v>
                </c:pt>
                <c:pt idx="46">
                  <c:v>6.0079756083208309E-5</c:v>
                </c:pt>
                <c:pt idx="47">
                  <c:v>4.6571074693946E-5</c:v>
                </c:pt>
                <c:pt idx="48">
                  <c:v>3.5731837963960584E-5</c:v>
                </c:pt>
                <c:pt idx="49">
                  <c:v>2.7135976123612926E-5</c:v>
                </c:pt>
                <c:pt idx="50">
                  <c:v>2.0397950694849665E-5</c:v>
                </c:pt>
                <c:pt idx="51">
                  <c:v>1.5176744526313822E-5</c:v>
                </c:pt>
                <c:pt idx="52">
                  <c:v>1.1176908773441205E-5</c:v>
                </c:pt>
                <c:pt idx="53">
                  <c:v>8.1473389697019846E-6</c:v>
                </c:pt>
                <c:pt idx="54">
                  <c:v>5.8784233735306546E-6</c:v>
                </c:pt>
                <c:pt idx="55">
                  <c:v>4.1981401615221229E-6</c:v>
                </c:pt>
                <c:pt idx="56">
                  <c:v>2.967590713811202E-6</c:v>
                </c:pt>
                <c:pt idx="57">
                  <c:v>2.0763572059398472E-6</c:v>
                </c:pt>
                <c:pt idx="58">
                  <c:v>1.4379743260090881E-6</c:v>
                </c:pt>
                <c:pt idx="59">
                  <c:v>9.8571460515810366E-7</c:v>
                </c:pt>
                <c:pt idx="60">
                  <c:v>6.6880921382017324E-7</c:v>
                </c:pt>
                <c:pt idx="61">
                  <c:v>4.4916333754575028E-7</c:v>
                </c:pt>
                <c:pt idx="62">
                  <c:v>2.9857768719722309E-7</c:v>
                </c:pt>
                <c:pt idx="63">
                  <c:v>1.9645423514119163E-7</c:v>
                </c:pt>
                <c:pt idx="64">
                  <c:v>1.2794297309730347E-7</c:v>
                </c:pt>
                <c:pt idx="65">
                  <c:v>8.2475029192793872E-8</c:v>
                </c:pt>
                <c:pt idx="66">
                  <c:v>5.2623473868475662E-8</c:v>
                </c:pt>
                <c:pt idx="67">
                  <c:v>3.3234377368929213E-8</c:v>
                </c:pt>
                <c:pt idx="68">
                  <c:v>2.0775265201181804E-8</c:v>
                </c:pt>
                <c:pt idx="69">
                  <c:v>1.2854541850304174E-8</c:v>
                </c:pt>
                <c:pt idx="70">
                  <c:v>7.8725898397503814E-9</c:v>
                </c:pt>
                <c:pt idx="71">
                  <c:v>4.7723209674522389E-9</c:v>
                </c:pt>
                <c:pt idx="72">
                  <c:v>2.863470156030386E-9</c:v>
                </c:pt>
                <c:pt idx="73">
                  <c:v>1.7006176182340228E-9</c:v>
                </c:pt>
                <c:pt idx="74">
                  <c:v>9.9970458417716108E-10</c:v>
                </c:pt>
                <c:pt idx="75">
                  <c:v>5.8168476575765932E-10</c:v>
                </c:pt>
                <c:pt idx="76">
                  <c:v>3.3500762560385222E-10</c:v>
                </c:pt>
                <c:pt idx="77">
                  <c:v>1.909733174365864E-10</c:v>
                </c:pt>
                <c:pt idx="78">
                  <c:v>1.077560563383813E-10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3A-4203-B64B-32ADDE7160BE}"/>
            </c:ext>
          </c:extLst>
        </c:ser>
        <c:ser>
          <c:idx val="2"/>
          <c:order val="2"/>
          <c:tx>
            <c:v>Target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Risk!$N$6:$N$7</c:f>
              <c:numCache>
                <c:formatCode>#,##0</c:formatCode>
                <c:ptCount val="2"/>
                <c:pt idx="0" formatCode="General">
                  <c:v>8320</c:v>
                </c:pt>
                <c:pt idx="1">
                  <c:v>8320</c:v>
                </c:pt>
              </c:numCache>
            </c:numRef>
          </c:xVal>
          <c:yVal>
            <c:numRef>
              <c:f>Risk!$O$6:$O$7</c:f>
              <c:numCache>
                <c:formatCode>General</c:formatCode>
                <c:ptCount val="2"/>
                <c:pt idx="0">
                  <c:v>0</c:v>
                </c:pt>
                <c:pt idx="1">
                  <c:v>1.318845352941668E-3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3A-4203-B64B-32ADDE7160BE}"/>
            </c:ext>
          </c:extLst>
        </c:ser>
        <c:ser>
          <c:idx val="3"/>
          <c:order val="3"/>
          <c:tx>
            <c:v>Adjusted Mean</c:v>
          </c:tx>
          <c:spPr>
            <a:ln w="254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Risk!$N$8:$N$9</c:f>
              <c:numCache>
                <c:formatCode>#,##0</c:formatCode>
                <c:ptCount val="2"/>
                <c:pt idx="0" formatCode="General">
                  <c:v>8853.5</c:v>
                </c:pt>
                <c:pt idx="1">
                  <c:v>8327.5</c:v>
                </c:pt>
              </c:numCache>
            </c:numRef>
          </c:xVal>
          <c:yVal>
            <c:numRef>
              <c:f>Risk!$O$8:$O$9</c:f>
              <c:numCache>
                <c:formatCode>General</c:formatCode>
                <c:ptCount val="2"/>
                <c:pt idx="0">
                  <c:v>0</c:v>
                </c:pt>
                <c:pt idx="1">
                  <c:v>1.318845352941668E-3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3A-4203-B64B-32ADDE7160BE}"/>
            </c:ext>
          </c:extLst>
        </c:ser>
        <c:ser>
          <c:idx val="4"/>
          <c:order val="4"/>
          <c:tx>
            <c:v>P95 (upper)</c:v>
          </c:tx>
          <c:spPr>
            <a:ln w="1270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Risk!$N$10:$N$11</c:f>
              <c:numCache>
                <c:formatCode>General</c:formatCode>
                <c:ptCount val="2"/>
                <c:pt idx="0">
                  <c:v>8950.0318315258628</c:v>
                </c:pt>
                <c:pt idx="1">
                  <c:v>8950.0318315258628</c:v>
                </c:pt>
              </c:numCache>
            </c:numRef>
          </c:xVal>
          <c:yVal>
            <c:numRef>
              <c:f>Risk!$O$10:$O$11</c:f>
              <c:numCache>
                <c:formatCode>General</c:formatCode>
                <c:ptCount val="2"/>
                <c:pt idx="0">
                  <c:v>0</c:v>
                </c:pt>
                <c:pt idx="1">
                  <c:v>1.318845352941668E-3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3A-4203-B64B-32ADDE716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22815"/>
        <c:axId val="49521855"/>
      </c:scatterChart>
      <c:valAx>
        <c:axId val="49522815"/>
        <c:scaling>
          <c:orientation val="minMax"/>
          <c:max val="10500"/>
          <c:min val="7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1855"/>
        <c:crosses val="autoZero"/>
        <c:crossBetween val="midCat"/>
        <c:majorUnit val="500"/>
      </c:valAx>
      <c:valAx>
        <c:axId val="4952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2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</xdr:colOff>
      <xdr:row>2</xdr:row>
      <xdr:rowOff>74083</xdr:rowOff>
    </xdr:from>
    <xdr:to>
      <xdr:col>5</xdr:col>
      <xdr:colOff>783167</xdr:colOff>
      <xdr:row>4</xdr:row>
      <xdr:rowOff>222250</xdr:rowOff>
    </xdr:to>
    <xdr:sp macro="[0]!ExportMassProperties" textlink="">
      <xdr:nvSpPr>
        <xdr:cNvPr id="2" name="Rectangle 1">
          <a:extLst>
            <a:ext uri="{FF2B5EF4-FFF2-40B4-BE49-F238E27FC236}">
              <a16:creationId xmlns:a16="http://schemas.microsoft.com/office/drawing/2014/main" id="{E48B307B-38AA-339D-CF3B-6D063D900EF3}"/>
            </a:ext>
          </a:extLst>
        </xdr:cNvPr>
        <xdr:cNvSpPr/>
      </xdr:nvSpPr>
      <xdr:spPr>
        <a:xfrm>
          <a:off x="8223250" y="666750"/>
          <a:ext cx="1576917" cy="7408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23</xdr:row>
      <xdr:rowOff>0</xdr:rowOff>
    </xdr:from>
    <xdr:to>
      <xdr:col>15</xdr:col>
      <xdr:colOff>419100</xdr:colOff>
      <xdr:row>35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9B18E1-5885-04AF-F58C-982FEF5A3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33F2DD-4EA6-44AC-90A0-7B285374DC5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c4ec3bb8-ec29-4d3f-99e7-c383f0526f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4511-CB86-43A4-B135-4FE870A89D91}">
  <sheetPr codeName="Sheet1"/>
  <dimension ref="A1:O62"/>
  <sheetViews>
    <sheetView zoomScale="47" workbookViewId="0">
      <pane ySplit="10" topLeftCell="A12" activePane="bottomLeft" state="frozen"/>
      <selection pane="bottomLeft" activeCell="K23" sqref="K23"/>
    </sheetView>
  </sheetViews>
  <sheetFormatPr defaultRowHeight="14.4" outlineLevelCol="1" x14ac:dyDescent="0.3"/>
  <cols>
    <col min="1" max="1" width="24.33203125" style="3" bestFit="1" customWidth="1"/>
    <col min="2" max="2" width="33.33203125" style="3" customWidth="1"/>
    <col min="3" max="3" width="13.88671875" style="3" customWidth="1"/>
    <col min="4" max="4" width="16.6640625" style="3" customWidth="1"/>
    <col min="5" max="7" width="12" style="3" customWidth="1"/>
    <col min="8" max="10" width="16.6640625" style="3" hidden="1" customWidth="1" outlineLevel="1"/>
    <col min="11" max="11" width="37" style="3" customWidth="1" collapsed="1"/>
    <col min="12" max="12" width="9.88671875" style="3" customWidth="1"/>
    <col min="13" max="13" width="52.21875" style="3" bestFit="1" customWidth="1"/>
    <col min="14" max="14" width="53.33203125" style="3" bestFit="1" customWidth="1"/>
    <col min="15" max="15" width="16.6640625" style="3" bestFit="1" customWidth="1"/>
    <col min="16" max="16" width="19.88671875" style="3" bestFit="1" customWidth="1"/>
    <col min="17" max="16384" width="8.88671875" style="3"/>
  </cols>
  <sheetData>
    <row r="1" spans="1:15" ht="23.4" customHeight="1" x14ac:dyDescent="0.3">
      <c r="A1" s="1" t="s">
        <v>36</v>
      </c>
      <c r="B1" s="2" t="s">
        <v>470</v>
      </c>
      <c r="D1" s="95" t="s">
        <v>45</v>
      </c>
      <c r="E1" s="95"/>
      <c r="F1" s="95"/>
      <c r="G1" s="95"/>
      <c r="H1" s="95"/>
      <c r="I1" s="95"/>
      <c r="J1" s="95"/>
      <c r="K1" s="95"/>
      <c r="L1" s="4"/>
      <c r="M1" s="4"/>
    </row>
    <row r="2" spans="1:15" ht="23.4" customHeight="1" x14ac:dyDescent="0.3">
      <c r="A2" s="1" t="s">
        <v>37</v>
      </c>
      <c r="B2" s="2" t="s">
        <v>38</v>
      </c>
      <c r="D2" s="96"/>
      <c r="E2" s="96"/>
      <c r="F2" s="96"/>
      <c r="G2" s="96"/>
      <c r="H2" s="96"/>
      <c r="I2" s="96"/>
      <c r="J2" s="96"/>
      <c r="K2" s="96"/>
      <c r="L2" s="5"/>
      <c r="M2" s="5"/>
    </row>
    <row r="3" spans="1:15" ht="23.4" customHeight="1" x14ac:dyDescent="0.3">
      <c r="A3" s="1" t="s">
        <v>39</v>
      </c>
      <c r="B3" s="6">
        <v>46159</v>
      </c>
      <c r="D3" s="96"/>
      <c r="E3" s="96"/>
      <c r="F3" s="96"/>
      <c r="G3" s="96"/>
      <c r="H3" s="96"/>
      <c r="I3" s="96"/>
      <c r="J3" s="96"/>
      <c r="K3" s="96"/>
      <c r="L3" s="5"/>
      <c r="M3" s="5"/>
    </row>
    <row r="4" spans="1:15" ht="23.4" customHeight="1" x14ac:dyDescent="0.3">
      <c r="A4" s="1" t="s">
        <v>40</v>
      </c>
      <c r="B4" s="7"/>
      <c r="D4" s="96"/>
      <c r="E4" s="96"/>
      <c r="F4" s="96"/>
      <c r="G4" s="96"/>
      <c r="H4" s="96"/>
      <c r="I4" s="96"/>
      <c r="J4" s="96"/>
      <c r="K4" s="96"/>
      <c r="L4" s="5"/>
      <c r="M4" s="5"/>
    </row>
    <row r="5" spans="1:15" ht="23.4" customHeight="1" x14ac:dyDescent="0.3">
      <c r="A5" s="1" t="s">
        <v>41</v>
      </c>
      <c r="B5" s="7" t="s">
        <v>42</v>
      </c>
      <c r="D5" s="96"/>
      <c r="E5" s="96"/>
      <c r="F5" s="96"/>
      <c r="G5" s="96"/>
      <c r="H5" s="96"/>
      <c r="I5" s="96"/>
      <c r="J5" s="96"/>
      <c r="K5" s="96"/>
      <c r="L5" s="5"/>
      <c r="M5" s="5"/>
    </row>
    <row r="6" spans="1:15" x14ac:dyDescent="0.3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</row>
    <row r="7" spans="1:15" ht="18" x14ac:dyDescent="0.35">
      <c r="A7" s="93" t="s">
        <v>0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"/>
      <c r="M7" s="9"/>
      <c r="N7" s="9"/>
    </row>
    <row r="8" spans="1:15" x14ac:dyDescent="0.3">
      <c r="A8" s="94" t="s">
        <v>124</v>
      </c>
      <c r="B8" s="94"/>
      <c r="C8" s="94"/>
      <c r="D8" s="94"/>
      <c r="E8" s="94"/>
      <c r="F8" s="94"/>
      <c r="G8" s="94"/>
      <c r="H8" s="94"/>
      <c r="I8" s="94"/>
      <c r="J8" s="94"/>
      <c r="K8" s="94"/>
      <c r="L8" s="10"/>
      <c r="M8" s="10"/>
      <c r="N8" s="10"/>
    </row>
    <row r="10" spans="1:15" ht="15" thickBot="1" x14ac:dyDescent="0.35">
      <c r="A10" s="11" t="s">
        <v>1</v>
      </c>
      <c r="B10" s="11" t="s">
        <v>91</v>
      </c>
      <c r="C10" s="11" t="s">
        <v>73</v>
      </c>
      <c r="D10" s="11" t="s">
        <v>92</v>
      </c>
      <c r="E10" s="11" t="s">
        <v>93</v>
      </c>
      <c r="F10" s="11" t="s">
        <v>94</v>
      </c>
      <c r="G10" s="11" t="s">
        <v>74</v>
      </c>
      <c r="H10" s="11" t="s">
        <v>75</v>
      </c>
      <c r="I10" s="11" t="s">
        <v>76</v>
      </c>
      <c r="J10" s="11" t="s">
        <v>84</v>
      </c>
      <c r="K10" s="11" t="s">
        <v>85</v>
      </c>
      <c r="L10" s="11" t="s">
        <v>310</v>
      </c>
      <c r="M10" s="11" t="s">
        <v>3</v>
      </c>
      <c r="N10" s="11" t="s">
        <v>77</v>
      </c>
      <c r="O10" s="11" t="s">
        <v>357</v>
      </c>
    </row>
    <row r="11" spans="1:15" ht="15" thickTop="1" x14ac:dyDescent="0.3">
      <c r="A11" s="12" t="s">
        <v>311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3"/>
      <c r="O11" s="13"/>
    </row>
    <row r="12" spans="1:15" x14ac:dyDescent="0.3">
      <c r="A12" s="3">
        <v>5200</v>
      </c>
      <c r="B12" s="3" t="s">
        <v>100</v>
      </c>
      <c r="C12" s="14">
        <f>IFERROR(Structure!E17,0)</f>
        <v>103</v>
      </c>
      <c r="D12" s="15">
        <f>IFERROR(Structure!F17,0)</f>
        <v>8</v>
      </c>
      <c r="E12" s="15">
        <f>IFERROR(Structure!G17,0)</f>
        <v>-2.5</v>
      </c>
      <c r="F12" s="15">
        <f>IFERROR(Structure!H17,0)</f>
        <v>3</v>
      </c>
      <c r="G12" s="14">
        <f t="shared" ref="G12:G17" si="0">C12*D12</f>
        <v>824</v>
      </c>
      <c r="H12" s="14">
        <f t="shared" ref="H12:H17" si="1">C12*E12</f>
        <v>-257.5</v>
      </c>
      <c r="I12" s="14">
        <f t="shared" ref="I12:I17" si="2">C12*F12</f>
        <v>309</v>
      </c>
      <c r="J12" s="14">
        <f>IFERROR(Structure!I17,0)</f>
        <v>51.5</v>
      </c>
      <c r="K12" s="14">
        <f>IFERROR(Structure!I17,0)</f>
        <v>51.5</v>
      </c>
      <c r="N12" s="16">
        <v>100</v>
      </c>
      <c r="O12" s="17">
        <f t="shared" ref="O12:O18" si="3">N12-C12</f>
        <v>-3</v>
      </c>
    </row>
    <row r="13" spans="1:15" x14ac:dyDescent="0.3">
      <c r="A13" s="3">
        <v>5300</v>
      </c>
      <c r="B13" s="3" t="s">
        <v>23</v>
      </c>
      <c r="C13" s="14">
        <f>IFERROR(Structure!E44,0)</f>
        <v>1785</v>
      </c>
      <c r="D13" s="15">
        <f>IFERROR(Structure!F44,0)</f>
        <v>16.595518207282915</v>
      </c>
      <c r="E13" s="15">
        <f>IFERROR(Structure!G44,0)</f>
        <v>0</v>
      </c>
      <c r="F13" s="15">
        <f>IFERROR(Structure!H44,0)</f>
        <v>2.7512605042016807</v>
      </c>
      <c r="G13" s="14">
        <f t="shared" si="0"/>
        <v>29623.000000000004</v>
      </c>
      <c r="H13" s="14">
        <f t="shared" si="1"/>
        <v>0</v>
      </c>
      <c r="I13" s="14">
        <f t="shared" si="2"/>
        <v>4911</v>
      </c>
      <c r="J13" s="14">
        <f>IFERROR(Structure!I44,0)</f>
        <v>892.5</v>
      </c>
      <c r="K13" s="14">
        <f>IFERROR(Structure!I44,0)</f>
        <v>892.5</v>
      </c>
      <c r="N13" s="16">
        <v>1800</v>
      </c>
      <c r="O13" s="17">
        <f t="shared" si="3"/>
        <v>15</v>
      </c>
    </row>
    <row r="14" spans="1:15" x14ac:dyDescent="0.3">
      <c r="A14" s="3">
        <v>5500</v>
      </c>
      <c r="B14" s="3" t="s">
        <v>101</v>
      </c>
      <c r="C14" s="14">
        <f>IFERROR(Structure!E67,0)</f>
        <v>330</v>
      </c>
      <c r="D14" s="15">
        <f>IFERROR(Structure!F67,0)</f>
        <v>32.103030303030302</v>
      </c>
      <c r="E14" s="15">
        <f>IFERROR(Structure!G67,0)</f>
        <v>0.72727272727272729</v>
      </c>
      <c r="F14" s="15">
        <f>IFERROR(Structure!H67,0)</f>
        <v>5.9030303030303033</v>
      </c>
      <c r="G14" s="14">
        <f t="shared" si="0"/>
        <v>10594</v>
      </c>
      <c r="H14" s="14">
        <f t="shared" si="1"/>
        <v>240</v>
      </c>
      <c r="I14" s="14">
        <f t="shared" si="2"/>
        <v>1948</v>
      </c>
      <c r="J14" s="14">
        <f>IFERROR(Structure!I67,0)</f>
        <v>165</v>
      </c>
      <c r="K14" s="14">
        <f>IFERROR(Structure!I67,0)</f>
        <v>165</v>
      </c>
      <c r="M14" s="3" t="s">
        <v>102</v>
      </c>
      <c r="N14" s="16">
        <v>330</v>
      </c>
      <c r="O14" s="17">
        <f t="shared" si="3"/>
        <v>0</v>
      </c>
    </row>
    <row r="15" spans="1:15" x14ac:dyDescent="0.3">
      <c r="A15" s="3">
        <v>5600</v>
      </c>
      <c r="B15" s="3" t="s">
        <v>26</v>
      </c>
      <c r="C15" s="14">
        <f>IFERROR(Structure!E86,0)</f>
        <v>124</v>
      </c>
      <c r="D15" s="15">
        <f>IFERROR(Structure!F86,0)</f>
        <v>9.1612903225806459</v>
      </c>
      <c r="E15" s="15">
        <f>IFERROR(Structure!G86,0)</f>
        <v>2.2129032258064516</v>
      </c>
      <c r="F15" s="15">
        <f>IFERROR(Structure!H86,0)</f>
        <v>4.725806451612903</v>
      </c>
      <c r="G15" s="14">
        <f t="shared" si="0"/>
        <v>1136</v>
      </c>
      <c r="H15" s="14">
        <f t="shared" si="1"/>
        <v>274.39999999999998</v>
      </c>
      <c r="I15" s="14">
        <f t="shared" si="2"/>
        <v>586</v>
      </c>
      <c r="J15" s="14">
        <f>IFERROR(Structure!I86,0)</f>
        <v>30.800000000000004</v>
      </c>
      <c r="K15" s="14">
        <f>IFERROR(Structure!I86,0)</f>
        <v>30.800000000000004</v>
      </c>
      <c r="N15" s="16">
        <v>125</v>
      </c>
      <c r="O15" s="17">
        <f t="shared" si="3"/>
        <v>1</v>
      </c>
    </row>
    <row r="16" spans="1:15" x14ac:dyDescent="0.3">
      <c r="A16" s="3">
        <v>5700</v>
      </c>
      <c r="B16" s="3" t="s">
        <v>27</v>
      </c>
      <c r="C16" s="14">
        <f>IFERROR(Structure!E114,0)</f>
        <v>1158</v>
      </c>
      <c r="D16" s="15">
        <f>IFERROR(Structure!F114,0)</f>
        <v>17.26511226252159</v>
      </c>
      <c r="E16" s="15">
        <f>IFERROR(Structure!G114,0)</f>
        <v>1.4093264248704662</v>
      </c>
      <c r="F16" s="15">
        <f>IFERROR(Structure!H114,0)</f>
        <v>2</v>
      </c>
      <c r="G16" s="14">
        <f t="shared" si="0"/>
        <v>19993</v>
      </c>
      <c r="H16" s="14">
        <f t="shared" si="1"/>
        <v>1631.9999999999998</v>
      </c>
      <c r="I16" s="14">
        <f t="shared" si="2"/>
        <v>2316</v>
      </c>
      <c r="J16" s="14">
        <f>IFERROR(Structure!I114,0)</f>
        <v>579</v>
      </c>
      <c r="K16" s="14">
        <f>IFERROR(Structure!I114,0)</f>
        <v>579</v>
      </c>
      <c r="N16" s="16">
        <v>1160</v>
      </c>
      <c r="O16" s="17">
        <f t="shared" si="3"/>
        <v>2</v>
      </c>
    </row>
    <row r="17" spans="1:15" x14ac:dyDescent="0.3">
      <c r="A17" s="3">
        <v>3200</v>
      </c>
      <c r="B17" s="3" t="s">
        <v>15</v>
      </c>
      <c r="C17" s="14">
        <f>IFERROR(Structure!E134,0)</f>
        <v>970</v>
      </c>
      <c r="D17" s="15">
        <f>IFERROR(Structure!F134,0)</f>
        <v>16.020618556701031</v>
      </c>
      <c r="E17" s="15">
        <f>IFERROR(Structure!G134,0)</f>
        <v>4.0206185567010309</v>
      </c>
      <c r="F17" s="15">
        <f>IFERROR(Structure!H134,0)</f>
        <v>0.52319587628865982</v>
      </c>
      <c r="G17" s="14">
        <f t="shared" si="0"/>
        <v>15540</v>
      </c>
      <c r="H17" s="14">
        <f t="shared" si="1"/>
        <v>3900</v>
      </c>
      <c r="I17" s="14">
        <f t="shared" si="2"/>
        <v>507.5</v>
      </c>
      <c r="J17" s="14">
        <f>IFERROR(Structure!I134,0)</f>
        <v>485</v>
      </c>
      <c r="K17" s="14">
        <f>IFERROR(Structure!I134,0)</f>
        <v>485</v>
      </c>
      <c r="N17" s="16">
        <v>970</v>
      </c>
      <c r="O17" s="17">
        <f t="shared" si="3"/>
        <v>0</v>
      </c>
    </row>
    <row r="18" spans="1:15" ht="15" thickBot="1" x14ac:dyDescent="0.35">
      <c r="A18" s="18"/>
      <c r="B18" s="18" t="s">
        <v>312</v>
      </c>
      <c r="C18" s="19">
        <f>SUM(C12:C17)</f>
        <v>4470</v>
      </c>
      <c r="D18" s="20">
        <f>IFERROR(SUM(G12:G17)/C18,0)</f>
        <v>17.384787472035793</v>
      </c>
      <c r="E18" s="20">
        <f>IFERROR(SUM(H12:H17)/C18,0)</f>
        <v>1.295055928411633</v>
      </c>
      <c r="F18" s="20">
        <f>IFERROR(SUM(I12:I17)/C18,0)</f>
        <v>2.366331096196868</v>
      </c>
      <c r="G18" s="19">
        <f>SUM(G12:G17)</f>
        <v>77710</v>
      </c>
      <c r="H18" s="19">
        <f>SUM(H12:H17)</f>
        <v>5788.9</v>
      </c>
      <c r="I18" s="19">
        <f>SUM(I12:I17)</f>
        <v>10577.5</v>
      </c>
      <c r="J18" s="19">
        <f>SUM(J12:J17)</f>
        <v>2203.8000000000002</v>
      </c>
      <c r="K18" s="19">
        <f>SUM(K12:K17)</f>
        <v>2203.8000000000002</v>
      </c>
      <c r="L18" s="18"/>
      <c r="M18" s="18"/>
      <c r="N18" s="19">
        <f>SUM(N12:N17)</f>
        <v>4485</v>
      </c>
      <c r="O18" s="21">
        <f t="shared" si="3"/>
        <v>15</v>
      </c>
    </row>
    <row r="19" spans="1:15" ht="15" thickTop="1" x14ac:dyDescent="0.3">
      <c r="A19" s="12" t="s">
        <v>313</v>
      </c>
      <c r="B19" s="12"/>
      <c r="C19" s="22"/>
      <c r="D19" s="23"/>
      <c r="E19" s="23"/>
      <c r="F19" s="23"/>
      <c r="G19" s="22"/>
      <c r="H19" s="22"/>
      <c r="I19" s="22"/>
      <c r="J19" s="22"/>
      <c r="K19" s="22"/>
      <c r="L19" s="12"/>
      <c r="M19" s="12"/>
      <c r="N19" s="24"/>
      <c r="O19" s="25"/>
    </row>
    <row r="20" spans="1:15" x14ac:dyDescent="0.3">
      <c r="A20" s="3">
        <v>2100</v>
      </c>
      <c r="B20" s="3" t="s">
        <v>4</v>
      </c>
      <c r="C20" s="14">
        <f>IFERROR(Mechanical!E18,0)</f>
        <v>78</v>
      </c>
      <c r="D20" s="15">
        <f>IFERROR(Mechanical!F18,0)</f>
        <v>17.743589743589745</v>
      </c>
      <c r="E20" s="15">
        <f>IFERROR(Mechanical!G18,0)</f>
        <v>0.42307692307692307</v>
      </c>
      <c r="F20" s="15">
        <f>IFERROR(Mechanical!H18,0)</f>
        <v>2.5576923076923075</v>
      </c>
      <c r="G20" s="14">
        <f t="shared" ref="G20:G27" si="4">C20*D20</f>
        <v>1384</v>
      </c>
      <c r="H20" s="14">
        <f t="shared" ref="H20:H27" si="5">C20*E20</f>
        <v>33</v>
      </c>
      <c r="I20" s="14">
        <f t="shared" ref="I20:I27" si="6">C20*F20</f>
        <v>199.49999999999997</v>
      </c>
      <c r="J20" s="14">
        <f>IFERROR(Mechanical!I18,0)</f>
        <v>39</v>
      </c>
      <c r="K20" s="14">
        <f>IFERROR(Mechanical!I18,0)</f>
        <v>39</v>
      </c>
      <c r="N20" s="16">
        <v>80</v>
      </c>
      <c r="O20" s="17">
        <f t="shared" ref="O20:O28" si="7">N20-C20</f>
        <v>2</v>
      </c>
    </row>
    <row r="21" spans="1:15" x14ac:dyDescent="0.3">
      <c r="A21" s="3">
        <v>2700</v>
      </c>
      <c r="B21" s="3" t="s">
        <v>10</v>
      </c>
      <c r="C21" s="14">
        <f>IFERROR(Mechanical!E40,0)</f>
        <v>220</v>
      </c>
      <c r="D21" s="15">
        <f>IFERROR(Mechanical!F40,0)</f>
        <v>19.645454545454545</v>
      </c>
      <c r="E21" s="15">
        <f>IFERROR(Mechanical!G40,0)</f>
        <v>3.7454545454545456</v>
      </c>
      <c r="F21" s="15">
        <f>IFERROR(Mechanical!H40,0)</f>
        <v>3.9295454545454547</v>
      </c>
      <c r="G21" s="14">
        <f t="shared" si="4"/>
        <v>4322</v>
      </c>
      <c r="H21" s="14">
        <f t="shared" si="5"/>
        <v>824</v>
      </c>
      <c r="I21" s="14">
        <f t="shared" si="6"/>
        <v>864.5</v>
      </c>
      <c r="J21" s="14">
        <f>IFERROR(Mechanical!I40,0)</f>
        <v>102.8</v>
      </c>
      <c r="K21" s="14">
        <f>IFERROR(Mechanical!I40,0)</f>
        <v>102.8</v>
      </c>
      <c r="N21" s="16">
        <v>220</v>
      </c>
      <c r="O21" s="17">
        <f t="shared" si="7"/>
        <v>0</v>
      </c>
    </row>
    <row r="22" spans="1:15" x14ac:dyDescent="0.3">
      <c r="A22" s="3">
        <v>2800</v>
      </c>
      <c r="B22" s="3" t="s">
        <v>314</v>
      </c>
      <c r="C22" s="14">
        <f>IFERROR(Mechanical!E62,0)</f>
        <v>220</v>
      </c>
      <c r="D22" s="15">
        <f>IFERROR(Mechanical!F62,0)</f>
        <v>18.045454545454547</v>
      </c>
      <c r="E22" s="15">
        <f>IFERROR(Mechanical!G62,0)</f>
        <v>0</v>
      </c>
      <c r="F22" s="15">
        <f>IFERROR(Mechanical!H62,0)</f>
        <v>2.0327272727272727</v>
      </c>
      <c r="G22" s="14">
        <f t="shared" si="4"/>
        <v>3970.0000000000005</v>
      </c>
      <c r="H22" s="14">
        <f t="shared" si="5"/>
        <v>0</v>
      </c>
      <c r="I22" s="14">
        <f t="shared" si="6"/>
        <v>447.2</v>
      </c>
      <c r="J22" s="14">
        <f>IFERROR(Mechanical!I62,0)</f>
        <v>110</v>
      </c>
      <c r="K22" s="14">
        <f>IFERROR(Mechanical!I62,0)</f>
        <v>110</v>
      </c>
      <c r="M22" s="3" t="s">
        <v>315</v>
      </c>
      <c r="N22" s="16">
        <v>220</v>
      </c>
      <c r="O22" s="17">
        <f t="shared" si="7"/>
        <v>0</v>
      </c>
    </row>
    <row r="23" spans="1:15" x14ac:dyDescent="0.3">
      <c r="A23" s="3">
        <v>2900</v>
      </c>
      <c r="B23" s="3" t="s">
        <v>12</v>
      </c>
      <c r="C23" s="14">
        <f>IFERROR(Mechanical!E82,0)</f>
        <v>90</v>
      </c>
      <c r="D23" s="15">
        <f>IFERROR(Mechanical!F82,0)</f>
        <v>20.133333333333333</v>
      </c>
      <c r="E23" s="15">
        <f>IFERROR(Mechanical!G82,0)</f>
        <v>1.4222222222222223</v>
      </c>
      <c r="F23" s="15">
        <f>IFERROR(Mechanical!H82,0)</f>
        <v>2.8444444444444446</v>
      </c>
      <c r="G23" s="14">
        <f t="shared" si="4"/>
        <v>1812</v>
      </c>
      <c r="H23" s="14">
        <f t="shared" si="5"/>
        <v>128</v>
      </c>
      <c r="I23" s="14">
        <f t="shared" si="6"/>
        <v>256</v>
      </c>
      <c r="J23" s="14">
        <f>IFERROR(Mechanical!I82,0)</f>
        <v>45</v>
      </c>
      <c r="K23" s="14">
        <f>IFERROR(Mechanical!I82,0)</f>
        <v>45</v>
      </c>
      <c r="N23" s="16">
        <v>90</v>
      </c>
      <c r="O23" s="17">
        <f t="shared" si="7"/>
        <v>0</v>
      </c>
    </row>
    <row r="24" spans="1:15" x14ac:dyDescent="0.3">
      <c r="A24" s="3">
        <v>3000</v>
      </c>
      <c r="B24" s="3" t="s">
        <v>13</v>
      </c>
      <c r="C24" s="14">
        <f>IFERROR(Mechanical!E102,0)</f>
        <v>67</v>
      </c>
      <c r="D24" s="15">
        <f>IFERROR(Mechanical!F102,0)</f>
        <v>14.388059701492537</v>
      </c>
      <c r="E24" s="15">
        <f>IFERROR(Mechanical!G102,0)</f>
        <v>0.94029850746268662</v>
      </c>
      <c r="F24" s="15">
        <f>IFERROR(Mechanical!H102,0)</f>
        <v>3.8955223880597014</v>
      </c>
      <c r="G24" s="14">
        <f t="shared" si="4"/>
        <v>964</v>
      </c>
      <c r="H24" s="14">
        <f t="shared" si="5"/>
        <v>63</v>
      </c>
      <c r="I24" s="14">
        <f t="shared" si="6"/>
        <v>261</v>
      </c>
      <c r="J24" s="14">
        <f>IFERROR(Mechanical!I102,0)</f>
        <v>33.5</v>
      </c>
      <c r="K24" s="14">
        <f>IFERROR(Mechanical!I102,0)</f>
        <v>33.5</v>
      </c>
      <c r="N24" s="16">
        <v>70</v>
      </c>
      <c r="O24" s="17">
        <f t="shared" si="7"/>
        <v>3</v>
      </c>
    </row>
    <row r="25" spans="1:15" x14ac:dyDescent="0.3">
      <c r="A25" s="3">
        <v>3500</v>
      </c>
      <c r="B25" s="3" t="s">
        <v>18</v>
      </c>
      <c r="C25" s="14">
        <f>IFERROR(Mechanical!E121,0)</f>
        <v>48</v>
      </c>
      <c r="D25" s="15">
        <f>IFERROR(Mechanical!F121,0)</f>
        <v>9.5416666666666661</v>
      </c>
      <c r="E25" s="15">
        <f>IFERROR(Mechanical!G121,0)</f>
        <v>0</v>
      </c>
      <c r="F25" s="15">
        <f>IFERROR(Mechanical!H121,0)</f>
        <v>3</v>
      </c>
      <c r="G25" s="14">
        <f t="shared" si="4"/>
        <v>458</v>
      </c>
      <c r="H25" s="14">
        <f t="shared" si="5"/>
        <v>0</v>
      </c>
      <c r="I25" s="14">
        <f t="shared" si="6"/>
        <v>144</v>
      </c>
      <c r="J25" s="14">
        <f>IFERROR(Mechanical!I121,0)</f>
        <v>17.399999999999999</v>
      </c>
      <c r="K25" s="14">
        <f>IFERROR(Mechanical!I121,0)</f>
        <v>17.399999999999999</v>
      </c>
      <c r="N25" s="16">
        <v>50</v>
      </c>
      <c r="O25" s="17">
        <f t="shared" si="7"/>
        <v>2</v>
      </c>
    </row>
    <row r="26" spans="1:15" x14ac:dyDescent="0.3">
      <c r="A26" s="3">
        <v>3600</v>
      </c>
      <c r="B26" s="3" t="s">
        <v>19</v>
      </c>
      <c r="C26" s="14">
        <f>IFERROR(Mechanical!E140,0)</f>
        <v>58</v>
      </c>
      <c r="D26" s="15">
        <f>IFERROR(Mechanical!F140,0)</f>
        <v>25</v>
      </c>
      <c r="E26" s="15">
        <f>IFERROR(Mechanical!G140,0)</f>
        <v>0</v>
      </c>
      <c r="F26" s="15">
        <f>IFERROR(Mechanical!H140,0)</f>
        <v>2.5</v>
      </c>
      <c r="G26" s="14">
        <f t="shared" si="4"/>
        <v>1450</v>
      </c>
      <c r="H26" s="14">
        <f t="shared" si="5"/>
        <v>0</v>
      </c>
      <c r="I26" s="14">
        <f t="shared" si="6"/>
        <v>145</v>
      </c>
      <c r="J26" s="14">
        <f>IFERROR(Mechanical!I140,0)</f>
        <v>29</v>
      </c>
      <c r="K26" s="14">
        <f>IFERROR(Mechanical!I140,0)</f>
        <v>29</v>
      </c>
      <c r="N26" s="16">
        <v>60</v>
      </c>
      <c r="O26" s="17">
        <f t="shared" si="7"/>
        <v>2</v>
      </c>
    </row>
    <row r="27" spans="1:15" x14ac:dyDescent="0.3">
      <c r="A27" s="3">
        <v>3800</v>
      </c>
      <c r="B27" s="3" t="s">
        <v>121</v>
      </c>
      <c r="C27" s="14">
        <f>IFERROR(Mechanical!E159,0)</f>
        <v>46</v>
      </c>
      <c r="D27" s="15">
        <f>IFERROR(Mechanical!F159,0)</f>
        <v>22.086956521739129</v>
      </c>
      <c r="E27" s="15">
        <f>IFERROR(Mechanical!G159,0)</f>
        <v>0</v>
      </c>
      <c r="F27" s="15">
        <f>IFERROR(Mechanical!H159,0)</f>
        <v>1.9565217391304348</v>
      </c>
      <c r="G27" s="14">
        <f t="shared" si="4"/>
        <v>1015.9999999999999</v>
      </c>
      <c r="H27" s="14">
        <f t="shared" si="5"/>
        <v>0</v>
      </c>
      <c r="I27" s="14">
        <f t="shared" si="6"/>
        <v>90</v>
      </c>
      <c r="J27" s="14">
        <f>IFERROR(Mechanical!I159,0)</f>
        <v>23</v>
      </c>
      <c r="K27" s="14">
        <f>IFERROR(Mechanical!I159,0)</f>
        <v>23</v>
      </c>
      <c r="N27" s="16">
        <v>45</v>
      </c>
      <c r="O27" s="17">
        <f t="shared" si="7"/>
        <v>-1</v>
      </c>
    </row>
    <row r="28" spans="1:15" ht="15" thickBot="1" x14ac:dyDescent="0.35">
      <c r="A28" s="18"/>
      <c r="B28" s="18" t="s">
        <v>316</v>
      </c>
      <c r="C28" s="19">
        <f>SUM(C20:C27)</f>
        <v>827</v>
      </c>
      <c r="D28" s="20">
        <f>IFERROR(SUM(G20:G27)/C28,0)</f>
        <v>18.592503022974608</v>
      </c>
      <c r="E28" s="20">
        <f>IFERROR(SUM(H20:H27)/C28,0)</f>
        <v>1.2672309552599759</v>
      </c>
      <c r="F28" s="20">
        <f>IFERROR(SUM(I20:I27)/C28,0)</f>
        <v>2.9107617896009672</v>
      </c>
      <c r="G28" s="19">
        <f>SUM(G20:G27)</f>
        <v>15376</v>
      </c>
      <c r="H28" s="19">
        <f>SUM(H20:H27)</f>
        <v>1048</v>
      </c>
      <c r="I28" s="19">
        <f>SUM(I20:I27)</f>
        <v>2407.1999999999998</v>
      </c>
      <c r="J28" s="19">
        <f>SUM(J20:J27)</f>
        <v>399.7</v>
      </c>
      <c r="K28" s="19">
        <f>SUM(K20:K27)</f>
        <v>399.7</v>
      </c>
      <c r="L28" s="18"/>
      <c r="M28" s="18"/>
      <c r="N28" s="19">
        <f>SUM(N20:N27)</f>
        <v>835</v>
      </c>
      <c r="O28" s="21">
        <f t="shared" si="7"/>
        <v>8</v>
      </c>
    </row>
    <row r="29" spans="1:15" ht="15" thickTop="1" x14ac:dyDescent="0.3">
      <c r="A29" s="12" t="s">
        <v>317</v>
      </c>
      <c r="B29" s="12"/>
      <c r="C29" s="22"/>
      <c r="D29" s="23"/>
      <c r="E29" s="23"/>
      <c r="F29" s="23"/>
      <c r="G29" s="22"/>
      <c r="H29" s="22"/>
      <c r="I29" s="22"/>
      <c r="J29" s="22"/>
      <c r="K29" s="22"/>
      <c r="L29" s="12"/>
      <c r="M29" s="12"/>
      <c r="N29" s="24"/>
      <c r="O29" s="25"/>
    </row>
    <row r="30" spans="1:15" x14ac:dyDescent="0.3">
      <c r="A30" s="3" t="s">
        <v>125</v>
      </c>
      <c r="B30" s="3" t="s">
        <v>96</v>
      </c>
      <c r="C30" s="14">
        <f>IFERROR(Electrical!E18,0)</f>
        <v>386</v>
      </c>
      <c r="D30" s="15">
        <f>IFERROR(Electrical!F18,0)</f>
        <v>12.160621761658032</v>
      </c>
      <c r="E30" s="15">
        <f>IFERROR(Electrical!G18,0)</f>
        <v>0</v>
      </c>
      <c r="F30" s="15">
        <f>IFERROR(Electrical!H18,0)</f>
        <v>2.5984455958549222</v>
      </c>
      <c r="G30" s="14">
        <f>C30*D30</f>
        <v>4694</v>
      </c>
      <c r="H30" s="14">
        <f>C30*E30</f>
        <v>0</v>
      </c>
      <c r="I30" s="14">
        <f>C30*F30</f>
        <v>1003</v>
      </c>
      <c r="J30" s="14">
        <f>IFERROR(Electrical!I18,0)</f>
        <v>157</v>
      </c>
      <c r="K30" s="14">
        <f>IFERROR(Electrical!I18,0)</f>
        <v>157</v>
      </c>
      <c r="N30" s="16">
        <v>400</v>
      </c>
      <c r="O30" s="17">
        <f>N30-C30</f>
        <v>14</v>
      </c>
    </row>
    <row r="31" spans="1:15" x14ac:dyDescent="0.3">
      <c r="A31" s="3" t="s">
        <v>126</v>
      </c>
      <c r="B31" s="3" t="s">
        <v>97</v>
      </c>
      <c r="C31" s="14">
        <f>IFERROR(Electrical!E39,0)</f>
        <v>580</v>
      </c>
      <c r="D31" s="15">
        <f>IFERROR(Electrical!F39,0)</f>
        <v>18.448275862068964</v>
      </c>
      <c r="E31" s="15">
        <f>IFERROR(Electrical!G39,0)</f>
        <v>1.1724137931034482</v>
      </c>
      <c r="F31" s="15">
        <f>IFERROR(Electrical!H39,0)</f>
        <v>2.0301724137931036</v>
      </c>
      <c r="G31" s="14">
        <f>C31*D31</f>
        <v>10700</v>
      </c>
      <c r="H31" s="14">
        <f>C31*E31</f>
        <v>679.99999999999989</v>
      </c>
      <c r="I31" s="14">
        <f>C31*F31</f>
        <v>1177.5000000000002</v>
      </c>
      <c r="J31" s="14">
        <f>IFERROR(Electrical!I39,0)</f>
        <v>290</v>
      </c>
      <c r="K31" s="14">
        <f>IFERROR(Electrical!I39,0)</f>
        <v>290</v>
      </c>
      <c r="M31" s="3" t="s">
        <v>98</v>
      </c>
      <c r="N31" s="16">
        <v>600</v>
      </c>
      <c r="O31" s="17">
        <f>N31-C31</f>
        <v>20</v>
      </c>
    </row>
    <row r="32" spans="1:15" x14ac:dyDescent="0.3">
      <c r="A32" s="3">
        <v>3300</v>
      </c>
      <c r="B32" s="3" t="s">
        <v>16</v>
      </c>
      <c r="C32" s="14">
        <f>IFERROR(Electrical!E60,0)</f>
        <v>28.5</v>
      </c>
      <c r="D32" s="15">
        <f>IFERROR(Electrical!F60,0)</f>
        <v>12.473684210526315</v>
      </c>
      <c r="E32" s="15">
        <f>IFERROR(Electrical!G60,0)</f>
        <v>0.73684210526315785</v>
      </c>
      <c r="F32" s="15">
        <f>IFERROR(Electrical!H60,0)</f>
        <v>4.2719298245614032</v>
      </c>
      <c r="G32" s="14">
        <f>C32*D32</f>
        <v>355.5</v>
      </c>
      <c r="H32" s="14">
        <f>C32*E32</f>
        <v>21</v>
      </c>
      <c r="I32" s="14">
        <f>C32*F32</f>
        <v>121.74999999999999</v>
      </c>
      <c r="J32" s="14">
        <f>IFERROR(Electrical!I60,0)</f>
        <v>10.874999999999998</v>
      </c>
      <c r="K32" s="14">
        <f>IFERROR(Electrical!I60,0)</f>
        <v>10.874999999999998</v>
      </c>
      <c r="N32" s="16">
        <v>30</v>
      </c>
      <c r="O32" s="17">
        <f>N32-C32</f>
        <v>1.5</v>
      </c>
    </row>
    <row r="33" spans="1:15" ht="15" thickBot="1" x14ac:dyDescent="0.35">
      <c r="A33" s="18"/>
      <c r="B33" s="18" t="s">
        <v>318</v>
      </c>
      <c r="C33" s="19">
        <f>SUM(C30:C32)</f>
        <v>994.5</v>
      </c>
      <c r="D33" s="20">
        <f>IFERROR(SUM(G30:G32)/C33,0)</f>
        <v>15.836601307189543</v>
      </c>
      <c r="E33" s="20">
        <f>IFERROR(SUM(H30:H32)/C33,0)</f>
        <v>0.70487682252388129</v>
      </c>
      <c r="F33" s="20">
        <f>IFERROR(SUM(I30:I32)/C33,0)</f>
        <v>2.3149824032176975</v>
      </c>
      <c r="G33" s="19">
        <f>SUM(G30:G32)</f>
        <v>15749.5</v>
      </c>
      <c r="H33" s="19">
        <f>SUM(H30:H32)</f>
        <v>700.99999999999989</v>
      </c>
      <c r="I33" s="19">
        <f>SUM(I30:I32)</f>
        <v>2302.25</v>
      </c>
      <c r="J33" s="19">
        <f>SUM(J30:J32)</f>
        <v>457.875</v>
      </c>
      <c r="K33" s="19">
        <f>SUM(K30:K32)</f>
        <v>457.875</v>
      </c>
      <c r="L33" s="18"/>
      <c r="M33" s="18"/>
      <c r="N33" s="19">
        <f>SUM(N30:N32)</f>
        <v>1030</v>
      </c>
      <c r="O33" s="21">
        <f>N33-C33</f>
        <v>35.5</v>
      </c>
    </row>
    <row r="34" spans="1:15" ht="15" thickTop="1" x14ac:dyDescent="0.3">
      <c r="A34" s="12" t="s">
        <v>319</v>
      </c>
      <c r="B34" s="12"/>
      <c r="C34" s="22"/>
      <c r="D34" s="23"/>
      <c r="E34" s="23"/>
      <c r="F34" s="23"/>
      <c r="G34" s="22"/>
      <c r="H34" s="22"/>
      <c r="I34" s="22"/>
      <c r="J34" s="22"/>
      <c r="K34" s="22"/>
      <c r="L34" s="12"/>
      <c r="M34" s="12"/>
      <c r="N34" s="24"/>
      <c r="O34" s="25"/>
    </row>
    <row r="35" spans="1:15" x14ac:dyDescent="0.3">
      <c r="A35" s="3">
        <v>2200</v>
      </c>
      <c r="B35" s="3" t="s">
        <v>5</v>
      </c>
      <c r="C35" s="14">
        <f>IFERROR(Avionics!E16,0)</f>
        <v>16</v>
      </c>
      <c r="D35" s="15">
        <f>IFERROR(Avionics!F16,0)</f>
        <v>11.75</v>
      </c>
      <c r="E35" s="15">
        <f>IFERROR(Avionics!G16,0)</f>
        <v>0</v>
      </c>
      <c r="F35" s="15">
        <f>IFERROR(Avionics!H16,0)</f>
        <v>4</v>
      </c>
      <c r="G35" s="14">
        <f>C35*D35</f>
        <v>188</v>
      </c>
      <c r="H35" s="14">
        <f>C35*E35</f>
        <v>0</v>
      </c>
      <c r="I35" s="14">
        <f>C35*F35</f>
        <v>64</v>
      </c>
      <c r="J35" s="14">
        <f>IFERROR(Avionics!I16,0)</f>
        <v>4.4000000000000004</v>
      </c>
      <c r="K35" s="14">
        <f>IFERROR(Avionics!I16,0)</f>
        <v>4.4000000000000004</v>
      </c>
      <c r="N35" s="16">
        <v>15</v>
      </c>
      <c r="O35" s="17">
        <f>N35-C35</f>
        <v>-1</v>
      </c>
    </row>
    <row r="36" spans="1:15" x14ac:dyDescent="0.3">
      <c r="A36" s="3">
        <v>2300</v>
      </c>
      <c r="B36" s="3" t="s">
        <v>6</v>
      </c>
      <c r="C36" s="14">
        <f>IFERROR(Avionics!E35,0)</f>
        <v>37</v>
      </c>
      <c r="D36" s="15">
        <f>IFERROR(Avionics!F35,0)</f>
        <v>13.810810810810811</v>
      </c>
      <c r="E36" s="15">
        <f>IFERROR(Avionics!G35,0)</f>
        <v>0</v>
      </c>
      <c r="F36" s="15">
        <f>IFERROR(Avionics!H35,0)</f>
        <v>5.3918918918918921</v>
      </c>
      <c r="G36" s="14">
        <f>C36*D36</f>
        <v>511</v>
      </c>
      <c r="H36" s="14">
        <f>C36*E36</f>
        <v>0</v>
      </c>
      <c r="I36" s="14">
        <f>C36*F36</f>
        <v>199.5</v>
      </c>
      <c r="J36" s="14">
        <f>IFERROR(Avionics!I35,0)</f>
        <v>15.5</v>
      </c>
      <c r="K36" s="14">
        <f>IFERROR(Avionics!I35,0)</f>
        <v>15.5</v>
      </c>
      <c r="N36" s="16">
        <v>35</v>
      </c>
      <c r="O36" s="17">
        <f>N36-C36</f>
        <v>-2</v>
      </c>
    </row>
    <row r="37" spans="1:15" x14ac:dyDescent="0.3">
      <c r="A37" s="3">
        <v>3100</v>
      </c>
      <c r="B37" s="3" t="s">
        <v>320</v>
      </c>
      <c r="C37" s="14">
        <f>IFERROR(Avionics!E56,0)</f>
        <v>61</v>
      </c>
      <c r="D37" s="15">
        <f>IFERROR(Avionics!F56,0)</f>
        <v>12.409836065573771</v>
      </c>
      <c r="E37" s="15">
        <f>IFERROR(Avionics!G56,0)</f>
        <v>0.26229508196721313</v>
      </c>
      <c r="F37" s="15">
        <f>IFERROR(Avionics!H56,0)</f>
        <v>4.0081967213114753</v>
      </c>
      <c r="G37" s="14">
        <f>C37*D37</f>
        <v>757</v>
      </c>
      <c r="H37" s="14">
        <f>C37*E37</f>
        <v>16</v>
      </c>
      <c r="I37" s="14">
        <f>C37*F37</f>
        <v>244.5</v>
      </c>
      <c r="J37" s="14">
        <f>IFERROR(Avionics!I56,0)</f>
        <v>11.450000000000001</v>
      </c>
      <c r="K37" s="14">
        <f>IFERROR(Avionics!I56,0)</f>
        <v>11.450000000000001</v>
      </c>
      <c r="N37" s="16">
        <v>60</v>
      </c>
      <c r="O37" s="17">
        <f>N37-C37</f>
        <v>-1</v>
      </c>
    </row>
    <row r="38" spans="1:15" x14ac:dyDescent="0.3">
      <c r="A38" s="3">
        <v>3400</v>
      </c>
      <c r="B38" s="3" t="s">
        <v>17</v>
      </c>
      <c r="C38" s="14">
        <f>IFERROR(Avionics!E77,0)</f>
        <v>90</v>
      </c>
      <c r="D38" s="15">
        <f>IFERROR(Avionics!F77,0)</f>
        <v>4.8666666666666663</v>
      </c>
      <c r="E38" s="15">
        <f>IFERROR(Avionics!G77,0)</f>
        <v>0</v>
      </c>
      <c r="F38" s="15">
        <f>IFERROR(Avionics!H77,0)</f>
        <v>3.6666666666666665</v>
      </c>
      <c r="G38" s="14">
        <f>C38*D38</f>
        <v>437.99999999999994</v>
      </c>
      <c r="H38" s="14">
        <f>C38*E38</f>
        <v>0</v>
      </c>
      <c r="I38" s="14">
        <f>C38*F38</f>
        <v>330</v>
      </c>
      <c r="J38" s="14">
        <f>IFERROR(Avionics!I77,0)</f>
        <v>31.8</v>
      </c>
      <c r="K38" s="14">
        <f>IFERROR(Avionics!I77,0)</f>
        <v>31.8</v>
      </c>
      <c r="N38" s="16">
        <v>90</v>
      </c>
      <c r="O38" s="17">
        <f>N38-C38</f>
        <v>0</v>
      </c>
    </row>
    <row r="39" spans="1:15" ht="15" thickBot="1" x14ac:dyDescent="0.35">
      <c r="A39" s="18"/>
      <c r="B39" s="18" t="s">
        <v>321</v>
      </c>
      <c r="C39" s="19">
        <f>SUM(C35:C38)</f>
        <v>204</v>
      </c>
      <c r="D39" s="20">
        <f>IFERROR(SUM(G35:G38)/C39,0)</f>
        <v>9.2843137254901968</v>
      </c>
      <c r="E39" s="20">
        <f>IFERROR(SUM(H35:H38)/C39,0)</f>
        <v>7.8431372549019607E-2</v>
      </c>
      <c r="F39" s="20">
        <f>IFERROR(SUM(I35:I38)/C39,0)</f>
        <v>4.1078431372549016</v>
      </c>
      <c r="G39" s="19">
        <f>SUM(G35:G38)</f>
        <v>1894</v>
      </c>
      <c r="H39" s="19">
        <f>SUM(H35:H38)</f>
        <v>16</v>
      </c>
      <c r="I39" s="19">
        <f>SUM(I35:I38)</f>
        <v>838</v>
      </c>
      <c r="J39" s="19">
        <f>SUM(J35:J38)</f>
        <v>63.150000000000006</v>
      </c>
      <c r="K39" s="19">
        <f>SUM(K35:K38)</f>
        <v>63.150000000000006</v>
      </c>
      <c r="L39" s="18"/>
      <c r="M39" s="18"/>
      <c r="N39" s="19">
        <f>SUM(N35:N38)</f>
        <v>200</v>
      </c>
      <c r="O39" s="21">
        <f>N39-C39</f>
        <v>-4</v>
      </c>
    </row>
    <row r="40" spans="1:15" ht="15" thickTop="1" x14ac:dyDescent="0.3">
      <c r="A40" s="12" t="s">
        <v>322</v>
      </c>
      <c r="B40" s="12"/>
      <c r="C40" s="22"/>
      <c r="D40" s="23"/>
      <c r="E40" s="23"/>
      <c r="F40" s="23"/>
      <c r="G40" s="22"/>
      <c r="H40" s="22"/>
      <c r="I40" s="22"/>
      <c r="J40" s="22"/>
      <c r="K40" s="22"/>
      <c r="L40" s="12"/>
      <c r="M40" s="12"/>
      <c r="N40" s="24"/>
      <c r="O40" s="25"/>
    </row>
    <row r="41" spans="1:15" x14ac:dyDescent="0.3">
      <c r="A41" s="3">
        <v>7100</v>
      </c>
      <c r="B41" s="3" t="s">
        <v>463</v>
      </c>
      <c r="C41" s="14">
        <f>IFERROR(Powerplant!E70,0)</f>
        <v>914</v>
      </c>
      <c r="D41" s="15">
        <f>IFERROR(Powerplant!F70,0)</f>
        <v>25.969365426695841</v>
      </c>
      <c r="E41" s="15">
        <f>IFERROR(Powerplant!G70,0)</f>
        <v>4.5951859956236324E-2</v>
      </c>
      <c r="F41" s="15">
        <f>IFERROR(Powerplant!H70,0)</f>
        <v>3</v>
      </c>
      <c r="G41" s="14">
        <f t="shared" ref="G41:G44" si="8">C41*D41</f>
        <v>23736</v>
      </c>
      <c r="H41" s="14">
        <f t="shared" ref="H41:H44" si="9">C41*E41</f>
        <v>42</v>
      </c>
      <c r="I41" s="14">
        <f t="shared" ref="I41:I44" si="10">C41*F41</f>
        <v>2742</v>
      </c>
      <c r="J41" s="14">
        <f>IFERROR(Powerplant!I70,0)</f>
        <v>457</v>
      </c>
      <c r="K41" s="14">
        <f>IFERROR(Powerplant!I70,0)</f>
        <v>457</v>
      </c>
      <c r="M41" s="3" t="s">
        <v>104</v>
      </c>
      <c r="N41" s="16">
        <v>850</v>
      </c>
      <c r="O41" s="17">
        <f t="shared" ref="O41:O45" si="11">N41-C41</f>
        <v>-64</v>
      </c>
    </row>
    <row r="42" spans="1:15" x14ac:dyDescent="0.3">
      <c r="A42" s="3">
        <v>7300</v>
      </c>
      <c r="B42" s="3" t="s">
        <v>29</v>
      </c>
      <c r="C42" s="14">
        <f>IFERROR(Powerplant!E91,0)</f>
        <v>75</v>
      </c>
      <c r="D42" s="15">
        <f>IFERROR(Powerplant!F91,0)</f>
        <v>27.84</v>
      </c>
      <c r="E42" s="15">
        <f>IFERROR(Powerplant!G91,0)</f>
        <v>1.6</v>
      </c>
      <c r="F42" s="15">
        <f>IFERROR(Powerplant!H91,0)</f>
        <v>3.2933333333333334</v>
      </c>
      <c r="G42" s="14">
        <f t="shared" si="8"/>
        <v>2088</v>
      </c>
      <c r="H42" s="14">
        <f t="shared" si="9"/>
        <v>120</v>
      </c>
      <c r="I42" s="14">
        <f t="shared" si="10"/>
        <v>247</v>
      </c>
      <c r="J42" s="14">
        <f>IFERROR(Powerplant!I91,0)</f>
        <v>37.5</v>
      </c>
      <c r="K42" s="14">
        <f>IFERROR(Powerplant!I91,0)</f>
        <v>37.5</v>
      </c>
      <c r="N42" s="16">
        <v>75</v>
      </c>
      <c r="O42" s="17">
        <f t="shared" si="11"/>
        <v>0</v>
      </c>
    </row>
    <row r="43" spans="1:15" x14ac:dyDescent="0.3">
      <c r="A43" s="3">
        <v>7500</v>
      </c>
      <c r="B43" s="3" t="s">
        <v>122</v>
      </c>
      <c r="C43" s="14">
        <f>IFERROR(Powerplant!E110,0)</f>
        <v>62</v>
      </c>
      <c r="D43" s="15">
        <f>IFERROR(Powerplant!F110,0)</f>
        <v>20</v>
      </c>
      <c r="E43" s="15">
        <f>IFERROR(Powerplant!G110,0)</f>
        <v>0</v>
      </c>
      <c r="F43" s="15">
        <f>IFERROR(Powerplant!H110,0)</f>
        <v>3.5806451612903225</v>
      </c>
      <c r="G43" s="14">
        <f t="shared" si="8"/>
        <v>1240</v>
      </c>
      <c r="H43" s="14">
        <f t="shared" si="9"/>
        <v>0</v>
      </c>
      <c r="I43" s="14">
        <f t="shared" si="10"/>
        <v>222</v>
      </c>
      <c r="J43" s="14">
        <f>IFERROR(Powerplant!I110,0)</f>
        <v>31</v>
      </c>
      <c r="K43" s="14">
        <f>IFERROR(Powerplant!I110,0)</f>
        <v>31</v>
      </c>
      <c r="M43" s="3" t="s">
        <v>123</v>
      </c>
      <c r="N43" s="16">
        <v>60</v>
      </c>
      <c r="O43" s="17">
        <f t="shared" si="11"/>
        <v>-2</v>
      </c>
    </row>
    <row r="44" spans="1:15" x14ac:dyDescent="0.3">
      <c r="A44" s="3">
        <v>8000</v>
      </c>
      <c r="B44" s="3" t="s">
        <v>33</v>
      </c>
      <c r="C44" s="14">
        <f>IFERROR(Powerplant!E129,0)</f>
        <v>26</v>
      </c>
      <c r="D44" s="15">
        <f>IFERROR(Powerplant!F129,0)</f>
        <v>27.923076923076923</v>
      </c>
      <c r="E44" s="15">
        <f>IFERROR(Powerplant!G129,0)</f>
        <v>0.92307692307692313</v>
      </c>
      <c r="F44" s="15">
        <f>IFERROR(Powerplant!H129,0)</f>
        <v>3.3461538461538463</v>
      </c>
      <c r="G44" s="14">
        <f t="shared" si="8"/>
        <v>726</v>
      </c>
      <c r="H44" s="14">
        <f t="shared" si="9"/>
        <v>24</v>
      </c>
      <c r="I44" s="14">
        <f t="shared" si="10"/>
        <v>87</v>
      </c>
      <c r="J44" s="14">
        <f>IFERROR(Powerplant!I129,0)</f>
        <v>13</v>
      </c>
      <c r="K44" s="14">
        <f>IFERROR(Powerplant!I129,0)</f>
        <v>13</v>
      </c>
      <c r="N44" s="16">
        <v>25</v>
      </c>
      <c r="O44" s="17">
        <f t="shared" si="11"/>
        <v>-1</v>
      </c>
    </row>
    <row r="45" spans="1:15" ht="15" thickBot="1" x14ac:dyDescent="0.35">
      <c r="A45" s="18"/>
      <c r="B45" s="18" t="s">
        <v>323</v>
      </c>
      <c r="C45" s="19">
        <f>SUM(C41:C44)</f>
        <v>1077</v>
      </c>
      <c r="D45" s="20">
        <f>IFERROR(SUM(G41:G44)/C45,0)</f>
        <v>25.803156917363044</v>
      </c>
      <c r="E45" s="20">
        <f>IFERROR(SUM(H41:H44)/C45,0)</f>
        <v>0.17270194986072424</v>
      </c>
      <c r="F45" s="20">
        <f>IFERROR(SUM(I41:I44)/C45,0)</f>
        <v>3.0622098421541319</v>
      </c>
      <c r="G45" s="19">
        <f>SUM(G41:G44)</f>
        <v>27790</v>
      </c>
      <c r="H45" s="19">
        <f>SUM(H41:H44)</f>
        <v>186</v>
      </c>
      <c r="I45" s="19">
        <f>SUM(I41:I44)</f>
        <v>3298</v>
      </c>
      <c r="J45" s="19">
        <f>SUM(J41:J44)</f>
        <v>538.5</v>
      </c>
      <c r="K45" s="19">
        <f>SUM(K41:K44)</f>
        <v>538.5</v>
      </c>
      <c r="L45" s="18"/>
      <c r="M45" s="18"/>
      <c r="N45" s="19">
        <f>SUM(N41:N44)</f>
        <v>1010</v>
      </c>
      <c r="O45" s="21">
        <f t="shared" si="11"/>
        <v>-67</v>
      </c>
    </row>
    <row r="46" spans="1:15" ht="15" thickTop="1" x14ac:dyDescent="0.3">
      <c r="A46" s="12" t="s">
        <v>324</v>
      </c>
      <c r="B46" s="12"/>
      <c r="C46" s="22"/>
      <c r="D46" s="23"/>
      <c r="E46" s="23"/>
      <c r="F46" s="23"/>
      <c r="G46" s="22"/>
      <c r="H46" s="22"/>
      <c r="I46" s="22"/>
      <c r="J46" s="22"/>
      <c r="K46" s="22"/>
      <c r="L46" s="12"/>
      <c r="M46" s="12"/>
      <c r="N46" s="24"/>
      <c r="O46" s="25"/>
    </row>
    <row r="47" spans="1:15" x14ac:dyDescent="0.3">
      <c r="A47" s="3">
        <v>2500</v>
      </c>
      <c r="B47" s="3" t="s">
        <v>99</v>
      </c>
      <c r="C47" s="14">
        <f>IFERROR(Interior!E21,0)</f>
        <v>695</v>
      </c>
      <c r="D47" s="15">
        <f>IFERROR(Interior!F21,0)</f>
        <v>14.03956834532374</v>
      </c>
      <c r="E47" s="15">
        <f>IFERROR(Interior!G21,0)</f>
        <v>0.63669064748201443</v>
      </c>
      <c r="F47" s="15">
        <f>IFERROR(Interior!H21,0)</f>
        <v>3.0949640287769786</v>
      </c>
      <c r="G47" s="14">
        <f>C47*D47</f>
        <v>9757.5</v>
      </c>
      <c r="H47" s="14">
        <f>C47*E47</f>
        <v>442.5</v>
      </c>
      <c r="I47" s="14">
        <f>C47*F47</f>
        <v>2151</v>
      </c>
      <c r="J47" s="14">
        <f>IFERROR(Interior!I21,0)</f>
        <v>259</v>
      </c>
      <c r="K47" s="14">
        <f>IFERROR(Interior!I21,0)</f>
        <v>259</v>
      </c>
      <c r="N47" s="16">
        <v>700</v>
      </c>
      <c r="O47" s="17">
        <f>N47-C47</f>
        <v>5</v>
      </c>
    </row>
    <row r="48" spans="1:15" x14ac:dyDescent="0.3">
      <c r="A48" s="3">
        <v>2600</v>
      </c>
      <c r="B48" s="3" t="s">
        <v>9</v>
      </c>
      <c r="C48" s="14">
        <f>IFERROR(Interior!E41,0)</f>
        <v>60</v>
      </c>
      <c r="D48" s="15">
        <f>IFERROR(Interior!F41,0)</f>
        <v>20.166666666666668</v>
      </c>
      <c r="E48" s="15">
        <f>IFERROR(Interior!G41,0)</f>
        <v>2</v>
      </c>
      <c r="F48" s="15">
        <f>IFERROR(Interior!H41,0)</f>
        <v>2.5833333333333335</v>
      </c>
      <c r="G48" s="14">
        <f>C48*D48</f>
        <v>1210</v>
      </c>
      <c r="H48" s="14">
        <f>C48*E48</f>
        <v>120</v>
      </c>
      <c r="I48" s="14">
        <f>C48*F48</f>
        <v>155</v>
      </c>
      <c r="J48" s="14">
        <f>IFERROR(Interior!I41,0)</f>
        <v>16.5</v>
      </c>
      <c r="K48" s="14">
        <f>IFERROR(Interior!I41,0)</f>
        <v>16.5</v>
      </c>
      <c r="N48" s="16">
        <v>60</v>
      </c>
      <c r="O48" s="17">
        <f>N48-C48</f>
        <v>0</v>
      </c>
    </row>
    <row r="49" spans="1:15" ht="15" thickBot="1" x14ac:dyDescent="0.35">
      <c r="A49" s="26"/>
      <c r="B49" s="26" t="s">
        <v>325</v>
      </c>
      <c r="C49" s="27">
        <f>SUM(C47:C48)</f>
        <v>755</v>
      </c>
      <c r="D49" s="28">
        <f>IFERROR(SUM(G47:G48)/C49,0)</f>
        <v>14.526490066225165</v>
      </c>
      <c r="E49" s="28">
        <f>IFERROR(SUM(H47:H48)/C49,0)</f>
        <v>0.74503311258278149</v>
      </c>
      <c r="F49" s="28">
        <f>IFERROR(SUM(I47:I48)/C49,0)</f>
        <v>3.0543046357615893</v>
      </c>
      <c r="G49" s="27">
        <f>SUM(G47:G48)</f>
        <v>10967.5</v>
      </c>
      <c r="H49" s="27">
        <f>SUM(H47:H48)</f>
        <v>562.5</v>
      </c>
      <c r="I49" s="27">
        <f>SUM(I47:I48)</f>
        <v>2306</v>
      </c>
      <c r="J49" s="27">
        <f>SUM(J47:J48)</f>
        <v>275.5</v>
      </c>
      <c r="K49" s="27">
        <f>SUM(K47:K48)</f>
        <v>275.5</v>
      </c>
      <c r="L49" s="26"/>
      <c r="M49" s="26"/>
      <c r="N49" s="27">
        <f>SUM(N47:N48)</f>
        <v>760</v>
      </c>
      <c r="O49" s="29">
        <f>N49-C49</f>
        <v>5</v>
      </c>
    </row>
    <row r="50" spans="1:15" ht="15.6" thickTop="1" thickBot="1" x14ac:dyDescent="0.35">
      <c r="C50" s="14"/>
      <c r="D50" s="15"/>
      <c r="E50" s="15"/>
      <c r="F50" s="15"/>
      <c r="G50" s="14"/>
      <c r="H50" s="14"/>
      <c r="I50" s="14"/>
      <c r="J50" s="14"/>
      <c r="K50" s="14"/>
      <c r="N50" s="14"/>
      <c r="O50" s="17"/>
    </row>
    <row r="51" spans="1:15" ht="16.8" thickTop="1" thickBot="1" x14ac:dyDescent="0.35">
      <c r="A51" s="30" t="s">
        <v>326</v>
      </c>
      <c r="B51" s="30" t="s">
        <v>327</v>
      </c>
      <c r="C51" s="31">
        <f>C18+C28+C33+C39+C45+C49</f>
        <v>8327.5</v>
      </c>
      <c r="D51" s="32">
        <f>IFERROR((G18+G28+G33+G39+G45+G49)/C51,0)</f>
        <v>17.951005703992795</v>
      </c>
      <c r="E51" s="32">
        <f>IFERROR((H18+H28+H33+H39+H45+H49)/C51,0)</f>
        <v>0.99698589012308614</v>
      </c>
      <c r="F51" s="32">
        <f>IFERROR((I18+I28+I33+I39+I45+I49)/C51,0)</f>
        <v>2.60930051035725</v>
      </c>
      <c r="G51" s="31">
        <f>G18+G28+G33+G39+G45+G49</f>
        <v>149487</v>
      </c>
      <c r="H51" s="31">
        <f>H18+H28+H33+H39+H45+H49</f>
        <v>8302.4</v>
      </c>
      <c r="I51" s="31">
        <f>I18+I28+I33+I39+I45+I49</f>
        <v>21728.95</v>
      </c>
      <c r="J51" s="31">
        <f>J18+J28+J33+J39+J45+J49</f>
        <v>3938.5250000000001</v>
      </c>
      <c r="K51" s="31">
        <f>K18+K28+K33+K39+K45+K49</f>
        <v>3938.5250000000001</v>
      </c>
      <c r="L51" s="33"/>
      <c r="M51" s="33"/>
      <c r="N51" s="31">
        <f>N18+N28+N33+N39+N45+N49</f>
        <v>8320</v>
      </c>
      <c r="O51" s="34">
        <f>N51-C51</f>
        <v>-7.5</v>
      </c>
    </row>
    <row r="52" spans="1:15" ht="15" thickTop="1" x14ac:dyDescent="0.3"/>
    <row r="53" spans="1:15" ht="18" x14ac:dyDescent="0.35">
      <c r="A53" s="35" t="s">
        <v>328</v>
      </c>
      <c r="B53" s="36"/>
      <c r="C53" s="37" t="s">
        <v>329</v>
      </c>
      <c r="D53" s="37" t="s">
        <v>330</v>
      </c>
      <c r="E53" s="37" t="s">
        <v>331</v>
      </c>
      <c r="F53" s="37" t="s">
        <v>332</v>
      </c>
      <c r="G53" s="37" t="s">
        <v>3</v>
      </c>
    </row>
    <row r="54" spans="1:15" x14ac:dyDescent="0.3">
      <c r="A54" s="38" t="s">
        <v>333</v>
      </c>
      <c r="C54" s="39">
        <f>C51</f>
        <v>8327.5</v>
      </c>
      <c r="D54" s="16">
        <v>24500</v>
      </c>
      <c r="E54" s="40">
        <f>D54-C54</f>
        <v>16172.5</v>
      </c>
      <c r="F54" s="41">
        <f>IFERROR((D54-C54)/D54,0)</f>
        <v>0.66010204081632651</v>
      </c>
      <c r="G54" s="3" t="s">
        <v>334</v>
      </c>
    </row>
    <row r="55" spans="1:15" x14ac:dyDescent="0.3">
      <c r="A55" s="3" t="s">
        <v>389</v>
      </c>
      <c r="B55" s="3" t="s">
        <v>335</v>
      </c>
      <c r="C55" s="16">
        <v>450</v>
      </c>
      <c r="D55" s="14"/>
      <c r="E55" s="17"/>
      <c r="G55" s="3" t="s">
        <v>336</v>
      </c>
    </row>
    <row r="56" spans="1:15" x14ac:dyDescent="0.3">
      <c r="A56" s="42" t="s">
        <v>337</v>
      </c>
      <c r="B56" s="43"/>
      <c r="C56" s="44">
        <f>C54+C55</f>
        <v>8777.5</v>
      </c>
      <c r="D56" s="45">
        <v>24950</v>
      </c>
      <c r="E56" s="46">
        <f>D56-C56</f>
        <v>16172.5</v>
      </c>
      <c r="F56" s="47">
        <f>IFERROR((D56-C56)/D56,0)</f>
        <v>0.64819639278557117</v>
      </c>
      <c r="G56" s="43"/>
    </row>
    <row r="57" spans="1:15" x14ac:dyDescent="0.3">
      <c r="A57" s="3" t="s">
        <v>390</v>
      </c>
      <c r="B57" s="3" t="s">
        <v>338</v>
      </c>
      <c r="C57" s="16">
        <v>1300</v>
      </c>
      <c r="D57" s="14"/>
      <c r="E57" s="17"/>
      <c r="G57" s="3" t="s">
        <v>339</v>
      </c>
    </row>
    <row r="58" spans="1:15" x14ac:dyDescent="0.3">
      <c r="A58" s="42" t="s">
        <v>340</v>
      </c>
      <c r="B58" s="43"/>
      <c r="C58" s="44">
        <f>C56+C57</f>
        <v>10077.5</v>
      </c>
      <c r="D58" s="45">
        <v>28500</v>
      </c>
      <c r="E58" s="46">
        <f>D58-C58</f>
        <v>18422.5</v>
      </c>
      <c r="F58" s="47">
        <f>IFERROR((D58-C58)/D58,0)</f>
        <v>0.64640350877192987</v>
      </c>
      <c r="G58" s="43" t="s">
        <v>341</v>
      </c>
    </row>
    <row r="59" spans="1:15" x14ac:dyDescent="0.3">
      <c r="A59" s="3" t="s">
        <v>391</v>
      </c>
      <c r="B59" s="3" t="s">
        <v>342</v>
      </c>
      <c r="C59" s="16">
        <v>8000</v>
      </c>
      <c r="D59" s="14"/>
      <c r="E59" s="17"/>
      <c r="G59" s="3" t="s">
        <v>343</v>
      </c>
    </row>
    <row r="60" spans="1:15" x14ac:dyDescent="0.3">
      <c r="A60" s="42" t="s">
        <v>344</v>
      </c>
      <c r="B60" s="43"/>
      <c r="C60" s="44">
        <f>C58+C59</f>
        <v>18077.5</v>
      </c>
      <c r="D60" s="45">
        <v>37500</v>
      </c>
      <c r="E60" s="46">
        <f>D60-C60</f>
        <v>19422.5</v>
      </c>
      <c r="F60" s="47">
        <f>IFERROR((D60-C60)/D60,0)</f>
        <v>0.51793333333333336</v>
      </c>
      <c r="G60" s="43" t="s">
        <v>345</v>
      </c>
    </row>
    <row r="61" spans="1:15" x14ac:dyDescent="0.3">
      <c r="A61" s="3" t="s">
        <v>392</v>
      </c>
      <c r="C61" s="16">
        <v>5500</v>
      </c>
      <c r="D61" s="14"/>
      <c r="E61" s="17"/>
      <c r="G61" s="3" t="s">
        <v>346</v>
      </c>
    </row>
    <row r="62" spans="1:15" x14ac:dyDescent="0.3">
      <c r="A62" s="42" t="s">
        <v>347</v>
      </c>
      <c r="B62" s="43"/>
      <c r="C62" s="44">
        <f>C60-C61</f>
        <v>12577.5</v>
      </c>
      <c r="D62" s="45">
        <v>33000</v>
      </c>
      <c r="E62" s="46">
        <f>D62-C62</f>
        <v>20422.5</v>
      </c>
      <c r="F62" s="47">
        <f>IFERROR((D62-C62)/D62,0)</f>
        <v>0.61886363636363639</v>
      </c>
      <c r="G62" s="43" t="s">
        <v>348</v>
      </c>
    </row>
  </sheetData>
  <mergeCells count="7">
    <mergeCell ref="A7:K7"/>
    <mergeCell ref="A8:K8"/>
    <mergeCell ref="D1:K1"/>
    <mergeCell ref="D2:K2"/>
    <mergeCell ref="D3:K3"/>
    <mergeCell ref="D4:K4"/>
    <mergeCell ref="D5:K5"/>
  </mergeCells>
  <conditionalFormatting sqref="E54 O12:O49">
    <cfRule type="cellIs" dxfId="29" priority="1" operator="lessThan">
      <formula>0</formula>
    </cfRule>
  </conditionalFormatting>
  <conditionalFormatting sqref="E54 O12:O49">
    <cfRule type="cellIs" dxfId="28" priority="2" operator="greaterThan">
      <formula>0</formula>
    </cfRule>
  </conditionalFormatting>
  <conditionalFormatting sqref="E56">
    <cfRule type="cellIs" dxfId="27" priority="3" operator="lessThan">
      <formula>0</formula>
    </cfRule>
  </conditionalFormatting>
  <conditionalFormatting sqref="E56">
    <cfRule type="cellIs" dxfId="26" priority="4" operator="greaterThan">
      <formula>0</formula>
    </cfRule>
  </conditionalFormatting>
  <conditionalFormatting sqref="E58">
    <cfRule type="cellIs" dxfId="25" priority="5" operator="lessThan">
      <formula>0</formula>
    </cfRule>
  </conditionalFormatting>
  <conditionalFormatting sqref="E58">
    <cfRule type="cellIs" dxfId="24" priority="6" operator="greaterThan">
      <formula>0</formula>
    </cfRule>
  </conditionalFormatting>
  <conditionalFormatting sqref="E60">
    <cfRule type="cellIs" dxfId="23" priority="7" operator="lessThan">
      <formula>0</formula>
    </cfRule>
  </conditionalFormatting>
  <conditionalFormatting sqref="E60">
    <cfRule type="cellIs" dxfId="22" priority="8" operator="greaterThan">
      <formula>0</formula>
    </cfRule>
  </conditionalFormatting>
  <conditionalFormatting sqref="E62">
    <cfRule type="cellIs" dxfId="21" priority="9" operator="lessThan">
      <formula>0</formula>
    </cfRule>
  </conditionalFormatting>
  <conditionalFormatting sqref="E62">
    <cfRule type="cellIs" dxfId="20" priority="10" operator="greaterThan">
      <formula>0</formula>
    </cfRule>
  </conditionalFormatting>
  <conditionalFormatting sqref="F54">
    <cfRule type="cellIs" dxfId="19" priority="11" operator="lessThan">
      <formula>0</formula>
    </cfRule>
  </conditionalFormatting>
  <conditionalFormatting sqref="F54">
    <cfRule type="cellIs" dxfId="18" priority="12" operator="greaterThan">
      <formula>0</formula>
    </cfRule>
  </conditionalFormatting>
  <conditionalFormatting sqref="F56">
    <cfRule type="cellIs" dxfId="17" priority="13" operator="lessThan">
      <formula>0</formula>
    </cfRule>
  </conditionalFormatting>
  <conditionalFormatting sqref="F56">
    <cfRule type="cellIs" dxfId="16" priority="14" operator="greaterThan">
      <formula>0</formula>
    </cfRule>
  </conditionalFormatting>
  <conditionalFormatting sqref="F58">
    <cfRule type="cellIs" dxfId="15" priority="15" operator="lessThan">
      <formula>0</formula>
    </cfRule>
  </conditionalFormatting>
  <conditionalFormatting sqref="F58">
    <cfRule type="cellIs" dxfId="14" priority="16" operator="greaterThan">
      <formula>0</formula>
    </cfRule>
  </conditionalFormatting>
  <conditionalFormatting sqref="F60">
    <cfRule type="cellIs" dxfId="13" priority="17" operator="lessThan">
      <formula>0</formula>
    </cfRule>
  </conditionalFormatting>
  <conditionalFormatting sqref="F60">
    <cfRule type="cellIs" dxfId="12" priority="18" operator="greaterThan">
      <formula>0</formula>
    </cfRule>
  </conditionalFormatting>
  <conditionalFormatting sqref="F62">
    <cfRule type="cellIs" dxfId="11" priority="19" operator="lessThan">
      <formula>0</formula>
    </cfRule>
  </conditionalFormatting>
  <conditionalFormatting sqref="F62">
    <cfRule type="cellIs" dxfId="10" priority="20" operator="greaterThan">
      <formula>0</formula>
    </cfRule>
  </conditionalFormatting>
  <conditionalFormatting sqref="O51">
    <cfRule type="cellIs" dxfId="9" priority="23" operator="lessThan">
      <formula>0</formula>
    </cfRule>
  </conditionalFormatting>
  <conditionalFormatting sqref="O51">
    <cfRule type="cellIs" dxfId="8" priority="24" operator="greaterThan">
      <formula>0</formula>
    </cfRule>
  </conditionalFormatting>
  <dataValidations disablePrompts="1" count="1">
    <dataValidation type="list" allowBlank="1" showInputMessage="1" showErrorMessage="1" sqref="B2" xr:uid="{EEC28524-8CA8-4167-964C-05EDFB513CD9}">
      <formula1>"Draft,Released,Frozen,Archived"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7AB9-59FA-4CBF-A5D3-83F7F924A2DD}">
  <sheetPr codeName="Sheet3"/>
  <dimension ref="A1:F44"/>
  <sheetViews>
    <sheetView zoomScale="71" workbookViewId="0">
      <pane ySplit="4" topLeftCell="A17" activePane="bottomLeft" state="frozen"/>
      <selection pane="bottomLeft" activeCell="F42" sqref="F42"/>
    </sheetView>
  </sheetViews>
  <sheetFormatPr defaultRowHeight="14.4" x14ac:dyDescent="0.3"/>
  <cols>
    <col min="1" max="1" width="9.21875" style="3" customWidth="1"/>
    <col min="2" max="2" width="33.33203125" style="3" customWidth="1"/>
    <col min="3" max="3" width="20.33203125" style="3" customWidth="1"/>
    <col min="4" max="4" width="18.5546875" style="3" customWidth="1"/>
    <col min="5" max="5" width="24.109375" style="3" customWidth="1"/>
    <col min="6" max="6" width="51.88671875" style="3" customWidth="1"/>
    <col min="7" max="16384" width="8.88671875" style="3"/>
  </cols>
  <sheetData>
    <row r="1" spans="1:6" ht="18" x14ac:dyDescent="0.35">
      <c r="A1" s="9" t="s">
        <v>46</v>
      </c>
    </row>
    <row r="2" spans="1:6" x14ac:dyDescent="0.3">
      <c r="A2" s="10" t="s">
        <v>47</v>
      </c>
    </row>
    <row r="4" spans="1:6" x14ac:dyDescent="0.3">
      <c r="A4" s="48" t="s">
        <v>1</v>
      </c>
      <c r="B4" s="49" t="s">
        <v>48</v>
      </c>
      <c r="C4" s="50" t="s">
        <v>78</v>
      </c>
      <c r="D4" s="50" t="s">
        <v>79</v>
      </c>
      <c r="E4" s="50" t="s">
        <v>49</v>
      </c>
      <c r="F4" s="51" t="s">
        <v>3</v>
      </c>
    </row>
    <row r="5" spans="1:6" x14ac:dyDescent="0.3">
      <c r="A5" s="52">
        <v>21</v>
      </c>
      <c r="B5" s="53" t="s">
        <v>4</v>
      </c>
      <c r="C5" s="54">
        <v>187.39269999999999</v>
      </c>
      <c r="D5" s="55">
        <f>'Roll Up'!D15</f>
        <v>9.1612903225806459</v>
      </c>
      <c r="E5" s="56">
        <f t="shared" ref="E5:E34" si="0">D5-C5</f>
        <v>-178.23140967741935</v>
      </c>
      <c r="F5" s="57"/>
    </row>
    <row r="6" spans="1:6" x14ac:dyDescent="0.3">
      <c r="A6" s="52">
        <v>22</v>
      </c>
      <c r="B6" s="53" t="s">
        <v>5</v>
      </c>
      <c r="C6" s="54">
        <v>41.887779999999999</v>
      </c>
      <c r="D6" s="55">
        <f>'Roll Up'!D20</f>
        <v>17.743589743589745</v>
      </c>
      <c r="E6" s="56">
        <f t="shared" si="0"/>
        <v>-24.144190256410255</v>
      </c>
      <c r="F6" s="57"/>
    </row>
    <row r="7" spans="1:6" x14ac:dyDescent="0.3">
      <c r="A7" s="52">
        <v>23</v>
      </c>
      <c r="B7" s="53" t="s">
        <v>6</v>
      </c>
      <c r="C7" s="54">
        <v>55.115499999999997</v>
      </c>
      <c r="D7" s="55">
        <f>'Roll Up'!D26</f>
        <v>25</v>
      </c>
      <c r="E7" s="56">
        <f t="shared" si="0"/>
        <v>-30.115499999999997</v>
      </c>
      <c r="F7" s="57"/>
    </row>
    <row r="8" spans="1:6" x14ac:dyDescent="0.3">
      <c r="A8" s="52">
        <v>24</v>
      </c>
      <c r="B8" s="53" t="s">
        <v>7</v>
      </c>
      <c r="C8" s="54">
        <v>374.78539999999998</v>
      </c>
      <c r="D8" s="55">
        <f>'Roll Up'!D34</f>
        <v>0</v>
      </c>
      <c r="E8" s="56">
        <f t="shared" si="0"/>
        <v>-374.78539999999998</v>
      </c>
      <c r="F8" s="57"/>
    </row>
    <row r="9" spans="1:6" x14ac:dyDescent="0.3">
      <c r="A9" s="52">
        <v>25</v>
      </c>
      <c r="B9" s="53" t="s">
        <v>8</v>
      </c>
      <c r="C9" s="54">
        <v>1807.7883999999999</v>
      </c>
      <c r="D9" s="55">
        <f>'Roll Up'!D42</f>
        <v>27.84</v>
      </c>
      <c r="E9" s="56">
        <f t="shared" si="0"/>
        <v>-1779.9484</v>
      </c>
      <c r="F9" s="57"/>
    </row>
    <row r="10" spans="1:6" x14ac:dyDescent="0.3">
      <c r="A10" s="52">
        <v>26</v>
      </c>
      <c r="B10" s="53" t="s">
        <v>9</v>
      </c>
      <c r="C10" s="54">
        <v>77.161699999999996</v>
      </c>
      <c r="D10" s="55">
        <f>'Roll Up'!D47</f>
        <v>14.03956834532374</v>
      </c>
      <c r="E10" s="56">
        <f t="shared" si="0"/>
        <v>-63.122131654676252</v>
      </c>
      <c r="F10" s="57"/>
    </row>
    <row r="11" spans="1:6" x14ac:dyDescent="0.3">
      <c r="A11" s="52">
        <v>27</v>
      </c>
      <c r="B11" s="53" t="s">
        <v>10</v>
      </c>
      <c r="C11" s="54">
        <v>749.57079999999996</v>
      </c>
      <c r="D11" s="55">
        <f>'Roll Up'!D58</f>
        <v>28500</v>
      </c>
      <c r="E11" s="56">
        <f t="shared" si="0"/>
        <v>27750.429199999999</v>
      </c>
      <c r="F11" s="57"/>
    </row>
    <row r="12" spans="1:6" x14ac:dyDescent="0.3">
      <c r="A12" s="52">
        <v>28</v>
      </c>
      <c r="B12" s="53" t="s">
        <v>11</v>
      </c>
      <c r="C12" s="54">
        <v>13889.105999999998</v>
      </c>
      <c r="D12" s="55">
        <f>'Roll Up'!D65</f>
        <v>0</v>
      </c>
      <c r="E12" s="56">
        <f t="shared" si="0"/>
        <v>-13889.105999999998</v>
      </c>
      <c r="F12" s="57"/>
    </row>
    <row r="13" spans="1:6" x14ac:dyDescent="0.3">
      <c r="A13" s="52">
        <v>29</v>
      </c>
      <c r="B13" s="53" t="s">
        <v>12</v>
      </c>
      <c r="C13" s="54">
        <v>114.64023999999999</v>
      </c>
      <c r="D13" s="55">
        <f>'Roll Up'!D71</f>
        <v>0</v>
      </c>
      <c r="E13" s="56">
        <f t="shared" si="0"/>
        <v>-114.64023999999999</v>
      </c>
      <c r="F13" s="57"/>
    </row>
    <row r="14" spans="1:6" x14ac:dyDescent="0.3">
      <c r="A14" s="52">
        <v>30</v>
      </c>
      <c r="B14" s="53" t="s">
        <v>13</v>
      </c>
      <c r="C14" s="54">
        <v>105.82175999999998</v>
      </c>
      <c r="D14" s="55">
        <f>'Roll Up'!D76</f>
        <v>0</v>
      </c>
      <c r="E14" s="56">
        <f t="shared" si="0"/>
        <v>-105.82175999999998</v>
      </c>
      <c r="F14" s="57"/>
    </row>
    <row r="15" spans="1:6" x14ac:dyDescent="0.3">
      <c r="A15" s="52">
        <v>31</v>
      </c>
      <c r="B15" s="53" t="s">
        <v>14</v>
      </c>
      <c r="C15" s="54">
        <v>101.41251999999999</v>
      </c>
      <c r="D15" s="55">
        <f>'Roll Up'!D80</f>
        <v>0</v>
      </c>
      <c r="E15" s="56">
        <f t="shared" si="0"/>
        <v>-101.41251999999999</v>
      </c>
      <c r="F15" s="57"/>
    </row>
    <row r="16" spans="1:6" x14ac:dyDescent="0.3">
      <c r="A16" s="52">
        <v>32</v>
      </c>
      <c r="B16" s="53" t="s">
        <v>15</v>
      </c>
      <c r="C16" s="54">
        <v>2425.0819999999999</v>
      </c>
      <c r="D16" s="55">
        <f>'Roll Up'!D87</f>
        <v>0</v>
      </c>
      <c r="E16" s="56">
        <f t="shared" si="0"/>
        <v>-2425.0819999999999</v>
      </c>
      <c r="F16" s="57"/>
    </row>
    <row r="17" spans="1:6" x14ac:dyDescent="0.3">
      <c r="A17" s="52">
        <v>33</v>
      </c>
      <c r="B17" s="53" t="s">
        <v>16</v>
      </c>
      <c r="C17" s="54">
        <v>74.957079999999991</v>
      </c>
      <c r="D17" s="55">
        <f>'Roll Up'!D92</f>
        <v>0</v>
      </c>
      <c r="E17" s="56">
        <f t="shared" si="0"/>
        <v>-74.957079999999991</v>
      </c>
      <c r="F17" s="57"/>
    </row>
    <row r="18" spans="1:6" x14ac:dyDescent="0.3">
      <c r="A18" s="52">
        <v>34</v>
      </c>
      <c r="B18" s="53" t="s">
        <v>17</v>
      </c>
      <c r="C18" s="54">
        <v>138.89105999999998</v>
      </c>
      <c r="D18" s="55">
        <f>'Roll Up'!D99</f>
        <v>0</v>
      </c>
      <c r="E18" s="56">
        <f t="shared" si="0"/>
        <v>-138.89105999999998</v>
      </c>
      <c r="F18" s="57"/>
    </row>
    <row r="19" spans="1:6" x14ac:dyDescent="0.3">
      <c r="A19" s="52">
        <v>35</v>
      </c>
      <c r="B19" s="53" t="s">
        <v>18</v>
      </c>
      <c r="C19" s="54">
        <v>132.27719999999999</v>
      </c>
      <c r="D19" s="55">
        <f>'Roll Up'!D103</f>
        <v>0</v>
      </c>
      <c r="E19" s="56">
        <f t="shared" si="0"/>
        <v>-132.27719999999999</v>
      </c>
      <c r="F19" s="57"/>
    </row>
    <row r="20" spans="1:6" x14ac:dyDescent="0.3">
      <c r="A20" s="52">
        <v>36</v>
      </c>
      <c r="B20" s="53" t="s">
        <v>19</v>
      </c>
      <c r="C20" s="54">
        <v>209.43889999999999</v>
      </c>
      <c r="D20" s="55">
        <f>'Roll Up'!D107</f>
        <v>0</v>
      </c>
      <c r="E20" s="56">
        <f t="shared" si="0"/>
        <v>-209.43889999999999</v>
      </c>
      <c r="F20" s="57"/>
    </row>
    <row r="21" spans="1:6" x14ac:dyDescent="0.3">
      <c r="A21" s="52">
        <v>38</v>
      </c>
      <c r="B21" s="53" t="s">
        <v>20</v>
      </c>
      <c r="C21" s="54">
        <v>308.64679999999998</v>
      </c>
      <c r="D21" s="55">
        <f>'Roll Up'!D111</f>
        <v>0</v>
      </c>
      <c r="E21" s="56">
        <f t="shared" si="0"/>
        <v>-308.64679999999998</v>
      </c>
      <c r="F21" s="57"/>
    </row>
    <row r="22" spans="1:6" x14ac:dyDescent="0.3">
      <c r="A22" s="52">
        <v>49</v>
      </c>
      <c r="B22" s="53" t="s">
        <v>21</v>
      </c>
      <c r="C22" s="54">
        <v>396.83159999999998</v>
      </c>
      <c r="D22" s="55">
        <f>'Roll Up'!D116</f>
        <v>0</v>
      </c>
      <c r="E22" s="56">
        <f t="shared" si="0"/>
        <v>-396.83159999999998</v>
      </c>
      <c r="F22" s="57"/>
    </row>
    <row r="23" spans="1:6" x14ac:dyDescent="0.3">
      <c r="A23" s="52">
        <v>52</v>
      </c>
      <c r="B23" s="53" t="s">
        <v>22</v>
      </c>
      <c r="C23" s="54">
        <v>595.24739999999997</v>
      </c>
      <c r="D23" s="55">
        <f>'Roll Up'!D124</f>
        <v>0</v>
      </c>
      <c r="E23" s="56">
        <f t="shared" si="0"/>
        <v>-595.24739999999997</v>
      </c>
      <c r="F23" s="57"/>
    </row>
    <row r="24" spans="1:6" x14ac:dyDescent="0.3">
      <c r="A24" s="52">
        <v>53</v>
      </c>
      <c r="B24" s="53" t="s">
        <v>23</v>
      </c>
      <c r="C24" s="54">
        <v>4938.3487999999998</v>
      </c>
      <c r="D24" s="55">
        <f>'Roll Up'!D130</f>
        <v>0</v>
      </c>
      <c r="E24" s="56">
        <f t="shared" si="0"/>
        <v>-4938.3487999999998</v>
      </c>
      <c r="F24" s="57"/>
    </row>
    <row r="25" spans="1:6" x14ac:dyDescent="0.3">
      <c r="A25" s="52">
        <v>54</v>
      </c>
      <c r="B25" s="53" t="s">
        <v>24</v>
      </c>
      <c r="C25" s="54">
        <v>1245.6102999999998</v>
      </c>
      <c r="D25" s="55">
        <f>'Roll Up'!D136</f>
        <v>0</v>
      </c>
      <c r="E25" s="56">
        <f t="shared" si="0"/>
        <v>-1245.6102999999998</v>
      </c>
      <c r="F25" s="57"/>
    </row>
    <row r="26" spans="1:6" x14ac:dyDescent="0.3">
      <c r="A26" s="52">
        <v>55</v>
      </c>
      <c r="B26" s="53" t="s">
        <v>25</v>
      </c>
      <c r="C26" s="54">
        <v>1300.7257999999999</v>
      </c>
      <c r="D26" s="55">
        <f>'Roll Up'!D140</f>
        <v>0</v>
      </c>
      <c r="E26" s="56">
        <f t="shared" si="0"/>
        <v>-1300.7257999999999</v>
      </c>
      <c r="F26" s="57"/>
    </row>
    <row r="27" spans="1:6" x14ac:dyDescent="0.3">
      <c r="A27" s="52">
        <v>56</v>
      </c>
      <c r="B27" s="53" t="s">
        <v>26</v>
      </c>
      <c r="C27" s="54">
        <v>485.01639999999998</v>
      </c>
      <c r="D27" s="55">
        <f>'Roll Up'!D144</f>
        <v>0</v>
      </c>
      <c r="E27" s="56">
        <f t="shared" si="0"/>
        <v>-485.01639999999998</v>
      </c>
      <c r="F27" s="57"/>
    </row>
    <row r="28" spans="1:6" x14ac:dyDescent="0.3">
      <c r="A28" s="52">
        <v>57</v>
      </c>
      <c r="B28" s="53" t="s">
        <v>27</v>
      </c>
      <c r="C28" s="54">
        <v>3615.5767999999998</v>
      </c>
      <c r="D28" s="55">
        <f>'Roll Up'!D152</f>
        <v>0</v>
      </c>
      <c r="E28" s="56">
        <f t="shared" si="0"/>
        <v>-3615.5767999999998</v>
      </c>
      <c r="F28" s="57"/>
    </row>
    <row r="29" spans="1:6" x14ac:dyDescent="0.3">
      <c r="A29" s="52">
        <v>71</v>
      </c>
      <c r="B29" s="53" t="s">
        <v>28</v>
      </c>
      <c r="C29" s="54">
        <v>3483.2995999999998</v>
      </c>
      <c r="D29" s="55">
        <f>'Roll Up'!D158</f>
        <v>0</v>
      </c>
      <c r="E29" s="56">
        <f t="shared" si="0"/>
        <v>-3483.2995999999998</v>
      </c>
      <c r="F29" s="57"/>
    </row>
    <row r="30" spans="1:6" x14ac:dyDescent="0.3">
      <c r="A30" s="52">
        <v>73</v>
      </c>
      <c r="B30" s="53" t="s">
        <v>29</v>
      </c>
      <c r="C30" s="54">
        <v>85.98017999999999</v>
      </c>
      <c r="D30" s="55">
        <f>'Roll Up'!D164</f>
        <v>0</v>
      </c>
      <c r="E30" s="56">
        <f t="shared" si="0"/>
        <v>-85.98017999999999</v>
      </c>
      <c r="F30" s="57"/>
    </row>
    <row r="31" spans="1:6" x14ac:dyDescent="0.3">
      <c r="A31" s="52">
        <v>75</v>
      </c>
      <c r="B31" s="53" t="s">
        <v>30</v>
      </c>
      <c r="C31" s="54">
        <v>59.524739999999994</v>
      </c>
      <c r="D31" s="55">
        <f>'Roll Up'!D168</f>
        <v>0</v>
      </c>
      <c r="E31" s="56">
        <f t="shared" si="0"/>
        <v>-59.524739999999994</v>
      </c>
      <c r="F31" s="57"/>
    </row>
    <row r="32" spans="1:6" x14ac:dyDescent="0.3">
      <c r="A32" s="52">
        <v>78</v>
      </c>
      <c r="B32" s="53" t="s">
        <v>31</v>
      </c>
      <c r="C32" s="54">
        <v>540.13189999999997</v>
      </c>
      <c r="D32" s="55">
        <f>'Roll Up'!D174</f>
        <v>0</v>
      </c>
      <c r="E32" s="56">
        <f t="shared" si="0"/>
        <v>-540.13189999999997</v>
      </c>
      <c r="F32" s="57"/>
    </row>
    <row r="33" spans="1:6" x14ac:dyDescent="0.3">
      <c r="A33" s="52">
        <v>79</v>
      </c>
      <c r="B33" s="53" t="s">
        <v>32</v>
      </c>
      <c r="C33" s="54">
        <v>85.98017999999999</v>
      </c>
      <c r="D33" s="55">
        <f>'Roll Up'!D179</f>
        <v>0</v>
      </c>
      <c r="E33" s="56">
        <f t="shared" si="0"/>
        <v>-85.98017999999999</v>
      </c>
      <c r="F33" s="57"/>
    </row>
    <row r="34" spans="1:6" x14ac:dyDescent="0.3">
      <c r="A34" s="58">
        <v>80</v>
      </c>
      <c r="B34" s="59" t="s">
        <v>33</v>
      </c>
      <c r="C34" s="60">
        <v>44.092399999999998</v>
      </c>
      <c r="D34" s="61">
        <f>'Roll Up'!D183</f>
        <v>0</v>
      </c>
      <c r="E34" s="62">
        <f t="shared" si="0"/>
        <v>-44.092399999999998</v>
      </c>
      <c r="F34" s="63"/>
    </row>
    <row r="37" spans="1:6" ht="15.6" x14ac:dyDescent="0.3">
      <c r="A37" s="64" t="s">
        <v>71</v>
      </c>
      <c r="B37" s="49" t="s">
        <v>48</v>
      </c>
      <c r="C37" s="50" t="s">
        <v>78</v>
      </c>
      <c r="D37" s="50" t="s">
        <v>79</v>
      </c>
      <c r="E37" s="50" t="s">
        <v>49</v>
      </c>
      <c r="F37" s="51" t="s">
        <v>3</v>
      </c>
    </row>
    <row r="38" spans="1:6" x14ac:dyDescent="0.3">
      <c r="A38" s="65" t="s">
        <v>50</v>
      </c>
      <c r="B38" s="53" t="s">
        <v>51</v>
      </c>
      <c r="C38" s="54">
        <v>23589.433999999997</v>
      </c>
      <c r="D38" s="55">
        <f>'Roll Up'!D187-'Roll Up'!D65</f>
        <v>0</v>
      </c>
      <c r="E38" s="66">
        <f>IF(C38="","",D38-C38)</f>
        <v>-23589.433999999997</v>
      </c>
      <c r="F38" s="57" t="s">
        <v>52</v>
      </c>
    </row>
    <row r="39" spans="1:6" x14ac:dyDescent="0.3">
      <c r="A39" s="65" t="s">
        <v>53</v>
      </c>
      <c r="B39" s="53" t="s">
        <v>54</v>
      </c>
      <c r="C39" s="54">
        <v>24300</v>
      </c>
      <c r="D39" s="56">
        <f>D38</f>
        <v>0</v>
      </c>
      <c r="E39" s="66">
        <f>IF(C39="","",D39-C39)</f>
        <v>-24300</v>
      </c>
      <c r="F39" s="57" t="s">
        <v>55</v>
      </c>
    </row>
    <row r="40" spans="1:6" x14ac:dyDescent="0.3">
      <c r="A40" s="65" t="s">
        <v>56</v>
      </c>
      <c r="B40" s="53" t="s">
        <v>57</v>
      </c>
      <c r="C40" s="54">
        <v>28660.059999999998</v>
      </c>
      <c r="D40" s="56">
        <f>D39</f>
        <v>0</v>
      </c>
      <c r="E40" s="66">
        <f>IF(C40="","",D40-C40)</f>
        <v>-28660.059999999998</v>
      </c>
      <c r="F40" s="57" t="s">
        <v>58</v>
      </c>
    </row>
    <row r="41" spans="1:6" x14ac:dyDescent="0.3">
      <c r="A41" s="65" t="s">
        <v>59</v>
      </c>
      <c r="B41" s="53" t="s">
        <v>60</v>
      </c>
      <c r="C41" s="54">
        <v>29100.983999999997</v>
      </c>
      <c r="D41" s="66"/>
      <c r="E41" s="66" t="str">
        <f>IF(OR(C41="",D41=""),"",D41-C41)</f>
        <v/>
      </c>
      <c r="F41" s="57" t="s">
        <v>61</v>
      </c>
    </row>
    <row r="42" spans="1:6" x14ac:dyDescent="0.3">
      <c r="A42" s="65" t="s">
        <v>62</v>
      </c>
      <c r="B42" s="53" t="s">
        <v>63</v>
      </c>
      <c r="C42" s="54">
        <v>37699.001999999993</v>
      </c>
      <c r="D42" s="66"/>
      <c r="E42" s="66" t="str">
        <f>IF(OR(C42="",D42=""),"",D42-C42)</f>
        <v/>
      </c>
      <c r="F42" s="57" t="s">
        <v>64</v>
      </c>
    </row>
    <row r="43" spans="1:6" x14ac:dyDescent="0.3">
      <c r="A43" s="65" t="s">
        <v>65</v>
      </c>
      <c r="B43" s="53" t="s">
        <v>66</v>
      </c>
      <c r="C43" s="54">
        <v>40565.007999999994</v>
      </c>
      <c r="D43" s="55">
        <f>'Roll Up'!D187</f>
        <v>0</v>
      </c>
      <c r="E43" s="66">
        <f>IF(C43="","",D43-C43)</f>
        <v>-40565.007999999994</v>
      </c>
      <c r="F43" s="57" t="s">
        <v>67</v>
      </c>
    </row>
    <row r="44" spans="1:6" x14ac:dyDescent="0.3">
      <c r="A44" s="67" t="s">
        <v>68</v>
      </c>
      <c r="B44" s="59" t="s">
        <v>69</v>
      </c>
      <c r="C44" s="60">
        <v>40785.469999999994</v>
      </c>
      <c r="D44" s="68"/>
      <c r="E44" s="68" t="str">
        <f>IF(OR(C44="",D44=""),"",D44-C44)</f>
        <v/>
      </c>
      <c r="F44" s="63" t="s">
        <v>70</v>
      </c>
    </row>
  </sheetData>
  <conditionalFormatting sqref="E5:E34">
    <cfRule type="cellIs" dxfId="7" priority="1" operator="greaterThan">
      <formula>0</formula>
    </cfRule>
  </conditionalFormatting>
  <conditionalFormatting sqref="E5:E34">
    <cfRule type="cellIs" dxfId="6" priority="2" operator="lessThan">
      <formula>0</formula>
    </cfRule>
  </conditionalFormatting>
  <conditionalFormatting sqref="E38:E44">
    <cfRule type="cellIs" dxfId="5" priority="3" operator="greaterThan">
      <formula>0</formula>
    </cfRule>
  </conditionalFormatting>
  <conditionalFormatting sqref="E38:E44">
    <cfRule type="cellIs" dxfId="4" priority="4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90C41-30EA-4B04-BDCA-934660595470}">
  <sheetPr codeName="Sheet2"/>
  <dimension ref="A1:P50"/>
  <sheetViews>
    <sheetView tabSelected="1" zoomScale="66" workbookViewId="0">
      <pane ySplit="1" topLeftCell="A11" activePane="bottomLeft" state="frozen"/>
      <selection pane="bottomLeft" activeCell="L45" sqref="L45"/>
    </sheetView>
  </sheetViews>
  <sheetFormatPr defaultRowHeight="14.4" x14ac:dyDescent="0.3"/>
  <cols>
    <col min="1" max="1" width="16.6640625" style="3" customWidth="1"/>
    <col min="2" max="2" width="33.33203125" style="3" customWidth="1"/>
    <col min="3" max="11" width="16.6640625" style="3" customWidth="1"/>
    <col min="12" max="12" width="37" style="3" customWidth="1"/>
    <col min="13" max="13" width="8.88671875" style="3"/>
    <col min="14" max="14" width="74.109375" style="3" customWidth="1"/>
    <col min="15" max="16384" width="8.88671875" style="3"/>
  </cols>
  <sheetData>
    <row r="1" spans="1:16" x14ac:dyDescent="0.3">
      <c r="A1" s="11" t="s">
        <v>43</v>
      </c>
      <c r="B1" s="11" t="s">
        <v>371</v>
      </c>
      <c r="C1" s="11" t="s">
        <v>372</v>
      </c>
      <c r="D1" s="11" t="s">
        <v>373</v>
      </c>
      <c r="E1" s="11" t="s">
        <v>374</v>
      </c>
      <c r="F1" s="11" t="s">
        <v>375</v>
      </c>
      <c r="G1" s="11" t="s">
        <v>376</v>
      </c>
      <c r="H1" s="11" t="s">
        <v>377</v>
      </c>
      <c r="I1" s="11" t="s">
        <v>378</v>
      </c>
      <c r="J1" s="11" t="s">
        <v>379</v>
      </c>
      <c r="K1" s="11" t="s">
        <v>380</v>
      </c>
      <c r="L1" s="11" t="s">
        <v>381</v>
      </c>
      <c r="M1" s="11" t="s">
        <v>382</v>
      </c>
      <c r="N1" s="11" t="s">
        <v>383</v>
      </c>
      <c r="O1" s="11" t="s">
        <v>384</v>
      </c>
      <c r="P1" s="11" t="s">
        <v>44</v>
      </c>
    </row>
    <row r="2" spans="1:16" x14ac:dyDescent="0.3">
      <c r="A2" s="3">
        <f>'Roll Up'!A12</f>
        <v>5200</v>
      </c>
      <c r="B2" s="3" t="str">
        <f>'Roll Up'!B12</f>
        <v>Door</v>
      </c>
      <c r="C2" s="3" t="s">
        <v>385</v>
      </c>
      <c r="D2" s="14">
        <f>'Roll Up'!C12</f>
        <v>103</v>
      </c>
      <c r="E2" s="14">
        <f>'Roll Up'!N12</f>
        <v>100</v>
      </c>
      <c r="F2" s="14">
        <f>'Roll Up'!O12</f>
        <v>-3</v>
      </c>
      <c r="G2" s="15">
        <f>'Roll Up'!D12</f>
        <v>8</v>
      </c>
      <c r="H2" s="15">
        <f>'Roll Up'!E12</f>
        <v>-2.5</v>
      </c>
      <c r="I2" s="15">
        <f>'Roll Up'!F12</f>
        <v>3</v>
      </c>
      <c r="J2" s="14">
        <f>'Roll Up'!G12</f>
        <v>824</v>
      </c>
      <c r="K2" s="14">
        <f>'Roll Up'!H12</f>
        <v>-257.5</v>
      </c>
      <c r="L2" s="14">
        <f>'Roll Up'!I12</f>
        <v>309</v>
      </c>
      <c r="M2" s="14">
        <f>'Roll Up'!J12</f>
        <v>51.5</v>
      </c>
      <c r="N2" s="14">
        <f>'Roll Up'!K12</f>
        <v>51.5</v>
      </c>
      <c r="O2" s="3">
        <f>'Roll Up'!L12</f>
        <v>0</v>
      </c>
      <c r="P2" s="3">
        <f>'Roll Up'!M12</f>
        <v>0</v>
      </c>
    </row>
    <row r="3" spans="1:16" x14ac:dyDescent="0.3">
      <c r="A3" s="3">
        <f>'Roll Up'!A13</f>
        <v>5300</v>
      </c>
      <c r="B3" s="3" t="str">
        <f>'Roll Up'!B13</f>
        <v>Fuselage</v>
      </c>
      <c r="C3" s="3" t="s">
        <v>385</v>
      </c>
      <c r="D3" s="14">
        <f>'Roll Up'!C13</f>
        <v>1785</v>
      </c>
      <c r="E3" s="14">
        <f>'Roll Up'!N13</f>
        <v>1800</v>
      </c>
      <c r="F3" s="14">
        <f>'Roll Up'!O13</f>
        <v>15</v>
      </c>
      <c r="G3" s="15">
        <f>'Roll Up'!D13</f>
        <v>16.595518207282915</v>
      </c>
      <c r="H3" s="15">
        <f>'Roll Up'!E13</f>
        <v>0</v>
      </c>
      <c r="I3" s="15">
        <f>'Roll Up'!F13</f>
        <v>2.7512605042016807</v>
      </c>
      <c r="J3" s="14">
        <f>'Roll Up'!G13</f>
        <v>29623.000000000004</v>
      </c>
      <c r="K3" s="14">
        <f>'Roll Up'!H13</f>
        <v>0</v>
      </c>
      <c r="L3" s="14">
        <f>'Roll Up'!I13</f>
        <v>4911</v>
      </c>
      <c r="M3" s="14">
        <f>'Roll Up'!J13</f>
        <v>892.5</v>
      </c>
      <c r="N3" s="14">
        <f>'Roll Up'!K13</f>
        <v>892.5</v>
      </c>
      <c r="O3" s="3">
        <f>'Roll Up'!L13</f>
        <v>0</v>
      </c>
      <c r="P3" s="3">
        <f>'Roll Up'!M13</f>
        <v>0</v>
      </c>
    </row>
    <row r="4" spans="1:16" x14ac:dyDescent="0.3">
      <c r="A4" s="3">
        <f>'Roll Up'!A14</f>
        <v>5500</v>
      </c>
      <c r="B4" s="3" t="str">
        <f>'Roll Up'!B14</f>
        <v>V-Tail</v>
      </c>
      <c r="C4" s="3" t="s">
        <v>385</v>
      </c>
      <c r="D4" s="14">
        <f>'Roll Up'!C14</f>
        <v>330</v>
      </c>
      <c r="E4" s="14">
        <f>'Roll Up'!N14</f>
        <v>330</v>
      </c>
      <c r="F4" s="14">
        <f>'Roll Up'!O14</f>
        <v>0</v>
      </c>
      <c r="G4" s="15">
        <f>'Roll Up'!D14</f>
        <v>32.103030303030302</v>
      </c>
      <c r="H4" s="15">
        <f>'Roll Up'!E14</f>
        <v>0.72727272727272729</v>
      </c>
      <c r="I4" s="15">
        <f>'Roll Up'!F14</f>
        <v>5.9030303030303033</v>
      </c>
      <c r="J4" s="14">
        <f>'Roll Up'!G14</f>
        <v>10594</v>
      </c>
      <c r="K4" s="14">
        <f>'Roll Up'!H14</f>
        <v>240</v>
      </c>
      <c r="L4" s="14">
        <f>'Roll Up'!I14</f>
        <v>1948</v>
      </c>
      <c r="M4" s="14">
        <f>'Roll Up'!J14</f>
        <v>165</v>
      </c>
      <c r="N4" s="14">
        <f>'Roll Up'!K14</f>
        <v>165</v>
      </c>
      <c r="O4" s="3">
        <f>'Roll Up'!L14</f>
        <v>0</v>
      </c>
      <c r="P4" s="3" t="str">
        <f>'Roll Up'!M14</f>
        <v>Combined HTP+VTP ruddervators</v>
      </c>
    </row>
    <row r="5" spans="1:16" x14ac:dyDescent="0.3">
      <c r="A5" s="3">
        <f>'Roll Up'!A15</f>
        <v>5600</v>
      </c>
      <c r="B5" s="3" t="str">
        <f>'Roll Up'!B15</f>
        <v>Windows</v>
      </c>
      <c r="C5" s="3" t="s">
        <v>385</v>
      </c>
      <c r="D5" s="14">
        <f>'Roll Up'!C15</f>
        <v>124</v>
      </c>
      <c r="E5" s="14">
        <f>'Roll Up'!N15</f>
        <v>125</v>
      </c>
      <c r="F5" s="14">
        <f>'Roll Up'!O15</f>
        <v>1</v>
      </c>
      <c r="G5" s="15">
        <f>'Roll Up'!D15</f>
        <v>9.1612903225806459</v>
      </c>
      <c r="H5" s="15">
        <f>'Roll Up'!E15</f>
        <v>2.2129032258064516</v>
      </c>
      <c r="I5" s="15">
        <f>'Roll Up'!F15</f>
        <v>4.725806451612903</v>
      </c>
      <c r="J5" s="14">
        <f>'Roll Up'!G15</f>
        <v>1136</v>
      </c>
      <c r="K5" s="14">
        <f>'Roll Up'!H15</f>
        <v>274.39999999999998</v>
      </c>
      <c r="L5" s="14">
        <f>'Roll Up'!I15</f>
        <v>586</v>
      </c>
      <c r="M5" s="14">
        <f>'Roll Up'!J15</f>
        <v>30.800000000000004</v>
      </c>
      <c r="N5" s="14">
        <f>'Roll Up'!K15</f>
        <v>30.800000000000004</v>
      </c>
      <c r="O5" s="3">
        <f>'Roll Up'!L15</f>
        <v>0</v>
      </c>
      <c r="P5" s="3">
        <f>'Roll Up'!M15</f>
        <v>0</v>
      </c>
    </row>
    <row r="6" spans="1:16" x14ac:dyDescent="0.3">
      <c r="A6" s="3">
        <f>'Roll Up'!A16</f>
        <v>5700</v>
      </c>
      <c r="B6" s="3" t="str">
        <f>'Roll Up'!B16</f>
        <v>Wings</v>
      </c>
      <c r="C6" s="3" t="s">
        <v>385</v>
      </c>
      <c r="D6" s="14">
        <f>'Roll Up'!C16</f>
        <v>1158</v>
      </c>
      <c r="E6" s="14">
        <f>'Roll Up'!N16</f>
        <v>1160</v>
      </c>
      <c r="F6" s="14">
        <f>'Roll Up'!O16</f>
        <v>2</v>
      </c>
      <c r="G6" s="15">
        <f>'Roll Up'!D16</f>
        <v>17.26511226252159</v>
      </c>
      <c r="H6" s="15">
        <f>'Roll Up'!E16</f>
        <v>1.4093264248704662</v>
      </c>
      <c r="I6" s="15">
        <f>'Roll Up'!F16</f>
        <v>2</v>
      </c>
      <c r="J6" s="14">
        <f>'Roll Up'!G16</f>
        <v>19993</v>
      </c>
      <c r="K6" s="14">
        <f>'Roll Up'!H16</f>
        <v>1631.9999999999998</v>
      </c>
      <c r="L6" s="14">
        <f>'Roll Up'!I16</f>
        <v>2316</v>
      </c>
      <c r="M6" s="14">
        <f>'Roll Up'!J16</f>
        <v>579</v>
      </c>
      <c r="N6" s="14">
        <f>'Roll Up'!K16</f>
        <v>579</v>
      </c>
      <c r="O6" s="3">
        <f>'Roll Up'!L16</f>
        <v>0</v>
      </c>
      <c r="P6" s="3">
        <f>'Roll Up'!M16</f>
        <v>0</v>
      </c>
    </row>
    <row r="7" spans="1:16" x14ac:dyDescent="0.3">
      <c r="A7" s="3">
        <f>'Roll Up'!A17</f>
        <v>3200</v>
      </c>
      <c r="B7" s="3" t="str">
        <f>'Roll Up'!B17</f>
        <v>Landing Gear</v>
      </c>
      <c r="C7" s="3" t="s">
        <v>385</v>
      </c>
      <c r="D7" s="14">
        <f>'Roll Up'!C17</f>
        <v>970</v>
      </c>
      <c r="E7" s="14">
        <f>'Roll Up'!N17</f>
        <v>970</v>
      </c>
      <c r="F7" s="14">
        <f>'Roll Up'!O17</f>
        <v>0</v>
      </c>
      <c r="G7" s="15">
        <f>'Roll Up'!D17</f>
        <v>16.020618556701031</v>
      </c>
      <c r="H7" s="15">
        <f>'Roll Up'!E17</f>
        <v>4.0206185567010309</v>
      </c>
      <c r="I7" s="15">
        <f>'Roll Up'!F17</f>
        <v>0.52319587628865982</v>
      </c>
      <c r="J7" s="14">
        <f>'Roll Up'!G17</f>
        <v>15540</v>
      </c>
      <c r="K7" s="14">
        <f>'Roll Up'!H17</f>
        <v>3900</v>
      </c>
      <c r="L7" s="14">
        <f>'Roll Up'!I17</f>
        <v>507.5</v>
      </c>
      <c r="M7" s="14">
        <f>'Roll Up'!J17</f>
        <v>485</v>
      </c>
      <c r="N7" s="14">
        <f>'Roll Up'!K17</f>
        <v>485</v>
      </c>
      <c r="O7" s="3">
        <f>'Roll Up'!L17</f>
        <v>0</v>
      </c>
      <c r="P7" s="3">
        <f>'Roll Up'!M17</f>
        <v>0</v>
      </c>
    </row>
    <row r="8" spans="1:16" x14ac:dyDescent="0.3">
      <c r="A8" s="3">
        <f>'Roll Up'!A20</f>
        <v>2100</v>
      </c>
      <c r="B8" s="3" t="str">
        <f>'Roll Up'!B20</f>
        <v>Air Conditioning</v>
      </c>
      <c r="C8" s="3" t="s">
        <v>386</v>
      </c>
      <c r="D8" s="14">
        <f>'Roll Up'!C20</f>
        <v>78</v>
      </c>
      <c r="E8" s="14">
        <f>'Roll Up'!N20</f>
        <v>80</v>
      </c>
      <c r="F8" s="14">
        <f>'Roll Up'!O20</f>
        <v>2</v>
      </c>
      <c r="G8" s="15">
        <f>'Roll Up'!D20</f>
        <v>17.743589743589745</v>
      </c>
      <c r="H8" s="15">
        <f>'Roll Up'!E20</f>
        <v>0.42307692307692307</v>
      </c>
      <c r="I8" s="15">
        <f>'Roll Up'!F20</f>
        <v>2.5576923076923075</v>
      </c>
      <c r="J8" s="14">
        <f>'Roll Up'!G20</f>
        <v>1384</v>
      </c>
      <c r="K8" s="14">
        <f>'Roll Up'!H20</f>
        <v>33</v>
      </c>
      <c r="L8" s="14">
        <f>'Roll Up'!I20</f>
        <v>199.49999999999997</v>
      </c>
      <c r="M8" s="14">
        <f>'Roll Up'!J20</f>
        <v>39</v>
      </c>
      <c r="N8" s="14">
        <f>'Roll Up'!K20</f>
        <v>39</v>
      </c>
      <c r="O8" s="3">
        <f>'Roll Up'!L20</f>
        <v>0</v>
      </c>
      <c r="P8" s="3">
        <f>'Roll Up'!M20</f>
        <v>0</v>
      </c>
    </row>
    <row r="9" spans="1:16" x14ac:dyDescent="0.3">
      <c r="A9" s="3">
        <f>'Roll Up'!A21</f>
        <v>2700</v>
      </c>
      <c r="B9" s="3" t="str">
        <f>'Roll Up'!B21</f>
        <v>Flight Controls</v>
      </c>
      <c r="C9" s="3" t="s">
        <v>386</v>
      </c>
      <c r="D9" s="14">
        <f>'Roll Up'!C21</f>
        <v>220</v>
      </c>
      <c r="E9" s="14">
        <f>'Roll Up'!N21</f>
        <v>220</v>
      </c>
      <c r="F9" s="14">
        <f>'Roll Up'!O21</f>
        <v>0</v>
      </c>
      <c r="G9" s="15">
        <f>'Roll Up'!D21</f>
        <v>19.645454545454545</v>
      </c>
      <c r="H9" s="15">
        <f>'Roll Up'!E21</f>
        <v>3.7454545454545456</v>
      </c>
      <c r="I9" s="15">
        <f>'Roll Up'!F21</f>
        <v>3.9295454545454547</v>
      </c>
      <c r="J9" s="14">
        <f>'Roll Up'!G21</f>
        <v>4322</v>
      </c>
      <c r="K9" s="14">
        <f>'Roll Up'!H21</f>
        <v>824</v>
      </c>
      <c r="L9" s="14">
        <f>'Roll Up'!I21</f>
        <v>864.5</v>
      </c>
      <c r="M9" s="14">
        <f>'Roll Up'!J21</f>
        <v>102.8</v>
      </c>
      <c r="N9" s="14">
        <f>'Roll Up'!K21</f>
        <v>102.8</v>
      </c>
      <c r="O9" s="3">
        <f>'Roll Up'!L21</f>
        <v>0</v>
      </c>
      <c r="P9" s="3">
        <f>'Roll Up'!M21</f>
        <v>0</v>
      </c>
    </row>
    <row r="10" spans="1:16" x14ac:dyDescent="0.3">
      <c r="A10" s="3">
        <f>'Roll Up'!A22</f>
        <v>2800</v>
      </c>
      <c r="B10" s="3" t="str">
        <f>'Roll Up'!B22</f>
        <v>Fuel System</v>
      </c>
      <c r="C10" s="3" t="s">
        <v>386</v>
      </c>
      <c r="D10" s="14">
        <f>'Roll Up'!C22</f>
        <v>220</v>
      </c>
      <c r="E10" s="14">
        <f>'Roll Up'!N22</f>
        <v>220</v>
      </c>
      <c r="F10" s="14">
        <f>'Roll Up'!O22</f>
        <v>0</v>
      </c>
      <c r="G10" s="15">
        <f>'Roll Up'!D22</f>
        <v>18.045454545454547</v>
      </c>
      <c r="H10" s="15">
        <f>'Roll Up'!E22</f>
        <v>0</v>
      </c>
      <c r="I10" s="15">
        <f>'Roll Up'!F22</f>
        <v>2.0327272727272727</v>
      </c>
      <c r="J10" s="14">
        <f>'Roll Up'!G22</f>
        <v>3970.0000000000005</v>
      </c>
      <c r="K10" s="14">
        <f>'Roll Up'!H22</f>
        <v>0</v>
      </c>
      <c r="L10" s="14">
        <f>'Roll Up'!I22</f>
        <v>447.2</v>
      </c>
      <c r="M10" s="14">
        <f>'Roll Up'!J22</f>
        <v>110</v>
      </c>
      <c r="N10" s="14">
        <f>'Roll Up'!K22</f>
        <v>110</v>
      </c>
      <c r="O10" s="3">
        <f>'Roll Up'!L22</f>
        <v>0</v>
      </c>
      <c r="P10" s="3" t="str">
        <f>'Roll Up'!M22</f>
        <v>Plumbing/pumps only (fuel mass in Fuel block below)</v>
      </c>
    </row>
    <row r="11" spans="1:16" x14ac:dyDescent="0.3">
      <c r="A11" s="3">
        <f>'Roll Up'!A23</f>
        <v>2900</v>
      </c>
      <c r="B11" s="3" t="str">
        <f>'Roll Up'!B23</f>
        <v>Hydraulic Power</v>
      </c>
      <c r="C11" s="3" t="s">
        <v>386</v>
      </c>
      <c r="D11" s="14">
        <f>'Roll Up'!C23</f>
        <v>90</v>
      </c>
      <c r="E11" s="14">
        <f>'Roll Up'!N23</f>
        <v>90</v>
      </c>
      <c r="F11" s="14">
        <f>'Roll Up'!O23</f>
        <v>0</v>
      </c>
      <c r="G11" s="15">
        <f>'Roll Up'!D23</f>
        <v>20.133333333333333</v>
      </c>
      <c r="H11" s="15">
        <f>'Roll Up'!E23</f>
        <v>1.4222222222222223</v>
      </c>
      <c r="I11" s="15">
        <f>'Roll Up'!F23</f>
        <v>2.8444444444444446</v>
      </c>
      <c r="J11" s="14">
        <f>'Roll Up'!G23</f>
        <v>1812</v>
      </c>
      <c r="K11" s="14">
        <f>'Roll Up'!H23</f>
        <v>128</v>
      </c>
      <c r="L11" s="14">
        <f>'Roll Up'!I23</f>
        <v>256</v>
      </c>
      <c r="M11" s="14">
        <f>'Roll Up'!J23</f>
        <v>45</v>
      </c>
      <c r="N11" s="14">
        <f>'Roll Up'!K23</f>
        <v>45</v>
      </c>
      <c r="O11" s="3">
        <f>'Roll Up'!L23</f>
        <v>0</v>
      </c>
      <c r="P11" s="3">
        <f>'Roll Up'!M23</f>
        <v>0</v>
      </c>
    </row>
    <row r="12" spans="1:16" x14ac:dyDescent="0.3">
      <c r="A12" s="3">
        <f>'Roll Up'!A24</f>
        <v>3000</v>
      </c>
      <c r="B12" s="3" t="str">
        <f>'Roll Up'!B24</f>
        <v>Ice &amp; Rain Protection</v>
      </c>
      <c r="C12" s="3" t="s">
        <v>386</v>
      </c>
      <c r="D12" s="14">
        <f>'Roll Up'!C24</f>
        <v>67</v>
      </c>
      <c r="E12" s="14">
        <f>'Roll Up'!N24</f>
        <v>70</v>
      </c>
      <c r="F12" s="14">
        <f>'Roll Up'!O24</f>
        <v>3</v>
      </c>
      <c r="G12" s="15">
        <f>'Roll Up'!D24</f>
        <v>14.388059701492537</v>
      </c>
      <c r="H12" s="15">
        <f>'Roll Up'!E24</f>
        <v>0.94029850746268662</v>
      </c>
      <c r="I12" s="15">
        <f>'Roll Up'!F24</f>
        <v>3.8955223880597014</v>
      </c>
      <c r="J12" s="14">
        <f>'Roll Up'!G24</f>
        <v>964</v>
      </c>
      <c r="K12" s="14">
        <f>'Roll Up'!H24</f>
        <v>63</v>
      </c>
      <c r="L12" s="14">
        <f>'Roll Up'!I24</f>
        <v>261</v>
      </c>
      <c r="M12" s="14">
        <f>'Roll Up'!J24</f>
        <v>33.5</v>
      </c>
      <c r="N12" s="14">
        <f>'Roll Up'!K24</f>
        <v>33.5</v>
      </c>
      <c r="O12" s="3">
        <f>'Roll Up'!L24</f>
        <v>0</v>
      </c>
      <c r="P12" s="3">
        <f>'Roll Up'!M24</f>
        <v>0</v>
      </c>
    </row>
    <row r="13" spans="1:16" x14ac:dyDescent="0.3">
      <c r="A13" s="3">
        <f>'Roll Up'!A25</f>
        <v>3500</v>
      </c>
      <c r="B13" s="3" t="str">
        <f>'Roll Up'!B25</f>
        <v>Oxygen</v>
      </c>
      <c r="C13" s="3" t="s">
        <v>386</v>
      </c>
      <c r="D13" s="14">
        <f>'Roll Up'!C25</f>
        <v>48</v>
      </c>
      <c r="E13" s="14">
        <f>'Roll Up'!N25</f>
        <v>50</v>
      </c>
      <c r="F13" s="14">
        <f>'Roll Up'!O25</f>
        <v>2</v>
      </c>
      <c r="G13" s="15">
        <f>'Roll Up'!D25</f>
        <v>9.5416666666666661</v>
      </c>
      <c r="H13" s="15">
        <f>'Roll Up'!E25</f>
        <v>0</v>
      </c>
      <c r="I13" s="15">
        <f>'Roll Up'!F25</f>
        <v>3</v>
      </c>
      <c r="J13" s="14">
        <f>'Roll Up'!G25</f>
        <v>458</v>
      </c>
      <c r="K13" s="14">
        <f>'Roll Up'!H25</f>
        <v>0</v>
      </c>
      <c r="L13" s="14">
        <f>'Roll Up'!I25</f>
        <v>144</v>
      </c>
      <c r="M13" s="14">
        <f>'Roll Up'!J25</f>
        <v>17.399999999999999</v>
      </c>
      <c r="N13" s="14">
        <f>'Roll Up'!K25</f>
        <v>17.399999999999999</v>
      </c>
      <c r="O13" s="3">
        <f>'Roll Up'!L25</f>
        <v>0</v>
      </c>
      <c r="P13" s="3">
        <f>'Roll Up'!M25</f>
        <v>0</v>
      </c>
    </row>
    <row r="14" spans="1:16" x14ac:dyDescent="0.3">
      <c r="A14" s="3">
        <f>'Roll Up'!A26</f>
        <v>3600</v>
      </c>
      <c r="B14" s="3" t="str">
        <f>'Roll Up'!B26</f>
        <v>Pneumatic</v>
      </c>
      <c r="C14" s="3" t="s">
        <v>386</v>
      </c>
      <c r="D14" s="14">
        <f>'Roll Up'!C26</f>
        <v>58</v>
      </c>
      <c r="E14" s="14">
        <f>'Roll Up'!N26</f>
        <v>60</v>
      </c>
      <c r="F14" s="14">
        <f>'Roll Up'!O26</f>
        <v>2</v>
      </c>
      <c r="G14" s="15">
        <f>'Roll Up'!D26</f>
        <v>25</v>
      </c>
      <c r="H14" s="15">
        <f>'Roll Up'!E26</f>
        <v>0</v>
      </c>
      <c r="I14" s="15">
        <f>'Roll Up'!F26</f>
        <v>2.5</v>
      </c>
      <c r="J14" s="14">
        <f>'Roll Up'!G26</f>
        <v>1450</v>
      </c>
      <c r="K14" s="14">
        <f>'Roll Up'!H26</f>
        <v>0</v>
      </c>
      <c r="L14" s="14">
        <f>'Roll Up'!I26</f>
        <v>145</v>
      </c>
      <c r="M14" s="14">
        <f>'Roll Up'!J26</f>
        <v>29</v>
      </c>
      <c r="N14" s="14">
        <f>'Roll Up'!K26</f>
        <v>29</v>
      </c>
      <c r="O14" s="3">
        <f>'Roll Up'!L26</f>
        <v>0</v>
      </c>
      <c r="P14" s="3">
        <f>'Roll Up'!M26</f>
        <v>0</v>
      </c>
    </row>
    <row r="15" spans="1:16" x14ac:dyDescent="0.3">
      <c r="A15" s="3">
        <f>'Roll Up'!A27</f>
        <v>3800</v>
      </c>
      <c r="B15" s="3" t="str">
        <f>'Roll Up'!B27</f>
        <v>Water &amp; Waste</v>
      </c>
      <c r="C15" s="3" t="s">
        <v>386</v>
      </c>
      <c r="D15" s="14">
        <f>'Roll Up'!C27</f>
        <v>46</v>
      </c>
      <c r="E15" s="14">
        <f>'Roll Up'!N27</f>
        <v>45</v>
      </c>
      <c r="F15" s="14">
        <f>'Roll Up'!O27</f>
        <v>-1</v>
      </c>
      <c r="G15" s="15">
        <f>'Roll Up'!D27</f>
        <v>22.086956521739129</v>
      </c>
      <c r="H15" s="15">
        <f>'Roll Up'!E27</f>
        <v>0</v>
      </c>
      <c r="I15" s="15">
        <f>'Roll Up'!F27</f>
        <v>1.9565217391304348</v>
      </c>
      <c r="J15" s="14">
        <f>'Roll Up'!G27</f>
        <v>1015.9999999999999</v>
      </c>
      <c r="K15" s="14">
        <f>'Roll Up'!H27</f>
        <v>0</v>
      </c>
      <c r="L15" s="14">
        <f>'Roll Up'!I27</f>
        <v>90</v>
      </c>
      <c r="M15" s="14">
        <f>'Roll Up'!J27</f>
        <v>23</v>
      </c>
      <c r="N15" s="14">
        <f>'Roll Up'!K27</f>
        <v>23</v>
      </c>
      <c r="O15" s="3">
        <f>'Roll Up'!L27</f>
        <v>0</v>
      </c>
      <c r="P15" s="3">
        <f>'Roll Up'!M27</f>
        <v>0</v>
      </c>
    </row>
    <row r="16" spans="1:16" x14ac:dyDescent="0.3">
      <c r="A16" s="3" t="str">
        <f>'Roll Up'!A30</f>
        <v>2400LV</v>
      </c>
      <c r="B16" s="3" t="str">
        <f>'Roll Up'!B30</f>
        <v>Electrical Power (Low Voltage)</v>
      </c>
      <c r="C16" s="3" t="s">
        <v>114</v>
      </c>
      <c r="D16" s="14">
        <f>'Roll Up'!C30</f>
        <v>386</v>
      </c>
      <c r="E16" s="14">
        <f>'Roll Up'!N30</f>
        <v>400</v>
      </c>
      <c r="F16" s="14">
        <f>'Roll Up'!O30</f>
        <v>14</v>
      </c>
      <c r="G16" s="15">
        <f>'Roll Up'!D30</f>
        <v>12.160621761658032</v>
      </c>
      <c r="H16" s="15">
        <f>'Roll Up'!E30</f>
        <v>0</v>
      </c>
      <c r="I16" s="15">
        <f>'Roll Up'!F30</f>
        <v>2.5984455958549222</v>
      </c>
      <c r="J16" s="14">
        <f>'Roll Up'!G30</f>
        <v>4694</v>
      </c>
      <c r="K16" s="14">
        <f>'Roll Up'!H30</f>
        <v>0</v>
      </c>
      <c r="L16" s="14">
        <f>'Roll Up'!I30</f>
        <v>1003</v>
      </c>
      <c r="M16" s="14">
        <f>'Roll Up'!J30</f>
        <v>157</v>
      </c>
      <c r="N16" s="14">
        <f>'Roll Up'!K30</f>
        <v>157</v>
      </c>
      <c r="O16" s="3">
        <f>'Roll Up'!L30</f>
        <v>0</v>
      </c>
      <c r="P16" s="3">
        <f>'Roll Up'!M30</f>
        <v>0</v>
      </c>
    </row>
    <row r="17" spans="1:16" x14ac:dyDescent="0.3">
      <c r="A17" s="3" t="str">
        <f>'Roll Up'!A31</f>
        <v>2400HV</v>
      </c>
      <c r="B17" s="3" t="str">
        <f>'Roll Up'!B31</f>
        <v>Electrical Power (High Voltage Hybrid)</v>
      </c>
      <c r="C17" s="3" t="s">
        <v>114</v>
      </c>
      <c r="D17" s="14">
        <f>'Roll Up'!C31</f>
        <v>580</v>
      </c>
      <c r="E17" s="14">
        <f>'Roll Up'!N31</f>
        <v>600</v>
      </c>
      <c r="F17" s="14">
        <f>'Roll Up'!O31</f>
        <v>20</v>
      </c>
      <c r="G17" s="15">
        <f>'Roll Up'!D31</f>
        <v>18.448275862068964</v>
      </c>
      <c r="H17" s="15">
        <f>'Roll Up'!E31</f>
        <v>1.1724137931034482</v>
      </c>
      <c r="I17" s="15">
        <f>'Roll Up'!F31</f>
        <v>2.0301724137931036</v>
      </c>
      <c r="J17" s="14">
        <f>'Roll Up'!G31</f>
        <v>10700</v>
      </c>
      <c r="K17" s="14">
        <f>'Roll Up'!H31</f>
        <v>679.99999999999989</v>
      </c>
      <c r="L17" s="14">
        <f>'Roll Up'!I31</f>
        <v>1177.5000000000002</v>
      </c>
      <c r="M17" s="14">
        <f>'Roll Up'!J31</f>
        <v>290</v>
      </c>
      <c r="N17" s="14">
        <f>'Roll Up'!K31</f>
        <v>290</v>
      </c>
      <c r="O17" s="3">
        <f>'Roll Up'!L31</f>
        <v>0</v>
      </c>
      <c r="P17" s="3" t="str">
        <f>'Roll Up'!M31</f>
        <v>Generators, inverters, motor controllers, HV cables</v>
      </c>
    </row>
    <row r="18" spans="1:16" x14ac:dyDescent="0.3">
      <c r="A18" s="3">
        <f>'Roll Up'!A32</f>
        <v>3300</v>
      </c>
      <c r="B18" s="3" t="str">
        <f>'Roll Up'!B32</f>
        <v>Lights</v>
      </c>
      <c r="C18" s="3" t="s">
        <v>114</v>
      </c>
      <c r="D18" s="14">
        <f>'Roll Up'!C32</f>
        <v>28.5</v>
      </c>
      <c r="E18" s="14">
        <f>'Roll Up'!N32</f>
        <v>30</v>
      </c>
      <c r="F18" s="14">
        <f>'Roll Up'!O32</f>
        <v>1.5</v>
      </c>
      <c r="G18" s="15">
        <f>'Roll Up'!D32</f>
        <v>12.473684210526315</v>
      </c>
      <c r="H18" s="15">
        <f>'Roll Up'!E32</f>
        <v>0.73684210526315785</v>
      </c>
      <c r="I18" s="15">
        <f>'Roll Up'!F32</f>
        <v>4.2719298245614032</v>
      </c>
      <c r="J18" s="14">
        <f>'Roll Up'!G32</f>
        <v>355.5</v>
      </c>
      <c r="K18" s="14">
        <f>'Roll Up'!H32</f>
        <v>21</v>
      </c>
      <c r="L18" s="14">
        <f>'Roll Up'!I32</f>
        <v>121.74999999999999</v>
      </c>
      <c r="M18" s="14">
        <f>'Roll Up'!J32</f>
        <v>10.874999999999998</v>
      </c>
      <c r="N18" s="14">
        <f>'Roll Up'!K32</f>
        <v>10.874999999999998</v>
      </c>
      <c r="O18" s="3">
        <f>'Roll Up'!L32</f>
        <v>0</v>
      </c>
      <c r="P18" s="3">
        <f>'Roll Up'!M32</f>
        <v>0</v>
      </c>
    </row>
    <row r="19" spans="1:16" x14ac:dyDescent="0.3">
      <c r="A19" s="3">
        <f>'Roll Up'!A35</f>
        <v>2200</v>
      </c>
      <c r="B19" s="3" t="str">
        <f>'Roll Up'!B35</f>
        <v>Auto Flight</v>
      </c>
      <c r="C19" s="3" t="s">
        <v>113</v>
      </c>
      <c r="D19" s="14">
        <f>'Roll Up'!C35</f>
        <v>16</v>
      </c>
      <c r="E19" s="14">
        <f>'Roll Up'!N35</f>
        <v>15</v>
      </c>
      <c r="F19" s="14">
        <f>'Roll Up'!O35</f>
        <v>-1</v>
      </c>
      <c r="G19" s="15">
        <f>'Roll Up'!D35</f>
        <v>11.75</v>
      </c>
      <c r="H19" s="15">
        <f>'Roll Up'!E35</f>
        <v>0</v>
      </c>
      <c r="I19" s="15">
        <f>'Roll Up'!F35</f>
        <v>4</v>
      </c>
      <c r="J19" s="14">
        <f>'Roll Up'!G35</f>
        <v>188</v>
      </c>
      <c r="K19" s="14">
        <f>'Roll Up'!H35</f>
        <v>0</v>
      </c>
      <c r="L19" s="14">
        <f>'Roll Up'!I35</f>
        <v>64</v>
      </c>
      <c r="M19" s="14">
        <f>'Roll Up'!J35</f>
        <v>4.4000000000000004</v>
      </c>
      <c r="N19" s="14">
        <f>'Roll Up'!K35</f>
        <v>4.4000000000000004</v>
      </c>
      <c r="O19" s="3">
        <f>'Roll Up'!L35</f>
        <v>0</v>
      </c>
      <c r="P19" s="3">
        <f>'Roll Up'!M35</f>
        <v>0</v>
      </c>
    </row>
    <row r="20" spans="1:16" x14ac:dyDescent="0.3">
      <c r="A20" s="3">
        <f>'Roll Up'!A36</f>
        <v>2300</v>
      </c>
      <c r="B20" s="3" t="str">
        <f>'Roll Up'!B36</f>
        <v>Communications</v>
      </c>
      <c r="C20" s="3" t="s">
        <v>113</v>
      </c>
      <c r="D20" s="14">
        <f>'Roll Up'!C36</f>
        <v>37</v>
      </c>
      <c r="E20" s="14">
        <f>'Roll Up'!N36</f>
        <v>35</v>
      </c>
      <c r="F20" s="14">
        <f>'Roll Up'!O36</f>
        <v>-2</v>
      </c>
      <c r="G20" s="15">
        <f>'Roll Up'!D36</f>
        <v>13.810810810810811</v>
      </c>
      <c r="H20" s="15">
        <f>'Roll Up'!E36</f>
        <v>0</v>
      </c>
      <c r="I20" s="15">
        <f>'Roll Up'!F36</f>
        <v>5.3918918918918921</v>
      </c>
      <c r="J20" s="14">
        <f>'Roll Up'!G36</f>
        <v>511</v>
      </c>
      <c r="K20" s="14">
        <f>'Roll Up'!H36</f>
        <v>0</v>
      </c>
      <c r="L20" s="14">
        <f>'Roll Up'!I36</f>
        <v>199.5</v>
      </c>
      <c r="M20" s="14">
        <f>'Roll Up'!J36</f>
        <v>15.5</v>
      </c>
      <c r="N20" s="14">
        <f>'Roll Up'!K36</f>
        <v>15.5</v>
      </c>
      <c r="O20" s="3">
        <f>'Roll Up'!L36</f>
        <v>0</v>
      </c>
      <c r="P20" s="3">
        <f>'Roll Up'!M36</f>
        <v>0</v>
      </c>
    </row>
    <row r="21" spans="1:16" x14ac:dyDescent="0.3">
      <c r="A21" s="3">
        <f>'Roll Up'!A37</f>
        <v>3100</v>
      </c>
      <c r="B21" s="3" t="str">
        <f>'Roll Up'!B37</f>
        <v>Instruments</v>
      </c>
      <c r="C21" s="3" t="s">
        <v>113</v>
      </c>
      <c r="D21" s="14">
        <f>'Roll Up'!C37</f>
        <v>61</v>
      </c>
      <c r="E21" s="14">
        <f>'Roll Up'!N37</f>
        <v>60</v>
      </c>
      <c r="F21" s="14">
        <f>'Roll Up'!O37</f>
        <v>-1</v>
      </c>
      <c r="G21" s="15">
        <f>'Roll Up'!D37</f>
        <v>12.409836065573771</v>
      </c>
      <c r="H21" s="15">
        <f>'Roll Up'!E37</f>
        <v>0.26229508196721313</v>
      </c>
      <c r="I21" s="15">
        <f>'Roll Up'!F37</f>
        <v>4.0081967213114753</v>
      </c>
      <c r="J21" s="14">
        <f>'Roll Up'!G37</f>
        <v>757</v>
      </c>
      <c r="K21" s="14">
        <f>'Roll Up'!H37</f>
        <v>16</v>
      </c>
      <c r="L21" s="14">
        <f>'Roll Up'!I37</f>
        <v>244.5</v>
      </c>
      <c r="M21" s="14">
        <f>'Roll Up'!J37</f>
        <v>11.450000000000001</v>
      </c>
      <c r="N21" s="14">
        <f>'Roll Up'!K37</f>
        <v>11.450000000000001</v>
      </c>
      <c r="O21" s="3">
        <f>'Roll Up'!L37</f>
        <v>0</v>
      </c>
      <c r="P21" s="3">
        <f>'Roll Up'!M37</f>
        <v>0</v>
      </c>
    </row>
    <row r="22" spans="1:16" x14ac:dyDescent="0.3">
      <c r="A22" s="3">
        <f>'Roll Up'!A38</f>
        <v>3400</v>
      </c>
      <c r="B22" s="3" t="str">
        <f>'Roll Up'!B38</f>
        <v>Navigation</v>
      </c>
      <c r="C22" s="3" t="s">
        <v>113</v>
      </c>
      <c r="D22" s="14">
        <f>'Roll Up'!C38</f>
        <v>90</v>
      </c>
      <c r="E22" s="14">
        <f>'Roll Up'!N38</f>
        <v>90</v>
      </c>
      <c r="F22" s="14">
        <f>'Roll Up'!O38</f>
        <v>0</v>
      </c>
      <c r="G22" s="15">
        <f>'Roll Up'!D38</f>
        <v>4.8666666666666663</v>
      </c>
      <c r="H22" s="15">
        <f>'Roll Up'!E38</f>
        <v>0</v>
      </c>
      <c r="I22" s="15">
        <f>'Roll Up'!F38</f>
        <v>3.6666666666666665</v>
      </c>
      <c r="J22" s="14">
        <f>'Roll Up'!G38</f>
        <v>437.99999999999994</v>
      </c>
      <c r="K22" s="14">
        <f>'Roll Up'!H38</f>
        <v>0</v>
      </c>
      <c r="L22" s="14">
        <f>'Roll Up'!I38</f>
        <v>330</v>
      </c>
      <c r="M22" s="14">
        <f>'Roll Up'!J38</f>
        <v>31.8</v>
      </c>
      <c r="N22" s="14">
        <f>'Roll Up'!K38</f>
        <v>31.8</v>
      </c>
      <c r="O22" s="3">
        <f>'Roll Up'!L38</f>
        <v>0</v>
      </c>
      <c r="P22" s="3">
        <f>'Roll Up'!M38</f>
        <v>0</v>
      </c>
    </row>
    <row r="23" spans="1:16" x14ac:dyDescent="0.3">
      <c r="A23" s="3">
        <f>'Roll Up'!A41</f>
        <v>7100</v>
      </c>
      <c r="B23" s="3" t="str">
        <f>'Roll Up'!B41</f>
        <v>Duality Engines (incl. Turbogen &amp; Exhaust)</v>
      </c>
      <c r="C23" s="3" t="s">
        <v>387</v>
      </c>
      <c r="D23" s="14">
        <f>'Roll Up'!C41</f>
        <v>914</v>
      </c>
      <c r="E23" s="14">
        <f>'Roll Up'!N41</f>
        <v>850</v>
      </c>
      <c r="F23" s="14">
        <f>'Roll Up'!O41</f>
        <v>-64</v>
      </c>
      <c r="G23" s="15">
        <f>'Roll Up'!D41</f>
        <v>25.969365426695841</v>
      </c>
      <c r="H23" s="15">
        <f>'Roll Up'!E41</f>
        <v>4.5951859956236324E-2</v>
      </c>
      <c r="I23" s="15">
        <f>'Roll Up'!F41</f>
        <v>3</v>
      </c>
      <c r="J23" s="14">
        <f>'Roll Up'!G41</f>
        <v>23736</v>
      </c>
      <c r="K23" s="14">
        <f>'Roll Up'!H41</f>
        <v>42</v>
      </c>
      <c r="L23" s="14">
        <f>'Roll Up'!I41</f>
        <v>2742</v>
      </c>
      <c r="M23" s="14">
        <f>'Roll Up'!J41</f>
        <v>457</v>
      </c>
      <c r="N23" s="14">
        <f>'Roll Up'!K41</f>
        <v>457</v>
      </c>
      <c r="O23" s="3">
        <f>'Roll Up'!L41</f>
        <v>0</v>
      </c>
      <c r="P23" s="3" t="str">
        <f>'Roll Up'!M41</f>
        <v>Intake, 2-stage fan, motors, burner, nozzle (LH + RH)</v>
      </c>
    </row>
    <row r="24" spans="1:16" x14ac:dyDescent="0.3">
      <c r="A24" s="3">
        <f>'Roll Up'!A42</f>
        <v>7300</v>
      </c>
      <c r="B24" s="3" t="str">
        <f>'Roll Up'!B42</f>
        <v>Engine Fuel &amp; Control</v>
      </c>
      <c r="C24" s="3" t="s">
        <v>387</v>
      </c>
      <c r="D24" s="14">
        <f>'Roll Up'!C42</f>
        <v>75</v>
      </c>
      <c r="E24" s="14">
        <f>'Roll Up'!N42</f>
        <v>75</v>
      </c>
      <c r="F24" s="14">
        <f>'Roll Up'!O42</f>
        <v>0</v>
      </c>
      <c r="G24" s="15">
        <f>'Roll Up'!D42</f>
        <v>27.84</v>
      </c>
      <c r="H24" s="15">
        <f>'Roll Up'!E42</f>
        <v>1.6</v>
      </c>
      <c r="I24" s="15">
        <f>'Roll Up'!F42</f>
        <v>3.2933333333333334</v>
      </c>
      <c r="J24" s="14">
        <f>'Roll Up'!G42</f>
        <v>2088</v>
      </c>
      <c r="K24" s="14">
        <f>'Roll Up'!H42</f>
        <v>120</v>
      </c>
      <c r="L24" s="14">
        <f>'Roll Up'!I42</f>
        <v>247</v>
      </c>
      <c r="M24" s="14">
        <f>'Roll Up'!J42</f>
        <v>37.5</v>
      </c>
      <c r="N24" s="14">
        <f>'Roll Up'!K42</f>
        <v>37.5</v>
      </c>
      <c r="O24" s="3">
        <f>'Roll Up'!L42</f>
        <v>0</v>
      </c>
      <c r="P24" s="3">
        <f>'Roll Up'!M42</f>
        <v>0</v>
      </c>
    </row>
    <row r="25" spans="1:16" x14ac:dyDescent="0.3">
      <c r="A25" s="3">
        <f>'Roll Up'!A43</f>
        <v>7500</v>
      </c>
      <c r="B25" s="3" t="str">
        <f>'Roll Up'!B43</f>
        <v>Air (Intakes)</v>
      </c>
      <c r="C25" s="3" t="s">
        <v>387</v>
      </c>
      <c r="D25" s="14">
        <f>'Roll Up'!C43</f>
        <v>62</v>
      </c>
      <c r="E25" s="14">
        <f>'Roll Up'!N43</f>
        <v>60</v>
      </c>
      <c r="F25" s="14">
        <f>'Roll Up'!O43</f>
        <v>-2</v>
      </c>
      <c r="G25" s="15">
        <f>'Roll Up'!D43</f>
        <v>20</v>
      </c>
      <c r="H25" s="15">
        <f>'Roll Up'!E43</f>
        <v>0</v>
      </c>
      <c r="I25" s="15">
        <f>'Roll Up'!F43</f>
        <v>3.5806451612903225</v>
      </c>
      <c r="J25" s="14">
        <f>'Roll Up'!G43</f>
        <v>1240</v>
      </c>
      <c r="K25" s="14">
        <f>'Roll Up'!H43</f>
        <v>0</v>
      </c>
      <c r="L25" s="14">
        <f>'Roll Up'!I43</f>
        <v>222</v>
      </c>
      <c r="M25" s="14">
        <f>'Roll Up'!J43</f>
        <v>31</v>
      </c>
      <c r="N25" s="14">
        <f>'Roll Up'!K43</f>
        <v>31</v>
      </c>
      <c r="O25" s="3">
        <f>'Roll Up'!L43</f>
        <v>0</v>
      </c>
      <c r="P25" s="3" t="str">
        <f>'Roll Up'!M43</f>
        <v>2 duality + 1 turbogen intakes</v>
      </c>
    </row>
    <row r="26" spans="1:16" x14ac:dyDescent="0.3">
      <c r="A26" s="3">
        <f>'Roll Up'!A44</f>
        <v>8000</v>
      </c>
      <c r="B26" s="3" t="str">
        <f>'Roll Up'!B44</f>
        <v>Starting</v>
      </c>
      <c r="C26" s="3" t="s">
        <v>387</v>
      </c>
      <c r="D26" s="14">
        <f>'Roll Up'!C44</f>
        <v>26</v>
      </c>
      <c r="E26" s="14">
        <f>'Roll Up'!N44</f>
        <v>25</v>
      </c>
      <c r="F26" s="14">
        <f>'Roll Up'!O44</f>
        <v>-1</v>
      </c>
      <c r="G26" s="15">
        <f>'Roll Up'!D44</f>
        <v>27.923076923076923</v>
      </c>
      <c r="H26" s="15">
        <f>'Roll Up'!E44</f>
        <v>0.92307692307692313</v>
      </c>
      <c r="I26" s="15">
        <f>'Roll Up'!F44</f>
        <v>3.3461538461538463</v>
      </c>
      <c r="J26" s="14">
        <f>'Roll Up'!G44</f>
        <v>726</v>
      </c>
      <c r="K26" s="14">
        <f>'Roll Up'!H44</f>
        <v>24</v>
      </c>
      <c r="L26" s="14">
        <f>'Roll Up'!I44</f>
        <v>87</v>
      </c>
      <c r="M26" s="14">
        <f>'Roll Up'!J44</f>
        <v>13</v>
      </c>
      <c r="N26" s="14">
        <f>'Roll Up'!K44</f>
        <v>13</v>
      </c>
      <c r="O26" s="3">
        <f>'Roll Up'!L44</f>
        <v>0</v>
      </c>
      <c r="P26" s="3">
        <f>'Roll Up'!M44</f>
        <v>0</v>
      </c>
    </row>
    <row r="27" spans="1:16" x14ac:dyDescent="0.3">
      <c r="A27" s="3">
        <f>'Roll Up'!A47</f>
        <v>2500</v>
      </c>
      <c r="B27" s="3" t="str">
        <f>'Roll Up'!B47</f>
        <v>Equipment &amp; Furnishings</v>
      </c>
      <c r="C27" s="3" t="s">
        <v>388</v>
      </c>
      <c r="D27" s="14">
        <f>'Roll Up'!C47</f>
        <v>695</v>
      </c>
      <c r="E27" s="14">
        <f>'Roll Up'!N47</f>
        <v>700</v>
      </c>
      <c r="F27" s="14">
        <f>'Roll Up'!O47</f>
        <v>5</v>
      </c>
      <c r="G27" s="15">
        <f>'Roll Up'!D47</f>
        <v>14.03956834532374</v>
      </c>
      <c r="H27" s="15">
        <f>'Roll Up'!E47</f>
        <v>0.63669064748201443</v>
      </c>
      <c r="I27" s="15">
        <f>'Roll Up'!F47</f>
        <v>3.0949640287769786</v>
      </c>
      <c r="J27" s="14">
        <f>'Roll Up'!G47</f>
        <v>9757.5</v>
      </c>
      <c r="K27" s="14">
        <f>'Roll Up'!H47</f>
        <v>442.5</v>
      </c>
      <c r="L27" s="14">
        <f>'Roll Up'!I47</f>
        <v>2151</v>
      </c>
      <c r="M27" s="14">
        <f>'Roll Up'!J47</f>
        <v>259</v>
      </c>
      <c r="N27" s="14">
        <f>'Roll Up'!K47</f>
        <v>259</v>
      </c>
      <c r="O27" s="3">
        <f>'Roll Up'!L47</f>
        <v>0</v>
      </c>
      <c r="P27" s="3">
        <f>'Roll Up'!M47</f>
        <v>0</v>
      </c>
    </row>
    <row r="28" spans="1:16" x14ac:dyDescent="0.3">
      <c r="A28" s="3">
        <f>'Roll Up'!A48</f>
        <v>2600</v>
      </c>
      <c r="B28" s="3" t="str">
        <f>'Roll Up'!B48</f>
        <v>Fire Protection</v>
      </c>
      <c r="C28" s="3" t="s">
        <v>388</v>
      </c>
      <c r="D28" s="14">
        <f>'Roll Up'!C48</f>
        <v>60</v>
      </c>
      <c r="E28" s="14">
        <f>'Roll Up'!N48</f>
        <v>60</v>
      </c>
      <c r="F28" s="14">
        <f>'Roll Up'!O48</f>
        <v>0</v>
      </c>
      <c r="G28" s="15">
        <f>'Roll Up'!D48</f>
        <v>20.166666666666668</v>
      </c>
      <c r="H28" s="15">
        <f>'Roll Up'!E48</f>
        <v>2</v>
      </c>
      <c r="I28" s="15">
        <f>'Roll Up'!F48</f>
        <v>2.5833333333333335</v>
      </c>
      <c r="J28" s="14">
        <f>'Roll Up'!G48</f>
        <v>1210</v>
      </c>
      <c r="K28" s="14">
        <f>'Roll Up'!H48</f>
        <v>120</v>
      </c>
      <c r="L28" s="14">
        <f>'Roll Up'!I48</f>
        <v>155</v>
      </c>
      <c r="M28" s="14">
        <f>'Roll Up'!J48</f>
        <v>16.5</v>
      </c>
      <c r="N28" s="14">
        <f>'Roll Up'!K48</f>
        <v>16.5</v>
      </c>
      <c r="O28" s="3">
        <f>'Roll Up'!L48</f>
        <v>0</v>
      </c>
      <c r="P28" s="3">
        <f>'Roll Up'!M48</f>
        <v>0</v>
      </c>
    </row>
    <row r="29" spans="1:16" x14ac:dyDescent="0.3">
      <c r="A29" s="1" t="s">
        <v>82</v>
      </c>
      <c r="B29" s="1"/>
      <c r="C29" s="1" t="s">
        <v>333</v>
      </c>
      <c r="D29" s="69">
        <f>'Roll Up'!C51</f>
        <v>8327.5</v>
      </c>
      <c r="E29" s="69">
        <f>'Roll Up'!N51</f>
        <v>8320</v>
      </c>
      <c r="F29" s="69">
        <f>'Roll Up'!O51</f>
        <v>-7.5</v>
      </c>
      <c r="G29" s="70">
        <f>'Roll Up'!D51</f>
        <v>17.951005703992795</v>
      </c>
      <c r="H29" s="70">
        <f>'Roll Up'!E51</f>
        <v>0.99698589012308614</v>
      </c>
      <c r="I29" s="70">
        <f>'Roll Up'!F51</f>
        <v>2.60930051035725</v>
      </c>
      <c r="J29" s="69">
        <f>'Roll Up'!G51</f>
        <v>149487</v>
      </c>
      <c r="K29" s="69">
        <f>'Roll Up'!H51</f>
        <v>8302.4</v>
      </c>
      <c r="L29" s="69">
        <f>'Roll Up'!I51</f>
        <v>21728.95</v>
      </c>
      <c r="M29" s="69">
        <f>'Roll Up'!J51</f>
        <v>3938.5250000000001</v>
      </c>
      <c r="N29" s="69">
        <f>'Roll Up'!K51</f>
        <v>3938.5250000000001</v>
      </c>
      <c r="O29" s="1"/>
      <c r="P29" s="1"/>
    </row>
    <row r="31" spans="1:16" x14ac:dyDescent="0.3">
      <c r="A31" s="75" t="s">
        <v>328</v>
      </c>
      <c r="B31" s="75" t="s">
        <v>48</v>
      </c>
      <c r="C31" s="77" t="s">
        <v>329</v>
      </c>
      <c r="D31" s="77" t="s">
        <v>330</v>
      </c>
      <c r="E31" s="77" t="s">
        <v>331</v>
      </c>
      <c r="F31" s="77" t="s">
        <v>332</v>
      </c>
    </row>
    <row r="32" spans="1:16" x14ac:dyDescent="0.3">
      <c r="A32" s="3" t="s">
        <v>333</v>
      </c>
      <c r="B32" s="3" t="s">
        <v>334</v>
      </c>
      <c r="C32" s="78">
        <f>'Roll Up'!C54</f>
        <v>8327.5</v>
      </c>
      <c r="D32" s="14">
        <f>'Roll Up'!D54</f>
        <v>24500</v>
      </c>
      <c r="E32" s="78">
        <f>'Roll Up'!E54</f>
        <v>16172.5</v>
      </c>
      <c r="F32" s="41">
        <f>'Roll Up'!F54</f>
        <v>0.66010204081632651</v>
      </c>
    </row>
    <row r="33" spans="1:6" x14ac:dyDescent="0.3">
      <c r="A33" s="3" t="s">
        <v>389</v>
      </c>
      <c r="B33" s="3" t="s">
        <v>400</v>
      </c>
      <c r="C33" s="78">
        <f>'Roll Up'!C55</f>
        <v>450</v>
      </c>
    </row>
    <row r="34" spans="1:6" x14ac:dyDescent="0.3">
      <c r="A34" s="79" t="s">
        <v>337</v>
      </c>
      <c r="C34" s="80">
        <f>'Roll Up'!C56</f>
        <v>8777.5</v>
      </c>
      <c r="D34" s="14">
        <f>'Roll Up'!D56</f>
        <v>24950</v>
      </c>
      <c r="E34" s="78">
        <f>'Roll Up'!E56</f>
        <v>16172.5</v>
      </c>
      <c r="F34" s="41">
        <f>'Roll Up'!F56</f>
        <v>0.64819639278557117</v>
      </c>
    </row>
    <row r="35" spans="1:6" x14ac:dyDescent="0.3">
      <c r="A35" s="3" t="s">
        <v>390</v>
      </c>
      <c r="B35" s="3" t="s">
        <v>339</v>
      </c>
      <c r="C35" s="78">
        <f>'Roll Up'!C57</f>
        <v>1300</v>
      </c>
    </row>
    <row r="36" spans="1:6" x14ac:dyDescent="0.3">
      <c r="A36" s="79" t="s">
        <v>340</v>
      </c>
      <c r="C36" s="80">
        <f>'Roll Up'!C58</f>
        <v>10077.5</v>
      </c>
      <c r="D36" s="14">
        <f>'Roll Up'!D58</f>
        <v>28500</v>
      </c>
      <c r="E36" s="78">
        <f>'Roll Up'!E58</f>
        <v>18422.5</v>
      </c>
      <c r="F36" s="41">
        <f>'Roll Up'!F58</f>
        <v>0.64640350877192987</v>
      </c>
    </row>
    <row r="37" spans="1:6" x14ac:dyDescent="0.3">
      <c r="A37" s="3" t="s">
        <v>391</v>
      </c>
      <c r="B37" s="3" t="s">
        <v>343</v>
      </c>
      <c r="C37" s="78">
        <f>'Roll Up'!C59</f>
        <v>8000</v>
      </c>
    </row>
    <row r="38" spans="1:6" x14ac:dyDescent="0.3">
      <c r="A38" s="79" t="s">
        <v>344</v>
      </c>
      <c r="C38" s="80">
        <f>'Roll Up'!C60</f>
        <v>18077.5</v>
      </c>
      <c r="D38" s="14">
        <f>'Roll Up'!D60</f>
        <v>37500</v>
      </c>
      <c r="E38" s="78">
        <f>'Roll Up'!E60</f>
        <v>19422.5</v>
      </c>
      <c r="F38" s="41">
        <f>'Roll Up'!F60</f>
        <v>0.51793333333333336</v>
      </c>
    </row>
    <row r="39" spans="1:6" x14ac:dyDescent="0.3">
      <c r="A39" s="3" t="s">
        <v>401</v>
      </c>
      <c r="B39" s="3" t="s">
        <v>346</v>
      </c>
      <c r="C39" s="78">
        <f>'Roll Up'!C61</f>
        <v>5500</v>
      </c>
    </row>
    <row r="40" spans="1:6" x14ac:dyDescent="0.3">
      <c r="A40" s="79" t="s">
        <v>347</v>
      </c>
      <c r="C40" s="80">
        <f>'Roll Up'!C62</f>
        <v>12577.5</v>
      </c>
      <c r="D40" s="14">
        <f>'Roll Up'!D62</f>
        <v>33000</v>
      </c>
      <c r="E40" s="78">
        <f>'Roll Up'!E62</f>
        <v>20422.5</v>
      </c>
      <c r="F40" s="41">
        <f>'Roll Up'!F62</f>
        <v>0.61886363636363639</v>
      </c>
    </row>
    <row r="42" spans="1:6" x14ac:dyDescent="0.3">
      <c r="A42" s="81" t="s">
        <v>402</v>
      </c>
      <c r="B42" s="38" t="s">
        <v>466</v>
      </c>
      <c r="C42" s="3" t="s">
        <v>403</v>
      </c>
      <c r="D42" s="82">
        <v>46169</v>
      </c>
    </row>
    <row r="43" spans="1:6" x14ac:dyDescent="0.3">
      <c r="A43" s="81" t="s">
        <v>404</v>
      </c>
    </row>
    <row r="44" spans="1:6" x14ac:dyDescent="0.3">
      <c r="A44" s="3" t="s">
        <v>405</v>
      </c>
      <c r="B44" s="3" t="s">
        <v>468</v>
      </c>
    </row>
    <row r="45" spans="1:6" x14ac:dyDescent="0.3">
      <c r="A45" s="3" t="s">
        <v>406</v>
      </c>
    </row>
    <row r="46" spans="1:6" x14ac:dyDescent="0.3">
      <c r="A46" s="3" t="s">
        <v>407</v>
      </c>
    </row>
    <row r="47" spans="1:6" x14ac:dyDescent="0.3">
      <c r="A47" s="3" t="s">
        <v>467</v>
      </c>
    </row>
    <row r="50" spans="1:1" x14ac:dyDescent="0.3">
      <c r="A50" s="3" t="s">
        <v>469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3515F-F2F2-4133-ADB8-D2038C8047CD}">
  <sheetPr codeName="Sheet4"/>
  <dimension ref="A1:O84"/>
  <sheetViews>
    <sheetView topLeftCell="E17" zoomScale="109" workbookViewId="0">
      <selection activeCell="G16" sqref="G16"/>
    </sheetView>
  </sheetViews>
  <sheetFormatPr defaultRowHeight="14.4" x14ac:dyDescent="0.3"/>
  <cols>
    <col min="1" max="1" width="11.109375" style="3" customWidth="1"/>
    <col min="2" max="2" width="37" style="3" customWidth="1"/>
    <col min="3" max="6" width="20.33203125" style="3" customWidth="1"/>
    <col min="7" max="7" width="29.6640625" style="3" customWidth="1"/>
    <col min="8" max="8" width="8.88671875" style="3"/>
    <col min="9" max="9" width="9.44140625" style="3" bestFit="1" customWidth="1"/>
    <col min="10" max="10" width="14.109375" style="3" bestFit="1" customWidth="1"/>
    <col min="11" max="16384" width="8.88671875" style="3"/>
  </cols>
  <sheetData>
    <row r="1" spans="1:15" ht="18" x14ac:dyDescent="0.35">
      <c r="A1" s="9" t="s">
        <v>80</v>
      </c>
    </row>
    <row r="3" spans="1:15" ht="45" customHeight="1" x14ac:dyDescent="0.3">
      <c r="A3" s="3" t="s">
        <v>358</v>
      </c>
    </row>
    <row r="5" spans="1:15" x14ac:dyDescent="0.3">
      <c r="A5" s="11" t="s">
        <v>1</v>
      </c>
      <c r="B5" s="11" t="s">
        <v>48</v>
      </c>
      <c r="C5" s="11" t="s">
        <v>81</v>
      </c>
      <c r="D5" s="11" t="s">
        <v>86</v>
      </c>
      <c r="E5" s="11" t="s">
        <v>87</v>
      </c>
      <c r="F5" s="11" t="s">
        <v>90</v>
      </c>
      <c r="G5" s="11" t="s">
        <v>359</v>
      </c>
      <c r="I5" s="11" t="s">
        <v>393</v>
      </c>
      <c r="J5" s="11" t="s">
        <v>394</v>
      </c>
      <c r="K5" s="11" t="s">
        <v>395</v>
      </c>
      <c r="M5" s="11" t="s">
        <v>396</v>
      </c>
      <c r="N5" s="11" t="s">
        <v>397</v>
      </c>
      <c r="O5" s="11" t="s">
        <v>398</v>
      </c>
    </row>
    <row r="6" spans="1:15" x14ac:dyDescent="0.3">
      <c r="A6" s="3">
        <v>5200</v>
      </c>
      <c r="B6" s="3" t="s">
        <v>100</v>
      </c>
      <c r="C6" s="14">
        <f>'Roll Up'!C12</f>
        <v>103</v>
      </c>
      <c r="D6" s="14">
        <f>('Roll Up'!J12-'Roll Up'!K12)/3</f>
        <v>0</v>
      </c>
      <c r="E6" s="14">
        <f t="shared" ref="E6:E33" si="0">C6+D6</f>
        <v>103</v>
      </c>
      <c r="F6" s="14">
        <f>SQRT(('Roll Up'!J12^2+'Roll Up'!K12^2-'Roll Up'!J12*'Roll Up'!K12)/18)</f>
        <v>12.138666410369066</v>
      </c>
      <c r="G6" s="3" t="str">
        <f t="shared" ref="G6:G33" si="1">"["&amp;TEXT(E6-1.96*F6,"#,##0")&amp;" – "&amp;TEXT(E6+1.96*F6,"#,##0")&amp;"]"</f>
        <v>[79 – 127]</v>
      </c>
      <c r="I6" s="3">
        <v>7567.6074148454081</v>
      </c>
      <c r="J6" s="3">
        <f t="shared" ref="J6:J35" si="2">IF(I6&lt;=$B$37, _xlfn.NORM.DIST(I6,$D$37,$F$37,FALSE), NA())</f>
        <v>7.1791246763881102E-5</v>
      </c>
      <c r="K6" s="3" t="e">
        <f t="shared" ref="K6:K35" si="3">IF(I6&gt;=$B$37, _xlfn.NORM.DIST(I6,$D$37,$F$37,FALSE), NA())</f>
        <v>#N/A</v>
      </c>
      <c r="M6" s="3" t="str">
        <f>"Target"</f>
        <v>Target</v>
      </c>
      <c r="N6" s="3">
        <f>$B$37</f>
        <v>8320</v>
      </c>
      <c r="O6" s="3">
        <v>0</v>
      </c>
    </row>
    <row r="7" spans="1:15" x14ac:dyDescent="0.3">
      <c r="A7" s="3">
        <v>5300</v>
      </c>
      <c r="B7" s="3" t="s">
        <v>23</v>
      </c>
      <c r="C7" s="14">
        <f>'Roll Up'!C13</f>
        <v>1785</v>
      </c>
      <c r="D7" s="14">
        <f>('Roll Up'!J13-'Roll Up'!K13)/3</f>
        <v>0</v>
      </c>
      <c r="E7" s="14">
        <f t="shared" si="0"/>
        <v>1785</v>
      </c>
      <c r="F7" s="14">
        <f>SQRT(('Roll Up'!J13^2+'Roll Up'!K13^2-'Roll Up'!J13*'Roll Up'!K13)/18)</f>
        <v>210.36426740299788</v>
      </c>
      <c r="G7" s="3" t="str">
        <f t="shared" si="1"/>
        <v>[1,373 – 2,197]</v>
      </c>
      <c r="I7" s="3">
        <v>7599.7547294742726</v>
      </c>
      <c r="J7" s="3">
        <f t="shared" si="2"/>
        <v>9.0993789963162309E-5</v>
      </c>
      <c r="K7" s="3" t="e">
        <f t="shared" si="3"/>
        <v>#N/A</v>
      </c>
      <c r="M7" s="3" t="str">
        <f>"Target"</f>
        <v>Target</v>
      </c>
      <c r="N7" s="14">
        <f>$B$37</f>
        <v>8320</v>
      </c>
      <c r="O7" s="3">
        <f>1.05/($F$37*SQRT(2*PI()))</f>
        <v>1.318845352941668E-3</v>
      </c>
    </row>
    <row r="8" spans="1:15" x14ac:dyDescent="0.3">
      <c r="A8" s="3">
        <v>5500</v>
      </c>
      <c r="B8" s="3" t="s">
        <v>101</v>
      </c>
      <c r="C8" s="14">
        <f>'Roll Up'!C14</f>
        <v>330</v>
      </c>
      <c r="D8" s="14">
        <f>('Roll Up'!J14-'Roll Up'!K14)/3</f>
        <v>0</v>
      </c>
      <c r="E8" s="14">
        <f t="shared" si="0"/>
        <v>330</v>
      </c>
      <c r="F8" s="14">
        <f>SQRT(('Roll Up'!J14^2+'Roll Up'!K14^2-'Roll Up'!J14*'Roll Up'!K14)/18)</f>
        <v>38.890872965260115</v>
      </c>
      <c r="G8" s="3" t="str">
        <f t="shared" si="1"/>
        <v>[254 – 406]</v>
      </c>
      <c r="I8" s="3">
        <v>7631.902044103138</v>
      </c>
      <c r="J8" s="3">
        <f t="shared" si="2"/>
        <v>1.14157121480912E-4</v>
      </c>
      <c r="K8" s="3" t="e">
        <f t="shared" si="3"/>
        <v>#N/A</v>
      </c>
      <c r="M8" s="3" t="s">
        <v>399</v>
      </c>
      <c r="N8" s="3">
        <v>8853.5</v>
      </c>
      <c r="O8" s="3">
        <v>0</v>
      </c>
    </row>
    <row r="9" spans="1:15" x14ac:dyDescent="0.3">
      <c r="A9" s="3">
        <v>5600</v>
      </c>
      <c r="B9" s="3" t="s">
        <v>26</v>
      </c>
      <c r="C9" s="14">
        <f>'Roll Up'!C15</f>
        <v>124</v>
      </c>
      <c r="D9" s="14">
        <f>('Roll Up'!J15-'Roll Up'!K15)/3</f>
        <v>0</v>
      </c>
      <c r="E9" s="14">
        <f t="shared" si="0"/>
        <v>124</v>
      </c>
      <c r="F9" s="14">
        <f>SQRT(('Roll Up'!J15^2+'Roll Up'!K15^2-'Roll Up'!J15*'Roll Up'!K15)/18)</f>
        <v>7.2596296201818884</v>
      </c>
      <c r="G9" s="3" t="str">
        <f t="shared" si="1"/>
        <v>[110 – 138]</v>
      </c>
      <c r="I9" s="3">
        <v>7664.0493587320025</v>
      </c>
      <c r="J9" s="3">
        <f t="shared" si="2"/>
        <v>1.417572440055161E-4</v>
      </c>
      <c r="K9" s="3" t="e">
        <f t="shared" si="3"/>
        <v>#N/A</v>
      </c>
      <c r="M9" s="3" t="str">
        <f>"Adjusted Mean"</f>
        <v>Adjusted Mean</v>
      </c>
      <c r="N9" s="14">
        <f>$D$37</f>
        <v>8327.5</v>
      </c>
      <c r="O9" s="3">
        <f>1.05/($F$37*SQRT(2*PI()))</f>
        <v>1.318845352941668E-3</v>
      </c>
    </row>
    <row r="10" spans="1:15" x14ac:dyDescent="0.3">
      <c r="A10" s="3">
        <v>5700</v>
      </c>
      <c r="B10" s="3" t="s">
        <v>27</v>
      </c>
      <c r="C10" s="14">
        <f>'Roll Up'!C16</f>
        <v>1158</v>
      </c>
      <c r="D10" s="14">
        <f>('Roll Up'!J16-'Roll Up'!K16)/3</f>
        <v>0</v>
      </c>
      <c r="E10" s="14">
        <f t="shared" si="0"/>
        <v>1158</v>
      </c>
      <c r="F10" s="14">
        <f>SQRT(('Roll Up'!J16^2+'Roll Up'!K16^2-'Roll Up'!J16*'Roll Up'!K16)/18)</f>
        <v>136.47160876900367</v>
      </c>
      <c r="G10" s="3" t="str">
        <f t="shared" si="1"/>
        <v>[891 – 1,425]</v>
      </c>
      <c r="I10" s="3">
        <v>7696.196673360867</v>
      </c>
      <c r="J10" s="3">
        <f t="shared" si="2"/>
        <v>1.7423624774988379E-4</v>
      </c>
      <c r="K10" s="3" t="e">
        <f t="shared" si="3"/>
        <v>#N/A</v>
      </c>
      <c r="M10" s="3" t="str">
        <f>"P95"</f>
        <v>P95</v>
      </c>
      <c r="N10" s="3">
        <f>$D$37+1.96*$F$37</f>
        <v>8950.0318315258628</v>
      </c>
      <c r="O10" s="3">
        <f>0</f>
        <v>0</v>
      </c>
    </row>
    <row r="11" spans="1:15" x14ac:dyDescent="0.3">
      <c r="A11" s="3">
        <v>3200</v>
      </c>
      <c r="B11" s="3" t="s">
        <v>15</v>
      </c>
      <c r="C11" s="14">
        <f>'Roll Up'!C17</f>
        <v>970</v>
      </c>
      <c r="D11" s="14">
        <f>('Roll Up'!J17-'Roll Up'!K17)/3</f>
        <v>0</v>
      </c>
      <c r="E11" s="14">
        <f t="shared" si="0"/>
        <v>970</v>
      </c>
      <c r="F11" s="14">
        <f>SQRT(('Roll Up'!J17^2+'Roll Up'!K17^2-'Roll Up'!J17*'Roll Up'!K17)/18)</f>
        <v>114.31559629182517</v>
      </c>
      <c r="G11" s="3" t="str">
        <f t="shared" si="1"/>
        <v>[746 – 1,194]</v>
      </c>
      <c r="I11" s="3">
        <v>7728.3439879897323</v>
      </c>
      <c r="J11" s="3">
        <f t="shared" si="2"/>
        <v>2.1197407805721971E-4</v>
      </c>
      <c r="K11" s="3" t="e">
        <f t="shared" si="3"/>
        <v>#N/A</v>
      </c>
      <c r="M11" s="3" t="str">
        <f>"P95"</f>
        <v>P95</v>
      </c>
      <c r="N11" s="3">
        <f>$D$37+1.96*$F$37</f>
        <v>8950.0318315258628</v>
      </c>
      <c r="O11" s="3">
        <f>1.05/($F$37*SQRT(2*PI()))</f>
        <v>1.318845352941668E-3</v>
      </c>
    </row>
    <row r="12" spans="1:15" x14ac:dyDescent="0.3">
      <c r="A12" s="3">
        <v>2100</v>
      </c>
      <c r="B12" s="3" t="s">
        <v>4</v>
      </c>
      <c r="C12" s="14">
        <f>'Roll Up'!C20</f>
        <v>78</v>
      </c>
      <c r="D12" s="14">
        <f>('Roll Up'!J20-'Roll Up'!K20)/3</f>
        <v>0</v>
      </c>
      <c r="E12" s="14">
        <f t="shared" si="0"/>
        <v>78</v>
      </c>
      <c r="F12" s="14">
        <f>SQRT(('Roll Up'!J20^2+'Roll Up'!K20^2-'Roll Up'!J20*'Roll Up'!K20)/18)</f>
        <v>9.1923881554251174</v>
      </c>
      <c r="G12" s="3" t="str">
        <f t="shared" si="1"/>
        <v>[60 – 96]</v>
      </c>
      <c r="I12" s="3">
        <v>7760.4913026185968</v>
      </c>
      <c r="J12" s="3">
        <f t="shared" si="2"/>
        <v>2.5525719763964646E-4</v>
      </c>
      <c r="K12" s="3" t="e">
        <f t="shared" si="3"/>
        <v>#N/A</v>
      </c>
    </row>
    <row r="13" spans="1:15" x14ac:dyDescent="0.3">
      <c r="A13" s="3">
        <v>2700</v>
      </c>
      <c r="B13" s="3" t="s">
        <v>10</v>
      </c>
      <c r="C13" s="14">
        <f>'Roll Up'!C21</f>
        <v>220</v>
      </c>
      <c r="D13" s="14">
        <f>('Roll Up'!J21-'Roll Up'!K21)/3</f>
        <v>0</v>
      </c>
      <c r="E13" s="14">
        <f t="shared" si="0"/>
        <v>220</v>
      </c>
      <c r="F13" s="14">
        <f>SQRT(('Roll Up'!J21^2+'Roll Up'!K21^2-'Roll Up'!J21*'Roll Up'!K21)/18)</f>
        <v>24.230192368659029</v>
      </c>
      <c r="G13" s="3" t="str">
        <f t="shared" si="1"/>
        <v>[173 – 267]</v>
      </c>
      <c r="I13" s="3">
        <v>7792.6386172474613</v>
      </c>
      <c r="J13" s="3">
        <f t="shared" si="2"/>
        <v>3.0424555056135597E-4</v>
      </c>
      <c r="K13" s="3" t="e">
        <f t="shared" si="3"/>
        <v>#N/A</v>
      </c>
    </row>
    <row r="14" spans="1:15" x14ac:dyDescent="0.3">
      <c r="A14" s="3">
        <v>2800</v>
      </c>
      <c r="B14" s="3" t="s">
        <v>314</v>
      </c>
      <c r="C14" s="14">
        <f>'Roll Up'!C22</f>
        <v>220</v>
      </c>
      <c r="D14" s="14">
        <f>('Roll Up'!J22-'Roll Up'!K22)/3</f>
        <v>0</v>
      </c>
      <c r="E14" s="14">
        <f t="shared" si="0"/>
        <v>220</v>
      </c>
      <c r="F14" s="14">
        <f>SQRT(('Roll Up'!J22^2+'Roll Up'!K22^2-'Roll Up'!J22*'Roll Up'!K22)/18)</f>
        <v>25.92724864350674</v>
      </c>
      <c r="G14" s="3" t="str">
        <f t="shared" si="1"/>
        <v>[169 – 271]</v>
      </c>
      <c r="I14" s="3">
        <v>7824.7859318763267</v>
      </c>
      <c r="J14" s="3">
        <f t="shared" si="2"/>
        <v>3.5893967967813724E-4</v>
      </c>
      <c r="K14" s="3" t="e">
        <f t="shared" si="3"/>
        <v>#N/A</v>
      </c>
    </row>
    <row r="15" spans="1:15" x14ac:dyDescent="0.3">
      <c r="A15" s="3">
        <v>2900</v>
      </c>
      <c r="B15" s="3" t="s">
        <v>12</v>
      </c>
      <c r="C15" s="14">
        <f>'Roll Up'!C23</f>
        <v>90</v>
      </c>
      <c r="D15" s="14">
        <f>('Roll Up'!J23-'Roll Up'!K23)/3</f>
        <v>0</v>
      </c>
      <c r="E15" s="14">
        <f t="shared" si="0"/>
        <v>90</v>
      </c>
      <c r="F15" s="14">
        <f>SQRT(('Roll Up'!J23^2+'Roll Up'!K23^2-'Roll Up'!J23*'Roll Up'!K23)/18)</f>
        <v>10.606601717798213</v>
      </c>
      <c r="G15" s="3" t="str">
        <f t="shared" si="1"/>
        <v>[69 – 111]</v>
      </c>
      <c r="I15" s="3">
        <v>7856.9332465051912</v>
      </c>
      <c r="J15" s="3">
        <f t="shared" si="2"/>
        <v>4.1915022428650947E-4</v>
      </c>
      <c r="K15" s="3" t="e">
        <f t="shared" si="3"/>
        <v>#N/A</v>
      </c>
    </row>
    <row r="16" spans="1:15" x14ac:dyDescent="0.3">
      <c r="A16" s="3">
        <v>3000</v>
      </c>
      <c r="B16" s="3" t="s">
        <v>360</v>
      </c>
      <c r="C16" s="14">
        <f>'Roll Up'!C24</f>
        <v>67</v>
      </c>
      <c r="D16" s="14">
        <f>('Roll Up'!J24-'Roll Up'!K24)/3</f>
        <v>0</v>
      </c>
      <c r="E16" s="14">
        <f t="shared" si="0"/>
        <v>67</v>
      </c>
      <c r="F16" s="14">
        <f>SQRT(('Roll Up'!J24^2+'Roll Up'!K24^2-'Roll Up'!J24*'Roll Up'!K24)/18)</f>
        <v>7.8960257232497808</v>
      </c>
      <c r="G16" s="3" t="str">
        <f t="shared" si="1"/>
        <v>[52 – 82]</v>
      </c>
      <c r="I16" s="3">
        <v>7889.0805611340566</v>
      </c>
      <c r="J16" s="3">
        <f t="shared" si="2"/>
        <v>4.8447227824633662E-4</v>
      </c>
      <c r="K16" s="3" t="e">
        <f t="shared" si="3"/>
        <v>#N/A</v>
      </c>
    </row>
    <row r="17" spans="1:11" x14ac:dyDescent="0.3">
      <c r="A17" s="3">
        <v>3500</v>
      </c>
      <c r="B17" s="3" t="s">
        <v>18</v>
      </c>
      <c r="C17" s="14">
        <f>'Roll Up'!C25</f>
        <v>48</v>
      </c>
      <c r="D17" s="14">
        <f>('Roll Up'!J25-'Roll Up'!K25)/3</f>
        <v>0</v>
      </c>
      <c r="E17" s="14">
        <f t="shared" si="0"/>
        <v>48</v>
      </c>
      <c r="F17" s="14">
        <f>SQRT(('Roll Up'!J25^2+'Roll Up'!K25^2-'Roll Up'!J25*'Roll Up'!K25)/18)</f>
        <v>4.1012193308819755</v>
      </c>
      <c r="G17" s="3" t="str">
        <f t="shared" si="1"/>
        <v>[40 – 56]</v>
      </c>
      <c r="I17" s="3">
        <v>7921.227875762921</v>
      </c>
      <c r="J17" s="3">
        <f t="shared" si="2"/>
        <v>5.5426717176420952E-4</v>
      </c>
      <c r="K17" s="3" t="e">
        <f t="shared" si="3"/>
        <v>#N/A</v>
      </c>
    </row>
    <row r="18" spans="1:11" x14ac:dyDescent="0.3">
      <c r="A18" s="3">
        <v>3600</v>
      </c>
      <c r="B18" s="3" t="s">
        <v>19</v>
      </c>
      <c r="C18" s="14">
        <f>'Roll Up'!C26</f>
        <v>58</v>
      </c>
      <c r="D18" s="14">
        <f>('Roll Up'!J26-'Roll Up'!K26)/3</f>
        <v>0</v>
      </c>
      <c r="E18" s="14">
        <f t="shared" si="0"/>
        <v>58</v>
      </c>
      <c r="F18" s="14">
        <f>SQRT(('Roll Up'!J26^2+'Roll Up'!K26^2-'Roll Up'!J26*'Roll Up'!K26)/18)</f>
        <v>6.8353655514699589</v>
      </c>
      <c r="G18" s="3" t="str">
        <f t="shared" si="1"/>
        <v>[45 – 71]</v>
      </c>
      <c r="I18" s="3">
        <v>7953.3751903917855</v>
      </c>
      <c r="J18" s="3">
        <f t="shared" si="2"/>
        <v>6.2765411272841141E-4</v>
      </c>
      <c r="K18" s="3" t="e">
        <f t="shared" si="3"/>
        <v>#N/A</v>
      </c>
    </row>
    <row r="19" spans="1:11" x14ac:dyDescent="0.3">
      <c r="A19" s="3">
        <v>3800</v>
      </c>
      <c r="B19" s="3" t="s">
        <v>121</v>
      </c>
      <c r="C19" s="14">
        <f>'Roll Up'!C27</f>
        <v>46</v>
      </c>
      <c r="D19" s="14">
        <f>('Roll Up'!J27-'Roll Up'!K27)/3</f>
        <v>0</v>
      </c>
      <c r="E19" s="14">
        <f t="shared" si="0"/>
        <v>46</v>
      </c>
      <c r="F19" s="14">
        <f>SQRT(('Roll Up'!J27^2+'Roll Up'!K27^2-'Roll Up'!J27*'Roll Up'!K27)/18)</f>
        <v>5.421151989096864</v>
      </c>
      <c r="G19" s="3" t="str">
        <f t="shared" si="1"/>
        <v>[35 – 57]</v>
      </c>
      <c r="I19" s="3">
        <v>7985.5225050206509</v>
      </c>
      <c r="J19" s="3">
        <f t="shared" si="2"/>
        <v>7.0351376226484707E-4</v>
      </c>
      <c r="K19" s="3" t="e">
        <f t="shared" si="3"/>
        <v>#N/A</v>
      </c>
    </row>
    <row r="20" spans="1:11" x14ac:dyDescent="0.3">
      <c r="A20" s="3" t="s">
        <v>125</v>
      </c>
      <c r="B20" s="3" t="s">
        <v>120</v>
      </c>
      <c r="C20" s="14">
        <f>'Roll Up'!C30</f>
        <v>386</v>
      </c>
      <c r="D20" s="14">
        <f>('Roll Up'!J30-'Roll Up'!K30)/3</f>
        <v>0</v>
      </c>
      <c r="E20" s="14">
        <f t="shared" si="0"/>
        <v>386</v>
      </c>
      <c r="F20" s="14">
        <f>SQRT(('Roll Up'!J30^2+'Roll Up'!K30^2-'Roll Up'!J30*'Roll Up'!K30)/18)</f>
        <v>37.00525488209599</v>
      </c>
      <c r="G20" s="3" t="str">
        <f t="shared" si="1"/>
        <v>[313 – 459]</v>
      </c>
      <c r="I20" s="3">
        <v>8017.6698196495154</v>
      </c>
      <c r="J20" s="3">
        <f t="shared" si="2"/>
        <v>7.805052218390258E-4</v>
      </c>
      <c r="K20" s="3" t="e">
        <f t="shared" si="3"/>
        <v>#N/A</v>
      </c>
    </row>
    <row r="21" spans="1:11" x14ac:dyDescent="0.3">
      <c r="A21" s="3" t="s">
        <v>126</v>
      </c>
      <c r="B21" s="3" t="s">
        <v>361</v>
      </c>
      <c r="C21" s="14">
        <f>'Roll Up'!C31</f>
        <v>580</v>
      </c>
      <c r="D21" s="14">
        <f>('Roll Up'!J31-'Roll Up'!K31)/3</f>
        <v>0</v>
      </c>
      <c r="E21" s="14">
        <f t="shared" si="0"/>
        <v>580</v>
      </c>
      <c r="F21" s="14">
        <f>SQRT(('Roll Up'!J31^2+'Roll Up'!K31^2-'Roll Up'!J31*'Roll Up'!K31)/18)</f>
        <v>68.353655514699597</v>
      </c>
      <c r="G21" s="3" t="str">
        <f t="shared" si="1"/>
        <v>[446 – 714]</v>
      </c>
      <c r="I21" s="3">
        <v>8049.8171342783799</v>
      </c>
      <c r="J21" s="3">
        <f t="shared" si="2"/>
        <v>8.5709709877627559E-4</v>
      </c>
      <c r="K21" s="3" t="e">
        <f t="shared" si="3"/>
        <v>#N/A</v>
      </c>
    </row>
    <row r="22" spans="1:11" x14ac:dyDescent="0.3">
      <c r="A22" s="3">
        <v>3300</v>
      </c>
      <c r="B22" s="3" t="s">
        <v>16</v>
      </c>
      <c r="C22" s="14">
        <f>'Roll Up'!C32</f>
        <v>28.5</v>
      </c>
      <c r="D22" s="14">
        <f>('Roll Up'!J32-'Roll Up'!K32)/3</f>
        <v>0</v>
      </c>
      <c r="E22" s="14">
        <f t="shared" si="0"/>
        <v>28.5</v>
      </c>
      <c r="F22" s="14">
        <f>SQRT(('Roll Up'!J32^2+'Roll Up'!K32^2-'Roll Up'!J32*'Roll Up'!K32)/18)</f>
        <v>2.5632620818012342</v>
      </c>
      <c r="G22" s="3" t="str">
        <f t="shared" si="1"/>
        <v>[23 – 34]</v>
      </c>
      <c r="I22" s="3">
        <v>8081.9644489072452</v>
      </c>
      <c r="J22" s="3">
        <f t="shared" si="2"/>
        <v>9.3161234275283768E-4</v>
      </c>
      <c r="K22" s="3" t="e">
        <f t="shared" si="3"/>
        <v>#N/A</v>
      </c>
    </row>
    <row r="23" spans="1:11" x14ac:dyDescent="0.3">
      <c r="A23" s="3">
        <v>2200</v>
      </c>
      <c r="B23" s="3" t="s">
        <v>5</v>
      </c>
      <c r="C23" s="14">
        <f>'Roll Up'!C35</f>
        <v>16</v>
      </c>
      <c r="D23" s="14">
        <f>('Roll Up'!J35-'Roll Up'!K35)/3</f>
        <v>0</v>
      </c>
      <c r="E23" s="14">
        <f t="shared" si="0"/>
        <v>16</v>
      </c>
      <c r="F23" s="14">
        <f>SQRT(('Roll Up'!J35^2+'Roll Up'!K35^2-'Roll Up'!J35*'Roll Up'!K35)/18)</f>
        <v>1.0370899457402698</v>
      </c>
      <c r="G23" s="3" t="str">
        <f t="shared" si="1"/>
        <v>[14 – 18]</v>
      </c>
      <c r="I23" s="3">
        <v>8114.1117635361097</v>
      </c>
      <c r="J23" s="3">
        <f t="shared" si="2"/>
        <v>1.0022854808771559E-3</v>
      </c>
      <c r="K23" s="3" t="e">
        <f t="shared" si="3"/>
        <v>#N/A</v>
      </c>
    </row>
    <row r="24" spans="1:11" x14ac:dyDescent="0.3">
      <c r="A24" s="3">
        <v>2300</v>
      </c>
      <c r="B24" s="3" t="s">
        <v>6</v>
      </c>
      <c r="C24" s="14">
        <f>'Roll Up'!C36</f>
        <v>37</v>
      </c>
      <c r="D24" s="14">
        <f>('Roll Up'!J36-'Roll Up'!K36)/3</f>
        <v>0</v>
      </c>
      <c r="E24" s="14">
        <f t="shared" si="0"/>
        <v>37</v>
      </c>
      <c r="F24" s="14">
        <f>SQRT(('Roll Up'!J36^2+'Roll Up'!K36^2-'Roll Up'!J36*'Roll Up'!K36)/18)</f>
        <v>3.6533850361304956</v>
      </c>
      <c r="G24" s="3" t="str">
        <f t="shared" si="1"/>
        <v>[30 – 44]</v>
      </c>
      <c r="I24" s="3">
        <v>8146.2590781649742</v>
      </c>
      <c r="J24" s="3">
        <f t="shared" si="2"/>
        <v>1.0673298151142926E-3</v>
      </c>
      <c r="K24" s="3" t="e">
        <f t="shared" si="3"/>
        <v>#N/A</v>
      </c>
    </row>
    <row r="25" spans="1:11" x14ac:dyDescent="0.3">
      <c r="A25" s="3">
        <v>3100</v>
      </c>
      <c r="B25" s="3" t="s">
        <v>320</v>
      </c>
      <c r="C25" s="14">
        <f>'Roll Up'!C37</f>
        <v>61</v>
      </c>
      <c r="D25" s="14">
        <f>('Roll Up'!J37-'Roll Up'!K37)/3</f>
        <v>0</v>
      </c>
      <c r="E25" s="14">
        <f t="shared" si="0"/>
        <v>61</v>
      </c>
      <c r="F25" s="14">
        <f>SQRT(('Roll Up'!J37^2+'Roll Up'!K37^2-'Roll Up'!J37*'Roll Up'!K37)/18)</f>
        <v>2.6987908815286565</v>
      </c>
      <c r="G25" s="3" t="str">
        <f t="shared" si="1"/>
        <v>[56 – 66]</v>
      </c>
      <c r="I25" s="3">
        <v>8178.4063927938396</v>
      </c>
      <c r="J25" s="3">
        <f t="shared" si="2"/>
        <v>1.1250111845184708E-3</v>
      </c>
      <c r="K25" s="3" t="e">
        <f t="shared" si="3"/>
        <v>#N/A</v>
      </c>
    </row>
    <row r="26" spans="1:11" x14ac:dyDescent="0.3">
      <c r="A26" s="3">
        <v>3400</v>
      </c>
      <c r="B26" s="3" t="s">
        <v>17</v>
      </c>
      <c r="C26" s="14">
        <f>'Roll Up'!C38</f>
        <v>90</v>
      </c>
      <c r="D26" s="14">
        <f>('Roll Up'!J38-'Roll Up'!K38)/3</f>
        <v>0</v>
      </c>
      <c r="E26" s="14">
        <f t="shared" si="0"/>
        <v>90</v>
      </c>
      <c r="F26" s="14">
        <f>SQRT(('Roll Up'!J38^2+'Roll Up'!K38^2-'Roll Up'!J38*'Roll Up'!K38)/18)</f>
        <v>7.4953318805774041</v>
      </c>
      <c r="G26" s="3" t="str">
        <f t="shared" si="1"/>
        <v>[75 – 105]</v>
      </c>
      <c r="I26" s="3">
        <v>8210.5537074227032</v>
      </c>
      <c r="J26" s="3">
        <f t="shared" si="2"/>
        <v>1.1737241365969103E-3</v>
      </c>
      <c r="K26" s="3" t="e">
        <f t="shared" si="3"/>
        <v>#N/A</v>
      </c>
    </row>
    <row r="27" spans="1:11" x14ac:dyDescent="0.3">
      <c r="A27" s="3">
        <v>7100</v>
      </c>
      <c r="B27" s="3" t="s">
        <v>103</v>
      </c>
      <c r="C27" s="14">
        <f>'Roll Up'!C41</f>
        <v>914</v>
      </c>
      <c r="D27" s="14">
        <f>('Roll Up'!J41-'Roll Up'!K41)/3</f>
        <v>0</v>
      </c>
      <c r="E27" s="14">
        <f t="shared" si="0"/>
        <v>914</v>
      </c>
      <c r="F27" s="14">
        <f>SQRT(('Roll Up'!J41^2+'Roll Up'!K41^2-'Roll Up'!J41*'Roll Up'!K41)/18)</f>
        <v>107.71593300075074</v>
      </c>
      <c r="G27" s="3" t="str">
        <f t="shared" si="1"/>
        <v>[703 – 1,125]</v>
      </c>
      <c r="I27" s="3">
        <v>8242.7010220515695</v>
      </c>
      <c r="J27" s="3">
        <f t="shared" si="2"/>
        <v>1.2120658850541578E-3</v>
      </c>
      <c r="K27" s="3" t="e">
        <f t="shared" si="3"/>
        <v>#N/A</v>
      </c>
    </row>
    <row r="28" spans="1:11" x14ac:dyDescent="0.3">
      <c r="A28" s="3">
        <v>7300</v>
      </c>
      <c r="B28" s="3" t="s">
        <v>29</v>
      </c>
      <c r="C28" s="14">
        <f>'Roll Up'!C42</f>
        <v>75</v>
      </c>
      <c r="D28" s="14">
        <f>('Roll Up'!J42-'Roll Up'!K42)/3</f>
        <v>0</v>
      </c>
      <c r="E28" s="14">
        <f t="shared" si="0"/>
        <v>75</v>
      </c>
      <c r="F28" s="14">
        <f>SQRT(('Roll Up'!J42^2+'Roll Up'!K42^2-'Roll Up'!J42*'Roll Up'!K42)/18)</f>
        <v>8.8388347648318444</v>
      </c>
      <c r="G28" s="3" t="str">
        <f t="shared" si="1"/>
        <v>[58 – 92]</v>
      </c>
      <c r="I28" s="3">
        <v>8306.9956513092984</v>
      </c>
      <c r="J28" s="3">
        <f t="shared" si="2"/>
        <v>1.2534286059883791E-3</v>
      </c>
      <c r="K28" s="3" t="e">
        <f t="shared" si="3"/>
        <v>#N/A</v>
      </c>
    </row>
    <row r="29" spans="1:11" x14ac:dyDescent="0.3">
      <c r="A29" s="3">
        <v>7500</v>
      </c>
      <c r="B29" s="3" t="s">
        <v>122</v>
      </c>
      <c r="C29" s="14">
        <f>'Roll Up'!C43</f>
        <v>62</v>
      </c>
      <c r="D29" s="14">
        <f>('Roll Up'!J43-'Roll Up'!K43)/3</f>
        <v>0</v>
      </c>
      <c r="E29" s="14">
        <f t="shared" si="0"/>
        <v>62</v>
      </c>
      <c r="F29" s="14">
        <f>SQRT(('Roll Up'!J43^2+'Roll Up'!K43^2-'Roll Up'!J43*'Roll Up'!K43)/18)</f>
        <v>7.3067700722609912</v>
      </c>
      <c r="G29" s="3" t="str">
        <f t="shared" si="1"/>
        <v>[48 – 76]</v>
      </c>
      <c r="I29" s="3">
        <v>8339.1429659381629</v>
      </c>
      <c r="J29" s="3" t="e">
        <f t="shared" si="2"/>
        <v>#N/A</v>
      </c>
      <c r="K29" s="3">
        <f t="shared" si="3"/>
        <v>1.2551995769772943E-3</v>
      </c>
    </row>
    <row r="30" spans="1:11" x14ac:dyDescent="0.3">
      <c r="A30" s="3">
        <v>8000</v>
      </c>
      <c r="B30" s="3" t="s">
        <v>33</v>
      </c>
      <c r="C30" s="14">
        <f>'Roll Up'!C44</f>
        <v>26</v>
      </c>
      <c r="D30" s="14">
        <f>('Roll Up'!J44-'Roll Up'!K44)/3</f>
        <v>0</v>
      </c>
      <c r="E30" s="14">
        <f t="shared" si="0"/>
        <v>26</v>
      </c>
      <c r="F30" s="14">
        <f>SQRT(('Roll Up'!J44^2+'Roll Up'!K44^2-'Roll Up'!J44*'Roll Up'!K44)/18)</f>
        <v>3.064129385141706</v>
      </c>
      <c r="G30" s="3" t="str">
        <f t="shared" si="1"/>
        <v>[20 – 32]</v>
      </c>
      <c r="I30" s="3">
        <v>8403.4375951958937</v>
      </c>
      <c r="J30" s="3" t="e">
        <f t="shared" si="2"/>
        <v>#N/A</v>
      </c>
      <c r="K30" s="3">
        <f t="shared" si="3"/>
        <v>1.2206527633388255E-3</v>
      </c>
    </row>
    <row r="31" spans="1:11" x14ac:dyDescent="0.3">
      <c r="A31" s="3">
        <v>2500</v>
      </c>
      <c r="B31" s="3" t="s">
        <v>99</v>
      </c>
      <c r="C31" s="14">
        <f>'Roll Up'!C47</f>
        <v>695</v>
      </c>
      <c r="D31" s="14">
        <f>('Roll Up'!J47-'Roll Up'!K47)/3</f>
        <v>0</v>
      </c>
      <c r="E31" s="14">
        <f t="shared" si="0"/>
        <v>695</v>
      </c>
      <c r="F31" s="14">
        <f>SQRT(('Roll Up'!J47^2+'Roll Up'!K47^2-'Roll Up'!J47*'Roll Up'!K47)/18)</f>
        <v>61.046885442438601</v>
      </c>
      <c r="G31" s="3" t="str">
        <f t="shared" si="1"/>
        <v>[575 – 815]</v>
      </c>
      <c r="I31" s="3">
        <v>8435.5849098247581</v>
      </c>
      <c r="J31" s="3" t="e">
        <f t="shared" si="2"/>
        <v>#N/A</v>
      </c>
      <c r="K31" s="3">
        <f t="shared" si="3"/>
        <v>1.185381952652846E-3</v>
      </c>
    </row>
    <row r="32" spans="1:11" x14ac:dyDescent="0.3">
      <c r="A32" s="3">
        <v>2600</v>
      </c>
      <c r="B32" s="3" t="s">
        <v>9</v>
      </c>
      <c r="C32" s="14">
        <f>'Roll Up'!C48</f>
        <v>60</v>
      </c>
      <c r="D32" s="14">
        <f>('Roll Up'!J48-'Roll Up'!K48)/3</f>
        <v>0</v>
      </c>
      <c r="E32" s="14">
        <f t="shared" si="0"/>
        <v>60</v>
      </c>
      <c r="F32" s="14">
        <f>SQRT(('Roll Up'!J48^2+'Roll Up'!K48^2-'Roll Up'!J48*'Roll Up'!K48)/18)</f>
        <v>3.8890872965260113</v>
      </c>
      <c r="G32" s="3" t="str">
        <f t="shared" si="1"/>
        <v>[52 – 68]</v>
      </c>
      <c r="I32" s="3">
        <v>8467.7322244536226</v>
      </c>
      <c r="J32" s="3" t="e">
        <f t="shared" si="2"/>
        <v>#N/A</v>
      </c>
      <c r="K32" s="3">
        <f t="shared" si="3"/>
        <v>1.1393980707384635E-3</v>
      </c>
    </row>
    <row r="33" spans="1:11" x14ac:dyDescent="0.3">
      <c r="A33" s="1" t="s">
        <v>82</v>
      </c>
      <c r="B33" s="1" t="s">
        <v>83</v>
      </c>
      <c r="C33" s="69">
        <f>SUM(C6:C32)</f>
        <v>8327.5</v>
      </c>
      <c r="D33" s="69">
        <f>SUM(D6:D32)</f>
        <v>0</v>
      </c>
      <c r="E33" s="69">
        <f t="shared" si="0"/>
        <v>8327.5</v>
      </c>
      <c r="F33" s="69">
        <f>SQRT(SUMSQ(F6:F32))</f>
        <v>317.61828139074595</v>
      </c>
      <c r="G33" s="1" t="str">
        <f t="shared" si="1"/>
        <v>[7,705 – 8,950]</v>
      </c>
      <c r="I33" s="3">
        <v>8499.8795390824871</v>
      </c>
      <c r="J33" s="3" t="e">
        <f t="shared" si="2"/>
        <v>#N/A</v>
      </c>
      <c r="K33" s="3">
        <f t="shared" si="3"/>
        <v>1.0840358510398617E-3</v>
      </c>
    </row>
    <row r="34" spans="1:11" x14ac:dyDescent="0.3">
      <c r="I34" s="3">
        <v>8532.0268537113516</v>
      </c>
      <c r="J34" s="3" t="e">
        <f t="shared" si="2"/>
        <v>#N/A</v>
      </c>
      <c r="K34" s="3">
        <f t="shared" si="3"/>
        <v>1.0208520555978874E-3</v>
      </c>
    </row>
    <row r="35" spans="1:11" ht="15.6" x14ac:dyDescent="0.3">
      <c r="A35" s="71" t="s">
        <v>362</v>
      </c>
      <c r="I35" s="3">
        <v>8564.1741683402161</v>
      </c>
      <c r="J35" s="3" t="e">
        <f t="shared" si="2"/>
        <v>#N/A</v>
      </c>
      <c r="K35" s="3">
        <f t="shared" si="3"/>
        <v>9.515529644021438E-4</v>
      </c>
    </row>
    <row r="36" spans="1:11" x14ac:dyDescent="0.3">
      <c r="I36" s="3">
        <v>8596.3214829690824</v>
      </c>
      <c r="J36" s="3" t="e">
        <f t="shared" ref="J36:J67" si="4">IF(I36&lt;=$B$37, _xlfn.NORM.DIST(I36,$D$37,$F$37,FALSE), NA())</f>
        <v>#N/A</v>
      </c>
      <c r="K36" s="3">
        <f t="shared" ref="K36:K67" si="5">IF(I36&gt;=$B$37, _xlfn.NORM.DIST(I36,$D$37,$F$37,FALSE), NA())</f>
        <v>8.7791834105767222E-4</v>
      </c>
    </row>
    <row r="37" spans="1:11" x14ac:dyDescent="0.3">
      <c r="A37" s="3" t="s">
        <v>363</v>
      </c>
      <c r="B37" s="72">
        <f>'Roll Up'!N51</f>
        <v>8320</v>
      </c>
      <c r="C37" s="3" t="s">
        <v>87</v>
      </c>
      <c r="D37" s="39">
        <f>E33</f>
        <v>8327.5</v>
      </c>
      <c r="E37" s="3" t="s">
        <v>90</v>
      </c>
      <c r="F37" s="39">
        <f>F33</f>
        <v>317.61828139074595</v>
      </c>
      <c r="I37" s="3">
        <v>8628.4687975979468</v>
      </c>
      <c r="J37" s="3" t="e">
        <f t="shared" si="4"/>
        <v>#N/A</v>
      </c>
      <c r="K37" s="3">
        <f t="shared" si="5"/>
        <v>8.0172656580532946E-4</v>
      </c>
    </row>
    <row r="38" spans="1:11" x14ac:dyDescent="0.3">
      <c r="A38" s="3" t="s">
        <v>364</v>
      </c>
      <c r="B38" s="39">
        <f>B37-D37</f>
        <v>-7.5</v>
      </c>
      <c r="C38" s="3" t="s">
        <v>365</v>
      </c>
      <c r="D38" s="73">
        <f>IFERROR((B37-D37)/F37,0)</f>
        <v>-2.3613250368209184E-2</v>
      </c>
      <c r="I38" s="3">
        <v>8660.6161122268113</v>
      </c>
      <c r="J38" s="3" t="e">
        <f t="shared" si="4"/>
        <v>#N/A</v>
      </c>
      <c r="K38" s="3">
        <f t="shared" si="5"/>
        <v>7.2468525262345761E-4</v>
      </c>
    </row>
    <row r="39" spans="1:11" x14ac:dyDescent="0.3">
      <c r="A39" s="3" t="s">
        <v>366</v>
      </c>
      <c r="B39" s="74">
        <f>IFERROR(_xlfn.NORM.DIST(B37,D37,F37,TRUE),0)</f>
        <v>0.49058055141668755</v>
      </c>
      <c r="C39" s="3" t="s">
        <v>367</v>
      </c>
      <c r="D39" s="74">
        <f>1-B39</f>
        <v>0.50941944858331245</v>
      </c>
      <c r="I39" s="3">
        <v>8692.7634268556758</v>
      </c>
      <c r="J39" s="3" t="e">
        <f t="shared" si="4"/>
        <v>#N/A</v>
      </c>
      <c r="K39" s="3">
        <f t="shared" si="5"/>
        <v>6.4837098126927222E-4</v>
      </c>
    </row>
    <row r="40" spans="1:11" x14ac:dyDescent="0.3">
      <c r="A40" s="3" t="s">
        <v>88</v>
      </c>
      <c r="B40" s="38" t="str">
        <f>IF(B39&gt;=0.9,"✅ LOW RISK — high confidence under target",IF(B39&gt;=0.7,"⚠ MODERATE — monitor heavy items",IF(B39&gt;=0.5,"⚠ ELEVATED — mass reduction needed","❌ HIGH RISK — over target likely")))</f>
        <v>❌ HIGH RISK — over target likely</v>
      </c>
      <c r="I40" s="3">
        <v>8724.9107414845403</v>
      </c>
      <c r="J40" s="3" t="e">
        <f t="shared" si="4"/>
        <v>#N/A</v>
      </c>
      <c r="K40" s="3">
        <f t="shared" si="5"/>
        <v>5.7418086010895431E-4</v>
      </c>
    </row>
    <row r="41" spans="1:11" x14ac:dyDescent="0.3">
      <c r="I41" s="3">
        <v>8757.0580561134047</v>
      </c>
      <c r="J41" s="3" t="e">
        <f t="shared" si="4"/>
        <v>#N/A</v>
      </c>
      <c r="K41" s="3">
        <f t="shared" si="5"/>
        <v>5.0329758969042181E-4</v>
      </c>
    </row>
    <row r="42" spans="1:11" ht="15.6" x14ac:dyDescent="0.3">
      <c r="A42" s="71" t="s">
        <v>368</v>
      </c>
      <c r="I42" s="3">
        <v>8789.205370742271</v>
      </c>
      <c r="J42" s="3" t="e">
        <f t="shared" si="4"/>
        <v>#N/A</v>
      </c>
      <c r="K42" s="3">
        <f t="shared" si="5"/>
        <v>4.3666862262386151E-4</v>
      </c>
    </row>
    <row r="43" spans="1:11" x14ac:dyDescent="0.3">
      <c r="A43" s="11" t="s">
        <v>89</v>
      </c>
      <c r="B43" s="11" t="s">
        <v>369</v>
      </c>
      <c r="C43" s="11" t="s">
        <v>90</v>
      </c>
      <c r="D43" s="11" t="s">
        <v>370</v>
      </c>
      <c r="I43" s="3">
        <v>8821.3526853711355</v>
      </c>
      <c r="J43" s="3" t="e">
        <f t="shared" si="4"/>
        <v>#N/A</v>
      </c>
      <c r="K43" s="3">
        <f t="shared" si="5"/>
        <v>3.7499900781316683E-4</v>
      </c>
    </row>
    <row r="44" spans="1:11" x14ac:dyDescent="0.3">
      <c r="A44" s="3">
        <v>1</v>
      </c>
      <c r="B44" s="3" t="str">
        <f>INDEX($A$6:$B$32,MATCH(LARGE($F$6:$F$32,1),$F$6:$F$32,0),1)&amp;" — "&amp;INDEX($A$6:$B$32,MATCH(LARGE($F$6:$F$32,1),$F$6:$F$32,0),2)</f>
        <v>5300 — Fuselage</v>
      </c>
      <c r="C44" s="14">
        <f>LARGE($F$6:$F$32,1)</f>
        <v>210.36426740299788</v>
      </c>
      <c r="D44" s="41">
        <f>C44^2/SUMSQ($F$6:$F$32)</f>
        <v>0.43866497676608135</v>
      </c>
      <c r="I44" s="3">
        <v>8853.5</v>
      </c>
      <c r="J44" s="3" t="e">
        <f t="shared" si="4"/>
        <v>#N/A</v>
      </c>
      <c r="K44" s="3">
        <f t="shared" si="5"/>
        <v>3.1875664545455976E-4</v>
      </c>
    </row>
    <row r="45" spans="1:11" x14ac:dyDescent="0.3">
      <c r="A45" s="3">
        <v>2</v>
      </c>
      <c r="B45" s="3" t="str">
        <f>INDEX($A$6:$B$32,MATCH(LARGE($F$6:$F$32,2),$F$6:$F$32,0),1)&amp;" — "&amp;INDEX($A$6:$B$32,MATCH(LARGE($F$6:$F$32,2),$F$6:$F$32,0),2)</f>
        <v>5700 — Wings</v>
      </c>
      <c r="C45" s="14">
        <f>LARGE($F$6:$F$32,2)</f>
        <v>136.47160876900367</v>
      </c>
      <c r="D45" s="41">
        <f>C45^2/SUMSQ($F$6:$F$32)</f>
        <v>0.18461782890541362</v>
      </c>
      <c r="I45" s="3">
        <v>8885.6473146288645</v>
      </c>
      <c r="J45" s="3" t="e">
        <f t="shared" si="4"/>
        <v>#N/A</v>
      </c>
      <c r="K45" s="3">
        <f t="shared" si="5"/>
        <v>2.6818801971331967E-4</v>
      </c>
    </row>
    <row r="46" spans="1:11" x14ac:dyDescent="0.3">
      <c r="A46" s="3">
        <v>3</v>
      </c>
      <c r="B46" s="3" t="str">
        <f>INDEX($A$6:$B$32,MATCH(LARGE($F$6:$F$32,3),$F$6:$F$32,0),1)&amp;" — "&amp;INDEX($A$6:$B$32,MATCH(LARGE($F$6:$F$32,3),$F$6:$F$32,0),2)</f>
        <v>3200 — Landing Gear</v>
      </c>
      <c r="C46" s="14">
        <f>LARGE($F$6:$F$32,3)</f>
        <v>114.31559629182517</v>
      </c>
      <c r="D46" s="41">
        <f>C46^2/SUMSQ($F$6:$F$32)</f>
        <v>0.12953883565636634</v>
      </c>
      <c r="I46" s="3">
        <v>8917.794629257729</v>
      </c>
      <c r="J46" s="3" t="e">
        <f t="shared" si="4"/>
        <v>#N/A</v>
      </c>
      <c r="K46" s="3">
        <f t="shared" si="5"/>
        <v>2.2334204887824037E-4</v>
      </c>
    </row>
    <row r="47" spans="1:11" x14ac:dyDescent="0.3">
      <c r="A47" s="3">
        <v>4</v>
      </c>
      <c r="B47" s="3" t="str">
        <f>INDEX($A$6:$B$32,MATCH(LARGE($F$6:$F$32,4),$F$6:$F$32,0),1)&amp;" — "&amp;INDEX($A$6:$B$32,MATCH(LARGE($F$6:$F$32,4),$F$6:$F$32,0),2)</f>
        <v>7100 — Duality Engines</v>
      </c>
      <c r="C47" s="14">
        <f>LARGE($F$6:$F$32,4)</f>
        <v>107.71593300075074</v>
      </c>
      <c r="D47" s="41">
        <f>C47^2/SUMSQ($F$6:$F$32)</f>
        <v>0.11501352444679121</v>
      </c>
      <c r="I47" s="3">
        <v>8949.9419438865953</v>
      </c>
      <c r="J47" s="3" t="e">
        <f t="shared" si="4"/>
        <v>#N/A</v>
      </c>
      <c r="K47" s="3">
        <f t="shared" si="5"/>
        <v>1.8409950255928663E-4</v>
      </c>
    </row>
    <row r="48" spans="1:11" x14ac:dyDescent="0.3">
      <c r="A48" s="3">
        <v>5</v>
      </c>
      <c r="B48" s="3" t="str">
        <f>INDEX($A$6:$B$32,MATCH(LARGE($F$6:$F$32,5),$F$6:$F$32,0),1)&amp;" — "&amp;INDEX($A$6:$B$32,MATCH(LARGE($F$6:$F$32,5),$F$6:$F$32,0),2)</f>
        <v>2400HV — Electrical Power (HV)</v>
      </c>
      <c r="C48" s="14">
        <f>LARGE($F$6:$F$32,5)</f>
        <v>68.353655514699597</v>
      </c>
      <c r="D48" s="41">
        <f>C48^2/SUMSQ($F$6:$F$32)</f>
        <v>4.6314023078756136E-2</v>
      </c>
      <c r="I48" s="3">
        <v>8982.0892585154597</v>
      </c>
      <c r="J48" s="3" t="e">
        <f t="shared" si="4"/>
        <v>#N/A</v>
      </c>
      <c r="K48" s="3">
        <f t="shared" si="5"/>
        <v>1.5020546386588043E-4</v>
      </c>
    </row>
    <row r="49" spans="9:11" x14ac:dyDescent="0.3">
      <c r="I49" s="3">
        <v>9014.2365731443242</v>
      </c>
      <c r="J49" s="3" t="e">
        <f t="shared" si="4"/>
        <v>#N/A</v>
      </c>
      <c r="K49" s="3">
        <f t="shared" si="5"/>
        <v>1.2130252561139897E-4</v>
      </c>
    </row>
    <row r="50" spans="9:11" x14ac:dyDescent="0.3">
      <c r="I50" s="3">
        <v>9046.3838877731887</v>
      </c>
      <c r="J50" s="3" t="e">
        <f t="shared" si="4"/>
        <v>#N/A</v>
      </c>
      <c r="K50" s="3">
        <f t="shared" si="5"/>
        <v>9.696275630972852E-5</v>
      </c>
    </row>
    <row r="51" spans="9:11" x14ac:dyDescent="0.3">
      <c r="I51" s="3">
        <v>9078.5312024020532</v>
      </c>
      <c r="J51" s="3" t="e">
        <f t="shared" si="4"/>
        <v>#N/A</v>
      </c>
      <c r="K51" s="3">
        <f t="shared" si="5"/>
        <v>7.6716902276055792E-5</v>
      </c>
    </row>
    <row r="52" spans="9:11" x14ac:dyDescent="0.3">
      <c r="I52" s="3">
        <v>9110.6785170309195</v>
      </c>
      <c r="J52" s="3" t="e">
        <f t="shared" si="4"/>
        <v>#N/A</v>
      </c>
      <c r="K52" s="3">
        <f t="shared" si="5"/>
        <v>6.0079756083208309E-5</v>
      </c>
    </row>
    <row r="53" spans="9:11" x14ac:dyDescent="0.3">
      <c r="I53" s="3">
        <v>9142.8258316597839</v>
      </c>
      <c r="J53" s="3" t="e">
        <f t="shared" si="4"/>
        <v>#N/A</v>
      </c>
      <c r="K53" s="3">
        <f t="shared" si="5"/>
        <v>4.6571074693946E-5</v>
      </c>
    </row>
    <row r="54" spans="9:11" x14ac:dyDescent="0.3">
      <c r="I54" s="3">
        <v>9174.9731462886484</v>
      </c>
      <c r="J54" s="3" t="e">
        <f t="shared" si="4"/>
        <v>#N/A</v>
      </c>
      <c r="K54" s="3">
        <f t="shared" si="5"/>
        <v>3.5731837963960584E-5</v>
      </c>
    </row>
    <row r="55" spans="9:11" x14ac:dyDescent="0.3">
      <c r="I55" s="3">
        <v>9207.1204609175129</v>
      </c>
      <c r="J55" s="3" t="e">
        <f t="shared" si="4"/>
        <v>#N/A</v>
      </c>
      <c r="K55" s="3">
        <f t="shared" si="5"/>
        <v>2.7135976123612926E-5</v>
      </c>
    </row>
    <row r="56" spans="9:11" x14ac:dyDescent="0.3">
      <c r="I56" s="3">
        <v>9239.2677755463774</v>
      </c>
      <c r="J56" s="3" t="e">
        <f t="shared" si="4"/>
        <v>#N/A</v>
      </c>
      <c r="K56" s="3">
        <f t="shared" si="5"/>
        <v>2.0397950694849665E-5</v>
      </c>
    </row>
    <row r="57" spans="9:11" x14ac:dyDescent="0.3">
      <c r="I57" s="3">
        <v>9271.4150901752419</v>
      </c>
      <c r="J57" s="3" t="e">
        <f t="shared" si="4"/>
        <v>#N/A</v>
      </c>
      <c r="K57" s="3">
        <f t="shared" si="5"/>
        <v>1.5176744526313822E-5</v>
      </c>
    </row>
    <row r="58" spans="9:11" x14ac:dyDescent="0.3">
      <c r="I58" s="3">
        <v>9303.5624048041063</v>
      </c>
      <c r="J58" s="3" t="e">
        <f t="shared" si="4"/>
        <v>#N/A</v>
      </c>
      <c r="K58" s="3">
        <f t="shared" si="5"/>
        <v>1.1176908773441205E-5</v>
      </c>
    </row>
    <row r="59" spans="9:11" x14ac:dyDescent="0.3">
      <c r="I59" s="3">
        <v>9335.7097194329726</v>
      </c>
      <c r="J59" s="3" t="e">
        <f t="shared" si="4"/>
        <v>#N/A</v>
      </c>
      <c r="K59" s="3">
        <f t="shared" si="5"/>
        <v>8.1473389697019846E-6</v>
      </c>
    </row>
    <row r="60" spans="9:11" x14ac:dyDescent="0.3">
      <c r="I60" s="3">
        <v>9367.8570340618371</v>
      </c>
      <c r="J60" s="3" t="e">
        <f t="shared" si="4"/>
        <v>#N/A</v>
      </c>
      <c r="K60" s="3">
        <f t="shared" si="5"/>
        <v>5.8784233735306546E-6</v>
      </c>
    </row>
    <row r="61" spans="9:11" x14ac:dyDescent="0.3">
      <c r="I61" s="3">
        <v>9400.0043486907016</v>
      </c>
      <c r="J61" s="3" t="e">
        <f t="shared" si="4"/>
        <v>#N/A</v>
      </c>
      <c r="K61" s="3">
        <f t="shared" si="5"/>
        <v>4.1981401615221229E-6</v>
      </c>
    </row>
    <row r="62" spans="9:11" x14ac:dyDescent="0.3">
      <c r="I62" s="3">
        <v>9432.1516633195661</v>
      </c>
      <c r="J62" s="3" t="e">
        <f t="shared" si="4"/>
        <v>#N/A</v>
      </c>
      <c r="K62" s="3">
        <f t="shared" si="5"/>
        <v>2.967590713811202E-6</v>
      </c>
    </row>
    <row r="63" spans="9:11" x14ac:dyDescent="0.3">
      <c r="I63" s="3">
        <v>9464.2989779484305</v>
      </c>
      <c r="J63" s="3" t="e">
        <f t="shared" si="4"/>
        <v>#N/A</v>
      </c>
      <c r="K63" s="3">
        <f t="shared" si="5"/>
        <v>2.0763572059398472E-6</v>
      </c>
    </row>
    <row r="64" spans="9:11" x14ac:dyDescent="0.3">
      <c r="I64" s="3">
        <v>9496.4462925772968</v>
      </c>
      <c r="J64" s="3" t="e">
        <f t="shared" si="4"/>
        <v>#N/A</v>
      </c>
      <c r="K64" s="3">
        <f t="shared" si="5"/>
        <v>1.4379743260090881E-6</v>
      </c>
    </row>
    <row r="65" spans="9:11" x14ac:dyDescent="0.3">
      <c r="I65" s="3">
        <v>9528.5936072061613</v>
      </c>
      <c r="J65" s="3" t="e">
        <f t="shared" si="4"/>
        <v>#N/A</v>
      </c>
      <c r="K65" s="3">
        <f t="shared" si="5"/>
        <v>9.8571460515810366E-7</v>
      </c>
    </row>
    <row r="66" spans="9:11" x14ac:dyDescent="0.3">
      <c r="I66" s="3">
        <v>9560.7409218350258</v>
      </c>
      <c r="J66" s="3" t="e">
        <f t="shared" si="4"/>
        <v>#N/A</v>
      </c>
      <c r="K66" s="3">
        <f t="shared" si="5"/>
        <v>6.6880921382017324E-7</v>
      </c>
    </row>
    <row r="67" spans="9:11" x14ac:dyDescent="0.3">
      <c r="I67" s="3">
        <v>9592.8882364638903</v>
      </c>
      <c r="J67" s="3" t="e">
        <f t="shared" si="4"/>
        <v>#N/A</v>
      </c>
      <c r="K67" s="3">
        <f t="shared" si="5"/>
        <v>4.4916333754575028E-7</v>
      </c>
    </row>
    <row r="68" spans="9:11" x14ac:dyDescent="0.3">
      <c r="I68" s="3">
        <v>9625.0355510927548</v>
      </c>
      <c r="J68" s="3" t="e">
        <f t="shared" ref="J68:J84" si="6">IF(I68&lt;=$B$37, _xlfn.NORM.DIST(I68,$D$37,$F$37,FALSE), NA())</f>
        <v>#N/A</v>
      </c>
      <c r="K68" s="3">
        <f t="shared" ref="K68:K84" si="7">IF(I68&gt;=$B$37, _xlfn.NORM.DIST(I68,$D$37,$F$37,FALSE), NA())</f>
        <v>2.9857768719722309E-7</v>
      </c>
    </row>
    <row r="69" spans="9:11" x14ac:dyDescent="0.3">
      <c r="I69" s="3">
        <v>9657.1828657216211</v>
      </c>
      <c r="J69" s="3" t="e">
        <f t="shared" si="6"/>
        <v>#N/A</v>
      </c>
      <c r="K69" s="3">
        <f t="shared" si="7"/>
        <v>1.9645423514119163E-7</v>
      </c>
    </row>
    <row r="70" spans="9:11" x14ac:dyDescent="0.3">
      <c r="I70" s="3">
        <v>9689.3301803504837</v>
      </c>
      <c r="J70" s="3" t="e">
        <f t="shared" si="6"/>
        <v>#N/A</v>
      </c>
      <c r="K70" s="3">
        <f t="shared" si="7"/>
        <v>1.2794297309730347E-7</v>
      </c>
    </row>
    <row r="71" spans="9:11" x14ac:dyDescent="0.3">
      <c r="I71" s="3">
        <v>9721.47749497935</v>
      </c>
      <c r="J71" s="3" t="e">
        <f t="shared" si="6"/>
        <v>#N/A</v>
      </c>
      <c r="K71" s="3">
        <f t="shared" si="7"/>
        <v>8.2475029192793872E-8</v>
      </c>
    </row>
    <row r="72" spans="9:11" x14ac:dyDescent="0.3">
      <c r="I72" s="3">
        <v>9753.6248096082145</v>
      </c>
      <c r="J72" s="3" t="e">
        <f t="shared" si="6"/>
        <v>#N/A</v>
      </c>
      <c r="K72" s="3">
        <f t="shared" si="7"/>
        <v>5.2623473868475662E-8</v>
      </c>
    </row>
    <row r="73" spans="9:11" x14ac:dyDescent="0.3">
      <c r="I73" s="3">
        <v>9785.772124237079</v>
      </c>
      <c r="J73" s="3" t="e">
        <f t="shared" si="6"/>
        <v>#N/A</v>
      </c>
      <c r="K73" s="3">
        <f t="shared" si="7"/>
        <v>3.3234377368929213E-8</v>
      </c>
    </row>
    <row r="74" spans="9:11" x14ac:dyDescent="0.3">
      <c r="I74" s="3">
        <v>9817.9194388659434</v>
      </c>
      <c r="J74" s="3" t="e">
        <f t="shared" si="6"/>
        <v>#N/A</v>
      </c>
      <c r="K74" s="3">
        <f t="shared" si="7"/>
        <v>2.0775265201181804E-8</v>
      </c>
    </row>
    <row r="75" spans="9:11" x14ac:dyDescent="0.3">
      <c r="I75" s="3">
        <v>9850.0667534948079</v>
      </c>
      <c r="J75" s="3" t="e">
        <f t="shared" si="6"/>
        <v>#N/A</v>
      </c>
      <c r="K75" s="3">
        <f t="shared" si="7"/>
        <v>1.2854541850304174E-8</v>
      </c>
    </row>
    <row r="76" spans="9:11" x14ac:dyDescent="0.3">
      <c r="I76" s="3">
        <v>9882.2140681236742</v>
      </c>
      <c r="J76" s="3" t="e">
        <f t="shared" si="6"/>
        <v>#N/A</v>
      </c>
      <c r="K76" s="3">
        <f t="shared" si="7"/>
        <v>7.8725898397503814E-9</v>
      </c>
    </row>
    <row r="77" spans="9:11" x14ac:dyDescent="0.3">
      <c r="I77" s="3">
        <v>9914.3613827525387</v>
      </c>
      <c r="J77" s="3" t="e">
        <f t="shared" si="6"/>
        <v>#N/A</v>
      </c>
      <c r="K77" s="3">
        <f t="shared" si="7"/>
        <v>4.7723209674522389E-9</v>
      </c>
    </row>
    <row r="78" spans="9:11" x14ac:dyDescent="0.3">
      <c r="I78" s="3">
        <v>9946.5086973814032</v>
      </c>
      <c r="J78" s="3" t="e">
        <f t="shared" si="6"/>
        <v>#N/A</v>
      </c>
      <c r="K78" s="3">
        <f t="shared" si="7"/>
        <v>2.863470156030386E-9</v>
      </c>
    </row>
    <row r="79" spans="9:11" x14ac:dyDescent="0.3">
      <c r="I79" s="3">
        <v>9978.6560120102677</v>
      </c>
      <c r="J79" s="3" t="e">
        <f t="shared" si="6"/>
        <v>#N/A</v>
      </c>
      <c r="K79" s="3">
        <f t="shared" si="7"/>
        <v>1.7006176182340228E-9</v>
      </c>
    </row>
    <row r="80" spans="9:11" x14ac:dyDescent="0.3">
      <c r="I80" s="3">
        <v>10010.803326639132</v>
      </c>
      <c r="J80" s="3" t="e">
        <f t="shared" si="6"/>
        <v>#N/A</v>
      </c>
      <c r="K80" s="3">
        <f t="shared" si="7"/>
        <v>9.9970458417716108E-10</v>
      </c>
    </row>
    <row r="81" spans="9:11" x14ac:dyDescent="0.3">
      <c r="I81" s="3">
        <v>10042.950641267998</v>
      </c>
      <c r="J81" s="3" t="e">
        <f t="shared" si="6"/>
        <v>#N/A</v>
      </c>
      <c r="K81" s="3">
        <f t="shared" si="7"/>
        <v>5.8168476575765932E-10</v>
      </c>
    </row>
    <row r="82" spans="9:11" x14ac:dyDescent="0.3">
      <c r="I82" s="3">
        <v>10075.097955896863</v>
      </c>
      <c r="J82" s="3" t="e">
        <f t="shared" si="6"/>
        <v>#N/A</v>
      </c>
      <c r="K82" s="3">
        <f t="shared" si="7"/>
        <v>3.3500762560385222E-10</v>
      </c>
    </row>
    <row r="83" spans="9:11" x14ac:dyDescent="0.3">
      <c r="I83" s="3">
        <v>10107.245270525727</v>
      </c>
      <c r="J83" s="3" t="e">
        <f t="shared" si="6"/>
        <v>#N/A</v>
      </c>
      <c r="K83" s="3">
        <f t="shared" si="7"/>
        <v>1.909733174365864E-10</v>
      </c>
    </row>
    <row r="84" spans="9:11" x14ac:dyDescent="0.3">
      <c r="I84" s="3">
        <v>10139.392585154592</v>
      </c>
      <c r="J84" s="3" t="e">
        <f t="shared" si="6"/>
        <v>#N/A</v>
      </c>
      <c r="K84" s="3">
        <f t="shared" si="7"/>
        <v>1.077560563383813E-10</v>
      </c>
    </row>
  </sheetData>
  <conditionalFormatting sqref="B38">
    <cfRule type="cellIs" dxfId="3" priority="1" operator="lessThan">
      <formula>0</formula>
    </cfRule>
  </conditionalFormatting>
  <conditionalFormatting sqref="B38">
    <cfRule type="cellIs" dxfId="2" priority="2" operator="greaterThan">
      <formula>0</formula>
    </cfRule>
  </conditionalFormatting>
  <conditionalFormatting sqref="B39">
    <cfRule type="cellIs" dxfId="1" priority="3" operator="lessThan">
      <formula>0.7</formula>
    </cfRule>
  </conditionalFormatting>
  <conditionalFormatting sqref="B39">
    <cfRule type="cellIs" dxfId="0" priority="4" operator="greaterThan">
      <formula>0.9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EC67-CF6A-4B20-80EF-29378A334754}">
  <sheetPr codeName="Sheet46"/>
  <dimension ref="A1:W135"/>
  <sheetViews>
    <sheetView topLeftCell="D75" zoomScale="86" workbookViewId="0">
      <selection activeCell="O110" sqref="O110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17" width="6.44140625" customWidth="1"/>
    <col min="18" max="18" width="11.109375" bestFit="1" customWidth="1"/>
    <col min="19" max="19" width="10.21875" bestFit="1" customWidth="1"/>
    <col min="20" max="21" width="6.44140625" customWidth="1"/>
    <col min="22" max="22" width="10.21875" customWidth="1"/>
    <col min="23" max="23" width="46.33203125" customWidth="1"/>
  </cols>
  <sheetData>
    <row r="1" spans="1:23" ht="21" x14ac:dyDescent="0.4">
      <c r="A1" s="88" t="s">
        <v>311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23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t="16.2" thickTop="1" x14ac:dyDescent="0.3">
      <c r="A3" s="90" t="s">
        <v>408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</row>
    <row r="4" spans="1:23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x14ac:dyDescent="0.3">
      <c r="A5" s="83"/>
      <c r="B5" s="18" t="s">
        <v>464</v>
      </c>
      <c r="C5" s="18"/>
      <c r="D5" s="18" t="s">
        <v>329</v>
      </c>
      <c r="E5" s="18" t="s">
        <v>92</v>
      </c>
      <c r="F5" s="18" t="s">
        <v>93</v>
      </c>
      <c r="G5" s="18" t="s">
        <v>94</v>
      </c>
      <c r="H5" s="18" t="s">
        <v>84</v>
      </c>
      <c r="I5" s="18" t="s">
        <v>85</v>
      </c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x14ac:dyDescent="0.3">
      <c r="A6" s="43"/>
      <c r="B6" s="43"/>
      <c r="C6" s="43"/>
      <c r="D6" s="85">
        <f>E17</f>
        <v>103</v>
      </c>
      <c r="E6" s="86">
        <f>F17</f>
        <v>8</v>
      </c>
      <c r="F6" s="86">
        <f>G17</f>
        <v>-2.5</v>
      </c>
      <c r="G6" s="86">
        <f>H17</f>
        <v>3</v>
      </c>
      <c r="H6" s="85">
        <f>I17</f>
        <v>51.5</v>
      </c>
      <c r="I6" s="85">
        <f>I17</f>
        <v>51.5</v>
      </c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</row>
    <row r="7" spans="1:23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92" t="s">
        <v>111</v>
      </c>
      <c r="N7" s="92"/>
      <c r="O7" s="92"/>
      <c r="P7" s="92" t="s">
        <v>471</v>
      </c>
      <c r="Q7" s="92"/>
      <c r="R7" s="92" t="s">
        <v>112</v>
      </c>
      <c r="S7" s="92"/>
      <c r="T7" s="92"/>
      <c r="U7" s="92"/>
      <c r="V7" s="3"/>
      <c r="W7" s="3"/>
    </row>
    <row r="8" spans="1:23" x14ac:dyDescent="0.3">
      <c r="A8" s="84" t="s">
        <v>106</v>
      </c>
      <c r="B8" s="84" t="s">
        <v>107</v>
      </c>
      <c r="C8" s="84" t="s">
        <v>2</v>
      </c>
      <c r="D8" s="84" t="s">
        <v>72</v>
      </c>
      <c r="E8" s="84" t="s">
        <v>73</v>
      </c>
      <c r="F8" s="84" t="s">
        <v>92</v>
      </c>
      <c r="G8" s="84" t="s">
        <v>93</v>
      </c>
      <c r="H8" s="84" t="s">
        <v>94</v>
      </c>
      <c r="I8" s="84" t="s">
        <v>108</v>
      </c>
      <c r="J8" s="84" t="s">
        <v>109</v>
      </c>
      <c r="K8" s="84" t="s">
        <v>110</v>
      </c>
      <c r="L8" s="84" t="s">
        <v>95</v>
      </c>
      <c r="M8" s="84" t="s">
        <v>128</v>
      </c>
      <c r="N8" s="84" t="s">
        <v>349</v>
      </c>
      <c r="O8" s="84" t="s">
        <v>172</v>
      </c>
      <c r="P8" s="84" t="s">
        <v>350</v>
      </c>
      <c r="Q8" s="84" t="s">
        <v>129</v>
      </c>
      <c r="R8" s="84" t="s">
        <v>351</v>
      </c>
      <c r="S8" s="84" t="s">
        <v>352</v>
      </c>
      <c r="T8" s="84" t="s">
        <v>353</v>
      </c>
      <c r="U8" s="84" t="s">
        <v>354</v>
      </c>
      <c r="V8" s="84" t="s">
        <v>355</v>
      </c>
      <c r="W8" s="84" t="s">
        <v>3</v>
      </c>
    </row>
    <row r="9" spans="1:23" x14ac:dyDescent="0.3">
      <c r="A9" s="3">
        <v>1</v>
      </c>
      <c r="B9" s="3" t="s">
        <v>244</v>
      </c>
      <c r="C9" s="14">
        <v>1</v>
      </c>
      <c r="D9" s="78">
        <v>75</v>
      </c>
      <c r="E9" s="78">
        <f>IFERROR(C9*D9,0)</f>
        <v>75</v>
      </c>
      <c r="F9" s="15">
        <v>8</v>
      </c>
      <c r="G9" s="15">
        <v>-2.5</v>
      </c>
      <c r="H9" s="15">
        <v>3</v>
      </c>
      <c r="I9" s="15">
        <v>5</v>
      </c>
      <c r="J9" s="15">
        <v>2.5</v>
      </c>
      <c r="K9" s="15">
        <v>0.2</v>
      </c>
      <c r="L9" s="3" t="s">
        <v>118</v>
      </c>
      <c r="M9" s="3" t="s">
        <v>356</v>
      </c>
      <c r="N9" s="3"/>
      <c r="O9" s="3"/>
      <c r="P9" s="3"/>
      <c r="Q9" s="3" t="s">
        <v>356</v>
      </c>
      <c r="R9" s="3" t="s">
        <v>356</v>
      </c>
      <c r="S9" s="3"/>
      <c r="T9" s="3"/>
      <c r="U9" s="3"/>
      <c r="V9" s="76">
        <f>IF(UPPER(M9)="X",0.5,IF(UPPER(N9)="X",0.2,IF(UPPER(O9)="X",0.05,0)))</f>
        <v>0.5</v>
      </c>
      <c r="W9" s="3" t="s">
        <v>245</v>
      </c>
    </row>
    <row r="10" spans="1:23" x14ac:dyDescent="0.3">
      <c r="A10" s="3">
        <v>2</v>
      </c>
      <c r="B10" s="3" t="s">
        <v>246</v>
      </c>
      <c r="C10" s="14">
        <v>1</v>
      </c>
      <c r="D10" s="78">
        <v>22</v>
      </c>
      <c r="E10" s="78">
        <f>IFERROR(C10*D10,0)</f>
        <v>22</v>
      </c>
      <c r="F10" s="15">
        <v>8</v>
      </c>
      <c r="G10" s="15">
        <v>-2.5</v>
      </c>
      <c r="H10" s="15">
        <v>3</v>
      </c>
      <c r="I10" s="15">
        <v>5</v>
      </c>
      <c r="J10" s="15">
        <v>0.5</v>
      </c>
      <c r="K10" s="15">
        <v>0.5</v>
      </c>
      <c r="L10" s="3" t="s">
        <v>118</v>
      </c>
      <c r="M10" s="3" t="s">
        <v>356</v>
      </c>
      <c r="N10" s="3"/>
      <c r="O10" s="3"/>
      <c r="P10" s="3"/>
      <c r="Q10" s="3" t="s">
        <v>356</v>
      </c>
      <c r="R10" s="3" t="s">
        <v>356</v>
      </c>
      <c r="S10" s="3"/>
      <c r="T10" s="3"/>
      <c r="U10" s="3"/>
      <c r="V10" s="76">
        <f>IF(UPPER(M10)="X",0.5,IF(UPPER(N10)="X",0.2,IF(UPPER(O10)="X",0.05,0)))</f>
        <v>0.5</v>
      </c>
      <c r="W10" s="3"/>
    </row>
    <row r="11" spans="1:23" x14ac:dyDescent="0.3">
      <c r="A11" s="3">
        <v>3</v>
      </c>
      <c r="B11" s="3" t="s">
        <v>247</v>
      </c>
      <c r="C11" s="14">
        <v>1</v>
      </c>
      <c r="D11" s="78">
        <v>6</v>
      </c>
      <c r="E11" s="78">
        <f>IFERROR(C11*D11,0)</f>
        <v>6</v>
      </c>
      <c r="F11" s="15">
        <v>8</v>
      </c>
      <c r="G11" s="15">
        <v>-2.5</v>
      </c>
      <c r="H11" s="15">
        <v>3</v>
      </c>
      <c r="I11" s="15">
        <v>15</v>
      </c>
      <c r="J11" s="15">
        <v>0.1</v>
      </c>
      <c r="K11" s="15">
        <v>0.1</v>
      </c>
      <c r="L11" s="3" t="s">
        <v>118</v>
      </c>
      <c r="M11" s="3" t="s">
        <v>356</v>
      </c>
      <c r="N11" s="3"/>
      <c r="O11" s="3"/>
      <c r="P11" s="3"/>
      <c r="Q11" s="3" t="s">
        <v>356</v>
      </c>
      <c r="R11" s="3" t="s">
        <v>356</v>
      </c>
      <c r="S11" s="3"/>
      <c r="T11" s="3"/>
      <c r="U11" s="3"/>
      <c r="V11" s="76">
        <f>IF(UPPER(M11)="X",0.5,IF(UPPER(N11)="X",0.2,IF(UPPER(O11)="X",0.05,0)))</f>
        <v>0.5</v>
      </c>
      <c r="W11" s="3" t="s">
        <v>248</v>
      </c>
    </row>
    <row r="17" spans="1:23" ht="15" thickBot="1" x14ac:dyDescent="0.35">
      <c r="A17" s="26"/>
      <c r="B17" s="26" t="s">
        <v>409</v>
      </c>
      <c r="C17" s="26"/>
      <c r="D17" s="26"/>
      <c r="E17" s="87">
        <f>SUM(E9:E11)</f>
        <v>103</v>
      </c>
      <c r="F17" s="28">
        <f>IFERROR(SUMPRODUCT(E9:E11,F9:F11)/E17,0)</f>
        <v>8</v>
      </c>
      <c r="G17" s="28">
        <f>IFERROR(SUMPRODUCT(E9:E11,G9:G11)/E17,0)</f>
        <v>-2.5</v>
      </c>
      <c r="H17" s="28">
        <f>IFERROR(SUMPRODUCT(E9:E11,H9:H11)/E17,0)</f>
        <v>3</v>
      </c>
      <c r="I17" s="87">
        <f>SUMPRODUCT(E9:E11,V9:V11)</f>
        <v>51.5</v>
      </c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</row>
    <row r="18" spans="1:23" ht="15" thickTop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1:23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 ht="15" thickBot="1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ht="16.2" thickTop="1" x14ac:dyDescent="0.3">
      <c r="A22" s="90" t="s">
        <v>410</v>
      </c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</row>
    <row r="23" spans="1:23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1:23" x14ac:dyDescent="0.3">
      <c r="A24" s="83"/>
      <c r="B24" s="18" t="s">
        <v>464</v>
      </c>
      <c r="C24" s="18"/>
      <c r="D24" s="18" t="s">
        <v>329</v>
      </c>
      <c r="E24" s="18" t="s">
        <v>92</v>
      </c>
      <c r="F24" s="18" t="s">
        <v>93</v>
      </c>
      <c r="G24" s="18" t="s">
        <v>94</v>
      </c>
      <c r="H24" s="18" t="s">
        <v>84</v>
      </c>
      <c r="I24" s="18" t="s">
        <v>85</v>
      </c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</row>
    <row r="25" spans="1:23" x14ac:dyDescent="0.3">
      <c r="A25" s="43"/>
      <c r="B25" s="43"/>
      <c r="C25" s="43"/>
      <c r="D25" s="85">
        <f>E44</f>
        <v>1785</v>
      </c>
      <c r="E25" s="86">
        <f>F44</f>
        <v>16.595518207282915</v>
      </c>
      <c r="F25" s="86">
        <f>G44</f>
        <v>0</v>
      </c>
      <c r="G25" s="86">
        <f>H44</f>
        <v>2.7512605042016807</v>
      </c>
      <c r="H25" s="85">
        <f>I44</f>
        <v>892.5</v>
      </c>
      <c r="I25" s="85">
        <f>I44</f>
        <v>892.5</v>
      </c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</row>
    <row r="26" spans="1:23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92" t="s">
        <v>111</v>
      </c>
      <c r="N26" s="92"/>
      <c r="O26" s="92"/>
      <c r="P26" s="92" t="s">
        <v>471</v>
      </c>
      <c r="Q26" s="92"/>
      <c r="R26" s="92" t="s">
        <v>112</v>
      </c>
      <c r="S26" s="92"/>
      <c r="T26" s="92"/>
      <c r="U26" s="92"/>
      <c r="V26" s="3"/>
      <c r="W26" s="3"/>
    </row>
    <row r="27" spans="1:23" x14ac:dyDescent="0.3">
      <c r="A27" s="84" t="s">
        <v>106</v>
      </c>
      <c r="B27" s="84" t="s">
        <v>107</v>
      </c>
      <c r="C27" s="84" t="s">
        <v>2</v>
      </c>
      <c r="D27" s="84" t="s">
        <v>72</v>
      </c>
      <c r="E27" s="84" t="s">
        <v>73</v>
      </c>
      <c r="F27" s="84" t="s">
        <v>92</v>
      </c>
      <c r="G27" s="84" t="s">
        <v>93</v>
      </c>
      <c r="H27" s="84" t="s">
        <v>94</v>
      </c>
      <c r="I27" s="84" t="s">
        <v>108</v>
      </c>
      <c r="J27" s="84" t="s">
        <v>109</v>
      </c>
      <c r="K27" s="84" t="s">
        <v>110</v>
      </c>
      <c r="L27" s="84" t="s">
        <v>95</v>
      </c>
      <c r="M27" s="84" t="s">
        <v>128</v>
      </c>
      <c r="N27" s="84" t="s">
        <v>349</v>
      </c>
      <c r="O27" s="84" t="s">
        <v>172</v>
      </c>
      <c r="P27" s="84" t="s">
        <v>350</v>
      </c>
      <c r="Q27" s="84" t="s">
        <v>129</v>
      </c>
      <c r="R27" s="84" t="s">
        <v>351</v>
      </c>
      <c r="S27" s="84" t="s">
        <v>352</v>
      </c>
      <c r="T27" s="84" t="s">
        <v>353</v>
      </c>
      <c r="U27" s="84" t="s">
        <v>354</v>
      </c>
      <c r="V27" s="84" t="s">
        <v>355</v>
      </c>
      <c r="W27" s="84" t="s">
        <v>3</v>
      </c>
    </row>
    <row r="28" spans="1:23" x14ac:dyDescent="0.3">
      <c r="A28" s="3">
        <v>1</v>
      </c>
      <c r="B28" s="3" t="s">
        <v>249</v>
      </c>
      <c r="C28" s="14">
        <v>6</v>
      </c>
      <c r="D28" s="78">
        <v>14</v>
      </c>
      <c r="E28" s="78">
        <f t="shared" ref="E28:E38" si="0">IFERROR(C28*D28,0)</f>
        <v>84</v>
      </c>
      <c r="F28" s="15">
        <v>5</v>
      </c>
      <c r="G28" s="15">
        <v>0</v>
      </c>
      <c r="H28" s="15">
        <v>3</v>
      </c>
      <c r="I28" s="15">
        <v>0.5</v>
      </c>
      <c r="J28" s="15">
        <v>5</v>
      </c>
      <c r="K28" s="15">
        <v>5</v>
      </c>
      <c r="L28" s="3" t="s">
        <v>118</v>
      </c>
      <c r="M28" s="3" t="s">
        <v>356</v>
      </c>
      <c r="N28" s="3"/>
      <c r="O28" s="3"/>
      <c r="P28" s="3"/>
      <c r="Q28" s="3" t="s">
        <v>356</v>
      </c>
      <c r="R28" s="3" t="s">
        <v>356</v>
      </c>
      <c r="S28" s="3"/>
      <c r="T28" s="3"/>
      <c r="U28" s="3"/>
      <c r="V28" s="76">
        <f t="shared" ref="V28:V38" si="1">IF(UPPER(M28)="X",0.5,IF(UPPER(N28)="X",0.2,IF(UPPER(O28)="X",0.05,0)))</f>
        <v>0.5</v>
      </c>
      <c r="W28" s="3" t="s">
        <v>250</v>
      </c>
    </row>
    <row r="29" spans="1:23" x14ac:dyDescent="0.3">
      <c r="A29" s="3">
        <v>2</v>
      </c>
      <c r="B29" s="3" t="s">
        <v>251</v>
      </c>
      <c r="C29" s="14">
        <v>8</v>
      </c>
      <c r="D29" s="78">
        <v>18</v>
      </c>
      <c r="E29" s="78">
        <f t="shared" si="0"/>
        <v>144</v>
      </c>
      <c r="F29" s="15">
        <v>17</v>
      </c>
      <c r="G29" s="15">
        <v>0</v>
      </c>
      <c r="H29" s="15">
        <v>3</v>
      </c>
      <c r="I29" s="15">
        <v>0.5</v>
      </c>
      <c r="J29" s="15">
        <v>6</v>
      </c>
      <c r="K29" s="15">
        <v>5</v>
      </c>
      <c r="L29" s="3" t="s">
        <v>118</v>
      </c>
      <c r="M29" s="3" t="s">
        <v>356</v>
      </c>
      <c r="N29" s="3"/>
      <c r="O29" s="3"/>
      <c r="P29" s="3"/>
      <c r="Q29" s="3" t="s">
        <v>356</v>
      </c>
      <c r="R29" s="3" t="s">
        <v>356</v>
      </c>
      <c r="S29" s="3"/>
      <c r="T29" s="3"/>
      <c r="U29" s="3"/>
      <c r="V29" s="76">
        <f t="shared" si="1"/>
        <v>0.5</v>
      </c>
      <c r="W29" s="3" t="s">
        <v>252</v>
      </c>
    </row>
    <row r="30" spans="1:23" x14ac:dyDescent="0.3">
      <c r="A30" s="3">
        <v>3</v>
      </c>
      <c r="B30" s="3" t="s">
        <v>253</v>
      </c>
      <c r="C30" s="14">
        <v>6</v>
      </c>
      <c r="D30" s="78">
        <v>12</v>
      </c>
      <c r="E30" s="78">
        <f t="shared" si="0"/>
        <v>72</v>
      </c>
      <c r="F30" s="15">
        <v>30</v>
      </c>
      <c r="G30" s="15">
        <v>0</v>
      </c>
      <c r="H30" s="15">
        <v>3</v>
      </c>
      <c r="I30" s="15">
        <v>0.5</v>
      </c>
      <c r="J30" s="15">
        <v>5</v>
      </c>
      <c r="K30" s="15">
        <v>4</v>
      </c>
      <c r="L30" s="3" t="s">
        <v>118</v>
      </c>
      <c r="M30" s="3" t="s">
        <v>356</v>
      </c>
      <c r="N30" s="3"/>
      <c r="O30" s="3"/>
      <c r="P30" s="3"/>
      <c r="Q30" s="3" t="s">
        <v>356</v>
      </c>
      <c r="R30" s="3" t="s">
        <v>356</v>
      </c>
      <c r="S30" s="3"/>
      <c r="T30" s="3"/>
      <c r="U30" s="3"/>
      <c r="V30" s="76">
        <f t="shared" si="1"/>
        <v>0.5</v>
      </c>
      <c r="W30" s="3" t="s">
        <v>254</v>
      </c>
    </row>
    <row r="31" spans="1:23" x14ac:dyDescent="0.3">
      <c r="A31" s="3">
        <v>4</v>
      </c>
      <c r="B31" s="3" t="s">
        <v>255</v>
      </c>
      <c r="C31" s="14">
        <v>1</v>
      </c>
      <c r="D31" s="78">
        <v>280</v>
      </c>
      <c r="E31" s="78">
        <f t="shared" si="0"/>
        <v>280</v>
      </c>
      <c r="F31" s="15">
        <v>17</v>
      </c>
      <c r="G31" s="15">
        <v>0</v>
      </c>
      <c r="H31" s="15">
        <v>3</v>
      </c>
      <c r="I31" s="15">
        <v>35</v>
      </c>
      <c r="J31" s="15">
        <v>0.2</v>
      </c>
      <c r="K31" s="15">
        <v>0.2</v>
      </c>
      <c r="L31" s="3" t="s">
        <v>118</v>
      </c>
      <c r="M31" s="3" t="s">
        <v>356</v>
      </c>
      <c r="N31" s="3"/>
      <c r="O31" s="3"/>
      <c r="P31" s="3"/>
      <c r="Q31" s="3" t="s">
        <v>356</v>
      </c>
      <c r="R31" s="3" t="s">
        <v>356</v>
      </c>
      <c r="S31" s="3"/>
      <c r="T31" s="3"/>
      <c r="U31" s="3"/>
      <c r="V31" s="76">
        <f t="shared" si="1"/>
        <v>0.5</v>
      </c>
      <c r="W31" s="3"/>
    </row>
    <row r="32" spans="1:23" x14ac:dyDescent="0.3">
      <c r="A32" s="3">
        <v>5</v>
      </c>
      <c r="B32" s="3" t="s">
        <v>256</v>
      </c>
      <c r="C32" s="14">
        <v>1</v>
      </c>
      <c r="D32" s="78">
        <v>220</v>
      </c>
      <c r="E32" s="78">
        <f t="shared" si="0"/>
        <v>220</v>
      </c>
      <c r="F32" s="15">
        <v>5</v>
      </c>
      <c r="G32" s="15">
        <v>0</v>
      </c>
      <c r="H32" s="15">
        <v>3</v>
      </c>
      <c r="I32" s="15">
        <v>10</v>
      </c>
      <c r="J32" s="15">
        <v>6</v>
      </c>
      <c r="K32" s="15">
        <v>0.05</v>
      </c>
      <c r="L32" s="3" t="s">
        <v>118</v>
      </c>
      <c r="M32" s="3" t="s">
        <v>356</v>
      </c>
      <c r="N32" s="3"/>
      <c r="O32" s="3"/>
      <c r="P32" s="3"/>
      <c r="Q32" s="3" t="s">
        <v>356</v>
      </c>
      <c r="R32" s="3" t="s">
        <v>356</v>
      </c>
      <c r="S32" s="3"/>
      <c r="T32" s="3"/>
      <c r="U32" s="3"/>
      <c r="V32" s="76">
        <f t="shared" si="1"/>
        <v>0.5</v>
      </c>
      <c r="W32" s="3"/>
    </row>
    <row r="33" spans="1:23" x14ac:dyDescent="0.3">
      <c r="A33" s="3">
        <v>6</v>
      </c>
      <c r="B33" s="3" t="s">
        <v>257</v>
      </c>
      <c r="C33" s="14">
        <v>1</v>
      </c>
      <c r="D33" s="78">
        <v>380</v>
      </c>
      <c r="E33" s="78">
        <f t="shared" si="0"/>
        <v>380</v>
      </c>
      <c r="F33" s="15">
        <v>17</v>
      </c>
      <c r="G33" s="15">
        <v>0</v>
      </c>
      <c r="H33" s="15">
        <v>3</v>
      </c>
      <c r="I33" s="15">
        <v>15</v>
      </c>
      <c r="J33" s="15">
        <v>6</v>
      </c>
      <c r="K33" s="15">
        <v>0.05</v>
      </c>
      <c r="L33" s="3" t="s">
        <v>118</v>
      </c>
      <c r="M33" s="3" t="s">
        <v>356</v>
      </c>
      <c r="N33" s="3"/>
      <c r="O33" s="3"/>
      <c r="P33" s="3"/>
      <c r="Q33" s="3" t="s">
        <v>356</v>
      </c>
      <c r="R33" s="3" t="s">
        <v>356</v>
      </c>
      <c r="S33" s="3"/>
      <c r="T33" s="3"/>
      <c r="U33" s="3"/>
      <c r="V33" s="76">
        <f t="shared" si="1"/>
        <v>0.5</v>
      </c>
      <c r="W33" s="3" t="s">
        <v>258</v>
      </c>
    </row>
    <row r="34" spans="1:23" x14ac:dyDescent="0.3">
      <c r="A34" s="3">
        <v>7</v>
      </c>
      <c r="B34" s="3" t="s">
        <v>259</v>
      </c>
      <c r="C34" s="14">
        <v>1</v>
      </c>
      <c r="D34" s="78">
        <v>180</v>
      </c>
      <c r="E34" s="78">
        <f t="shared" si="0"/>
        <v>180</v>
      </c>
      <c r="F34" s="15">
        <v>30</v>
      </c>
      <c r="G34" s="15">
        <v>0</v>
      </c>
      <c r="H34" s="15">
        <v>3</v>
      </c>
      <c r="I34" s="15">
        <v>10</v>
      </c>
      <c r="J34" s="15">
        <v>5</v>
      </c>
      <c r="K34" s="15">
        <v>0.05</v>
      </c>
      <c r="L34" s="3" t="s">
        <v>118</v>
      </c>
      <c r="M34" s="3" t="s">
        <v>356</v>
      </c>
      <c r="N34" s="3"/>
      <c r="O34" s="3"/>
      <c r="P34" s="3"/>
      <c r="Q34" s="3" t="s">
        <v>356</v>
      </c>
      <c r="R34" s="3" t="s">
        <v>356</v>
      </c>
      <c r="S34" s="3"/>
      <c r="T34" s="3"/>
      <c r="U34" s="3"/>
      <c r="V34" s="76">
        <f t="shared" si="1"/>
        <v>0.5</v>
      </c>
      <c r="W34" s="3"/>
    </row>
    <row r="35" spans="1:23" x14ac:dyDescent="0.3">
      <c r="A35" s="3">
        <v>8</v>
      </c>
      <c r="B35" s="3" t="s">
        <v>260</v>
      </c>
      <c r="C35" s="14">
        <v>1</v>
      </c>
      <c r="D35" s="78">
        <v>45</v>
      </c>
      <c r="E35" s="78">
        <f t="shared" si="0"/>
        <v>45</v>
      </c>
      <c r="F35" s="15">
        <v>4</v>
      </c>
      <c r="G35" s="15">
        <v>0</v>
      </c>
      <c r="H35" s="15">
        <v>3</v>
      </c>
      <c r="I35" s="15">
        <v>0.3</v>
      </c>
      <c r="J35" s="15">
        <v>5</v>
      </c>
      <c r="K35" s="15">
        <v>5</v>
      </c>
      <c r="L35" s="3" t="s">
        <v>118</v>
      </c>
      <c r="M35" s="3" t="s">
        <v>356</v>
      </c>
      <c r="N35" s="3"/>
      <c r="O35" s="3"/>
      <c r="P35" s="3"/>
      <c r="Q35" s="3" t="s">
        <v>356</v>
      </c>
      <c r="R35" s="3" t="s">
        <v>356</v>
      </c>
      <c r="S35" s="3"/>
      <c r="T35" s="3"/>
      <c r="U35" s="3"/>
      <c r="V35" s="76">
        <f t="shared" si="1"/>
        <v>0.5</v>
      </c>
      <c r="W35" s="3"/>
    </row>
    <row r="36" spans="1:23" x14ac:dyDescent="0.3">
      <c r="A36" s="3">
        <v>9</v>
      </c>
      <c r="B36" s="3" t="s">
        <v>261</v>
      </c>
      <c r="C36" s="14">
        <v>1</v>
      </c>
      <c r="D36" s="78">
        <v>65</v>
      </c>
      <c r="E36" s="78">
        <f t="shared" si="0"/>
        <v>65</v>
      </c>
      <c r="F36" s="15">
        <v>25</v>
      </c>
      <c r="G36" s="15">
        <v>0</v>
      </c>
      <c r="H36" s="15">
        <v>3</v>
      </c>
      <c r="I36" s="15">
        <v>0.3</v>
      </c>
      <c r="J36" s="15">
        <v>5</v>
      </c>
      <c r="K36" s="15">
        <v>5</v>
      </c>
      <c r="L36" s="3" t="s">
        <v>118</v>
      </c>
      <c r="M36" s="3" t="s">
        <v>356</v>
      </c>
      <c r="N36" s="3"/>
      <c r="O36" s="3"/>
      <c r="P36" s="3"/>
      <c r="Q36" s="3" t="s">
        <v>356</v>
      </c>
      <c r="R36" s="3" t="s">
        <v>356</v>
      </c>
      <c r="S36" s="3"/>
      <c r="T36" s="3"/>
      <c r="U36" s="3"/>
      <c r="V36" s="76">
        <f t="shared" si="1"/>
        <v>0.5</v>
      </c>
      <c r="W36" s="3"/>
    </row>
    <row r="37" spans="1:23" x14ac:dyDescent="0.3">
      <c r="A37" s="3">
        <v>10</v>
      </c>
      <c r="B37" s="3" t="s">
        <v>262</v>
      </c>
      <c r="C37" s="14">
        <v>1</v>
      </c>
      <c r="D37" s="78">
        <v>220</v>
      </c>
      <c r="E37" s="78">
        <f t="shared" si="0"/>
        <v>220</v>
      </c>
      <c r="F37" s="15">
        <v>17</v>
      </c>
      <c r="G37" s="15">
        <v>0</v>
      </c>
      <c r="H37" s="15">
        <v>1.5</v>
      </c>
      <c r="I37" s="15">
        <v>4</v>
      </c>
      <c r="J37" s="15">
        <v>5</v>
      </c>
      <c r="K37" s="15">
        <v>1.5</v>
      </c>
      <c r="L37" s="3" t="s">
        <v>118</v>
      </c>
      <c r="M37" s="3" t="s">
        <v>356</v>
      </c>
      <c r="N37" s="3"/>
      <c r="O37" s="3"/>
      <c r="P37" s="3"/>
      <c r="Q37" s="3" t="s">
        <v>356</v>
      </c>
      <c r="R37" s="3" t="s">
        <v>356</v>
      </c>
      <c r="S37" s="3"/>
      <c r="T37" s="3"/>
      <c r="U37" s="3"/>
      <c r="V37" s="76">
        <f t="shared" si="1"/>
        <v>0.5</v>
      </c>
      <c r="W37" s="3" t="s">
        <v>263</v>
      </c>
    </row>
    <row r="38" spans="1:23" x14ac:dyDescent="0.3">
      <c r="A38" s="3">
        <v>11</v>
      </c>
      <c r="B38" s="3" t="s">
        <v>264</v>
      </c>
      <c r="C38" s="14">
        <v>1</v>
      </c>
      <c r="D38" s="78">
        <v>95</v>
      </c>
      <c r="E38" s="78">
        <f t="shared" si="0"/>
        <v>95</v>
      </c>
      <c r="F38" s="15">
        <v>14</v>
      </c>
      <c r="G38" s="15">
        <v>0</v>
      </c>
      <c r="H38" s="15">
        <v>1.8</v>
      </c>
      <c r="I38" s="15">
        <v>18</v>
      </c>
      <c r="J38" s="15">
        <v>5</v>
      </c>
      <c r="K38" s="15">
        <v>0.3</v>
      </c>
      <c r="L38" s="3" t="s">
        <v>118</v>
      </c>
      <c r="M38" s="3" t="s">
        <v>356</v>
      </c>
      <c r="N38" s="3"/>
      <c r="O38" s="3"/>
      <c r="P38" s="3"/>
      <c r="Q38" s="3" t="s">
        <v>356</v>
      </c>
      <c r="R38" s="3" t="s">
        <v>356</v>
      </c>
      <c r="S38" s="3"/>
      <c r="T38" s="3"/>
      <c r="U38" s="3"/>
      <c r="V38" s="76">
        <f t="shared" si="1"/>
        <v>0.5</v>
      </c>
      <c r="W38" s="3"/>
    </row>
    <row r="44" spans="1:23" ht="15" thickBot="1" x14ac:dyDescent="0.35">
      <c r="A44" s="26"/>
      <c r="B44" s="26" t="s">
        <v>411</v>
      </c>
      <c r="C44" s="26"/>
      <c r="D44" s="26"/>
      <c r="E44" s="87">
        <f>SUM(E28:E38)</f>
        <v>1785</v>
      </c>
      <c r="F44" s="28">
        <f>IFERROR(SUMPRODUCT(E28:E38,F28:F38)/E44,0)</f>
        <v>16.595518207282915</v>
      </c>
      <c r="G44" s="28">
        <f>IFERROR(SUMPRODUCT(E28:E38,G28:G38)/E44,0)</f>
        <v>0</v>
      </c>
      <c r="H44" s="28">
        <f>IFERROR(SUMPRODUCT(E28:E38,H28:H38)/E44,0)</f>
        <v>2.7512605042016807</v>
      </c>
      <c r="I44" s="87">
        <f>SUMPRODUCT(E28:E38,V28:V38)</f>
        <v>892.5</v>
      </c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</row>
    <row r="45" spans="1:23" ht="15" thickTop="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ht="16.2" thickTop="1" x14ac:dyDescent="0.3">
      <c r="A49" s="90" t="s">
        <v>412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</row>
    <row r="50" spans="1:23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3">
      <c r="A51" s="83"/>
      <c r="B51" s="18" t="s">
        <v>464</v>
      </c>
      <c r="C51" s="18"/>
      <c r="D51" s="18" t="s">
        <v>329</v>
      </c>
      <c r="E51" s="18" t="s">
        <v>92</v>
      </c>
      <c r="F51" s="18" t="s">
        <v>93</v>
      </c>
      <c r="G51" s="18" t="s">
        <v>94</v>
      </c>
      <c r="H51" s="18" t="s">
        <v>84</v>
      </c>
      <c r="I51" s="18" t="s">
        <v>85</v>
      </c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</row>
    <row r="52" spans="1:23" x14ac:dyDescent="0.3">
      <c r="A52" s="43"/>
      <c r="B52" s="43"/>
      <c r="C52" s="43"/>
      <c r="D52" s="85">
        <f>E67</f>
        <v>330</v>
      </c>
      <c r="E52" s="86">
        <f>F67</f>
        <v>32.103030303030302</v>
      </c>
      <c r="F52" s="86">
        <f>G67</f>
        <v>0.72727272727272729</v>
      </c>
      <c r="G52" s="86">
        <f>H67</f>
        <v>5.9030303030303033</v>
      </c>
      <c r="H52" s="85">
        <f>I67</f>
        <v>165</v>
      </c>
      <c r="I52" s="85">
        <f>I67</f>
        <v>165</v>
      </c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</row>
    <row r="53" spans="1:23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92" t="s">
        <v>111</v>
      </c>
      <c r="N53" s="92"/>
      <c r="O53" s="92"/>
      <c r="P53" s="92" t="s">
        <v>471</v>
      </c>
      <c r="Q53" s="92"/>
      <c r="R53" s="92" t="s">
        <v>112</v>
      </c>
      <c r="S53" s="92"/>
      <c r="T53" s="92"/>
      <c r="U53" s="92"/>
      <c r="V53" s="3"/>
      <c r="W53" s="3"/>
    </row>
    <row r="54" spans="1:23" x14ac:dyDescent="0.3">
      <c r="A54" s="84" t="s">
        <v>106</v>
      </c>
      <c r="B54" s="84" t="s">
        <v>107</v>
      </c>
      <c r="C54" s="84" t="s">
        <v>2</v>
      </c>
      <c r="D54" s="84" t="s">
        <v>72</v>
      </c>
      <c r="E54" s="84" t="s">
        <v>73</v>
      </c>
      <c r="F54" s="84" t="s">
        <v>92</v>
      </c>
      <c r="G54" s="84" t="s">
        <v>93</v>
      </c>
      <c r="H54" s="84" t="s">
        <v>94</v>
      </c>
      <c r="I54" s="84" t="s">
        <v>108</v>
      </c>
      <c r="J54" s="84" t="s">
        <v>109</v>
      </c>
      <c r="K54" s="84" t="s">
        <v>110</v>
      </c>
      <c r="L54" s="84" t="s">
        <v>95</v>
      </c>
      <c r="M54" s="84" t="s">
        <v>128</v>
      </c>
      <c r="N54" s="84" t="s">
        <v>349</v>
      </c>
      <c r="O54" s="84" t="s">
        <v>172</v>
      </c>
      <c r="P54" s="84" t="s">
        <v>350</v>
      </c>
      <c r="Q54" s="84" t="s">
        <v>129</v>
      </c>
      <c r="R54" s="84" t="s">
        <v>351</v>
      </c>
      <c r="S54" s="84" t="s">
        <v>352</v>
      </c>
      <c r="T54" s="84" t="s">
        <v>353</v>
      </c>
      <c r="U54" s="84" t="s">
        <v>354</v>
      </c>
      <c r="V54" s="84" t="s">
        <v>355</v>
      </c>
      <c r="W54" s="84" t="s">
        <v>3</v>
      </c>
    </row>
    <row r="55" spans="1:23" x14ac:dyDescent="0.3">
      <c r="A55" s="3">
        <v>1</v>
      </c>
      <c r="B55" s="3" t="s">
        <v>265</v>
      </c>
      <c r="C55" s="14">
        <v>1</v>
      </c>
      <c r="D55" s="78">
        <v>65</v>
      </c>
      <c r="E55" s="78">
        <f t="shared" ref="E55:E61" si="2">IFERROR(C55*D55,0)</f>
        <v>65</v>
      </c>
      <c r="F55" s="15">
        <v>32</v>
      </c>
      <c r="G55" s="15">
        <v>4</v>
      </c>
      <c r="H55" s="15">
        <v>6</v>
      </c>
      <c r="I55" s="15">
        <v>8</v>
      </c>
      <c r="J55" s="15">
        <v>0.5</v>
      </c>
      <c r="K55" s="15">
        <v>0.8</v>
      </c>
      <c r="L55" s="3" t="s">
        <v>118</v>
      </c>
      <c r="M55" s="3" t="s">
        <v>356</v>
      </c>
      <c r="N55" s="3"/>
      <c r="O55" s="3"/>
      <c r="P55" s="3"/>
      <c r="Q55" s="3" t="s">
        <v>356</v>
      </c>
      <c r="R55" s="3" t="s">
        <v>356</v>
      </c>
      <c r="S55" s="3"/>
      <c r="T55" s="3"/>
      <c r="U55" s="3"/>
      <c r="V55" s="76">
        <f t="shared" ref="V55:V61" si="3">IF(UPPER(M55)="X",0.5,IF(UPPER(N55)="X",0.2,IF(UPPER(O55)="X",0.05,0)))</f>
        <v>0.5</v>
      </c>
      <c r="W55" s="3" t="s">
        <v>266</v>
      </c>
    </row>
    <row r="56" spans="1:23" x14ac:dyDescent="0.3">
      <c r="A56" s="3">
        <v>2</v>
      </c>
      <c r="B56" s="3" t="s">
        <v>267</v>
      </c>
      <c r="C56" s="14">
        <v>1</v>
      </c>
      <c r="D56" s="78">
        <v>65</v>
      </c>
      <c r="E56" s="78">
        <f t="shared" si="2"/>
        <v>65</v>
      </c>
      <c r="F56" s="15">
        <v>32</v>
      </c>
      <c r="G56" s="15">
        <v>-4</v>
      </c>
      <c r="H56" s="15">
        <v>6</v>
      </c>
      <c r="I56" s="15">
        <v>8</v>
      </c>
      <c r="J56" s="15">
        <v>0.5</v>
      </c>
      <c r="K56" s="15">
        <v>0.8</v>
      </c>
      <c r="L56" s="3" t="s">
        <v>118</v>
      </c>
      <c r="M56" s="3" t="s">
        <v>356</v>
      </c>
      <c r="N56" s="3"/>
      <c r="O56" s="3"/>
      <c r="P56" s="3"/>
      <c r="Q56" s="3" t="s">
        <v>356</v>
      </c>
      <c r="R56" s="3" t="s">
        <v>356</v>
      </c>
      <c r="S56" s="3"/>
      <c r="T56" s="3"/>
      <c r="U56" s="3"/>
      <c r="V56" s="76">
        <f t="shared" si="3"/>
        <v>0.5</v>
      </c>
      <c r="W56" s="3" t="s">
        <v>266</v>
      </c>
    </row>
    <row r="57" spans="1:23" x14ac:dyDescent="0.3">
      <c r="A57" s="3">
        <v>3</v>
      </c>
      <c r="B57" s="3" t="s">
        <v>268</v>
      </c>
      <c r="C57" s="14">
        <v>12</v>
      </c>
      <c r="D57" s="78">
        <v>4</v>
      </c>
      <c r="E57" s="78">
        <f t="shared" si="2"/>
        <v>48</v>
      </c>
      <c r="F57" s="15">
        <v>32</v>
      </c>
      <c r="G57" s="15">
        <v>0</v>
      </c>
      <c r="H57" s="15">
        <v>6</v>
      </c>
      <c r="I57" s="15">
        <v>0.3</v>
      </c>
      <c r="J57" s="15">
        <v>0.5</v>
      </c>
      <c r="K57" s="15">
        <v>1</v>
      </c>
      <c r="L57" s="3" t="s">
        <v>118</v>
      </c>
      <c r="M57" s="3" t="s">
        <v>356</v>
      </c>
      <c r="N57" s="3"/>
      <c r="O57" s="3"/>
      <c r="P57" s="3"/>
      <c r="Q57" s="3" t="s">
        <v>356</v>
      </c>
      <c r="R57" s="3" t="s">
        <v>356</v>
      </c>
      <c r="S57" s="3"/>
      <c r="T57" s="3"/>
      <c r="U57" s="3"/>
      <c r="V57" s="76">
        <f t="shared" si="3"/>
        <v>0.5</v>
      </c>
      <c r="W57" s="3"/>
    </row>
    <row r="58" spans="1:23" x14ac:dyDescent="0.3">
      <c r="A58" s="3">
        <v>4</v>
      </c>
      <c r="B58" s="3" t="s">
        <v>269</v>
      </c>
      <c r="C58" s="14">
        <v>1</v>
      </c>
      <c r="D58" s="78">
        <v>38</v>
      </c>
      <c r="E58" s="78">
        <f t="shared" si="2"/>
        <v>38</v>
      </c>
      <c r="F58" s="15">
        <v>32</v>
      </c>
      <c r="G58" s="15">
        <v>4</v>
      </c>
      <c r="H58" s="15">
        <v>6</v>
      </c>
      <c r="I58" s="15">
        <v>8</v>
      </c>
      <c r="J58" s="15">
        <v>4</v>
      </c>
      <c r="K58" s="15">
        <v>0.05</v>
      </c>
      <c r="L58" s="3" t="s">
        <v>118</v>
      </c>
      <c r="M58" s="3" t="s">
        <v>356</v>
      </c>
      <c r="N58" s="3"/>
      <c r="O58" s="3"/>
      <c r="P58" s="3"/>
      <c r="Q58" s="3" t="s">
        <v>356</v>
      </c>
      <c r="R58" s="3" t="s">
        <v>356</v>
      </c>
      <c r="S58" s="3"/>
      <c r="T58" s="3"/>
      <c r="U58" s="3"/>
      <c r="V58" s="76">
        <f t="shared" si="3"/>
        <v>0.5</v>
      </c>
      <c r="W58" s="3"/>
    </row>
    <row r="59" spans="1:23" x14ac:dyDescent="0.3">
      <c r="A59" s="3">
        <v>5</v>
      </c>
      <c r="B59" s="3" t="s">
        <v>270</v>
      </c>
      <c r="C59" s="14">
        <v>1</v>
      </c>
      <c r="D59" s="78">
        <v>38</v>
      </c>
      <c r="E59" s="78">
        <f t="shared" si="2"/>
        <v>38</v>
      </c>
      <c r="F59" s="15">
        <v>32</v>
      </c>
      <c r="G59" s="15">
        <v>-4</v>
      </c>
      <c r="H59" s="15">
        <v>6</v>
      </c>
      <c r="I59" s="15">
        <v>8</v>
      </c>
      <c r="J59" s="15">
        <v>4</v>
      </c>
      <c r="K59" s="15">
        <v>0.05</v>
      </c>
      <c r="L59" s="3" t="s">
        <v>118</v>
      </c>
      <c r="M59" s="3" t="s">
        <v>356</v>
      </c>
      <c r="N59" s="3"/>
      <c r="O59" s="3"/>
      <c r="P59" s="3"/>
      <c r="Q59" s="3" t="s">
        <v>356</v>
      </c>
      <c r="R59" s="3" t="s">
        <v>356</v>
      </c>
      <c r="S59" s="3"/>
      <c r="T59" s="3"/>
      <c r="U59" s="3"/>
      <c r="V59" s="76">
        <f t="shared" si="3"/>
        <v>0.5</v>
      </c>
      <c r="W59" s="3"/>
    </row>
    <row r="60" spans="1:23" x14ac:dyDescent="0.3">
      <c r="A60" s="3">
        <v>6</v>
      </c>
      <c r="B60" s="3" t="s">
        <v>271</v>
      </c>
      <c r="C60" s="14">
        <v>2</v>
      </c>
      <c r="D60" s="78">
        <v>22</v>
      </c>
      <c r="E60" s="78">
        <f t="shared" si="2"/>
        <v>44</v>
      </c>
      <c r="F60" s="15">
        <v>33.5</v>
      </c>
      <c r="G60" s="15">
        <v>4</v>
      </c>
      <c r="H60" s="15">
        <v>6</v>
      </c>
      <c r="I60" s="15">
        <v>6</v>
      </c>
      <c r="J60" s="15">
        <v>1.5</v>
      </c>
      <c r="K60" s="15">
        <v>0.3</v>
      </c>
      <c r="L60" s="3" t="s">
        <v>118</v>
      </c>
      <c r="M60" s="3" t="s">
        <v>356</v>
      </c>
      <c r="N60" s="3"/>
      <c r="O60" s="3"/>
      <c r="P60" s="3"/>
      <c r="Q60" s="3" t="s">
        <v>356</v>
      </c>
      <c r="R60" s="3" t="s">
        <v>356</v>
      </c>
      <c r="S60" s="3"/>
      <c r="T60" s="3"/>
      <c r="U60" s="3"/>
      <c r="V60" s="76">
        <f t="shared" si="3"/>
        <v>0.5</v>
      </c>
      <c r="W60" s="3" t="s">
        <v>272</v>
      </c>
    </row>
    <row r="61" spans="1:23" x14ac:dyDescent="0.3">
      <c r="A61" s="3">
        <v>7</v>
      </c>
      <c r="B61" s="3" t="s">
        <v>273</v>
      </c>
      <c r="C61" s="14">
        <v>4</v>
      </c>
      <c r="D61" s="78">
        <v>8</v>
      </c>
      <c r="E61" s="78">
        <f t="shared" si="2"/>
        <v>32</v>
      </c>
      <c r="F61" s="15">
        <v>31</v>
      </c>
      <c r="G61" s="15">
        <v>2</v>
      </c>
      <c r="H61" s="15">
        <v>5</v>
      </c>
      <c r="I61" s="15">
        <v>0.5</v>
      </c>
      <c r="J61" s="15">
        <v>0.5</v>
      </c>
      <c r="K61" s="15">
        <v>0.5</v>
      </c>
      <c r="L61" s="3" t="s">
        <v>118</v>
      </c>
      <c r="M61" s="3" t="s">
        <v>356</v>
      </c>
      <c r="N61" s="3"/>
      <c r="O61" s="3"/>
      <c r="P61" s="3"/>
      <c r="Q61" s="3" t="s">
        <v>356</v>
      </c>
      <c r="R61" s="3" t="s">
        <v>356</v>
      </c>
      <c r="S61" s="3"/>
      <c r="T61" s="3"/>
      <c r="U61" s="3"/>
      <c r="V61" s="76">
        <f t="shared" si="3"/>
        <v>0.5</v>
      </c>
      <c r="W61" s="3"/>
    </row>
    <row r="67" spans="1:23" ht="15" thickBot="1" x14ac:dyDescent="0.35">
      <c r="A67" s="26"/>
      <c r="B67" s="26" t="s">
        <v>413</v>
      </c>
      <c r="C67" s="26"/>
      <c r="D67" s="26"/>
      <c r="E67" s="87">
        <f>SUM(E55:E61)</f>
        <v>330</v>
      </c>
      <c r="F67" s="28">
        <f>IFERROR(SUMPRODUCT(E55:E61,F55:F61)/E67,0)</f>
        <v>32.103030303030302</v>
      </c>
      <c r="G67" s="28">
        <f>IFERROR(SUMPRODUCT(E55:E61,G55:G61)/E67,0)</f>
        <v>0.72727272727272729</v>
      </c>
      <c r="H67" s="28">
        <f>IFERROR(SUMPRODUCT(E55:E61,H55:H61)/E67,0)</f>
        <v>5.9030303030303033</v>
      </c>
      <c r="I67" s="87">
        <f>SUMPRODUCT(E55:E61,V55:V61)</f>
        <v>165</v>
      </c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</row>
    <row r="68" spans="1:23" ht="15" thickTop="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</row>
    <row r="69" spans="1:23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</row>
    <row r="70" spans="1:23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</row>
    <row r="71" spans="1:23" ht="15" thickBot="1" x14ac:dyDescent="0.3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</row>
    <row r="72" spans="1:23" ht="16.2" thickTop="1" x14ac:dyDescent="0.3">
      <c r="A72" s="90" t="s">
        <v>414</v>
      </c>
      <c r="B72" s="91"/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</row>
    <row r="73" spans="1:23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</row>
    <row r="74" spans="1:23" x14ac:dyDescent="0.3">
      <c r="A74" s="83"/>
      <c r="B74" s="18" t="s">
        <v>464</v>
      </c>
      <c r="C74" s="18"/>
      <c r="D74" s="18" t="s">
        <v>329</v>
      </c>
      <c r="E74" s="18" t="s">
        <v>92</v>
      </c>
      <c r="F74" s="18" t="s">
        <v>93</v>
      </c>
      <c r="G74" s="18" t="s">
        <v>94</v>
      </c>
      <c r="H74" s="18" t="s">
        <v>84</v>
      </c>
      <c r="I74" s="18" t="s">
        <v>85</v>
      </c>
      <c r="J74" s="83"/>
      <c r="K74" s="83"/>
      <c r="L74" s="83"/>
      <c r="M74" s="83"/>
      <c r="N74" s="83"/>
      <c r="O74" s="83"/>
      <c r="P74" s="83"/>
      <c r="Q74" s="83"/>
      <c r="R74" s="83"/>
      <c r="S74" s="83"/>
      <c r="T74" s="83"/>
      <c r="U74" s="83"/>
      <c r="V74" s="83"/>
      <c r="W74" s="83"/>
    </row>
    <row r="75" spans="1:23" x14ac:dyDescent="0.3">
      <c r="A75" s="43"/>
      <c r="B75" s="43"/>
      <c r="C75" s="43"/>
      <c r="D75" s="85">
        <f>E86</f>
        <v>124</v>
      </c>
      <c r="E75" s="86">
        <f>F86</f>
        <v>9.1612903225806459</v>
      </c>
      <c r="F75" s="86">
        <f>G86</f>
        <v>2.2129032258064516</v>
      </c>
      <c r="G75" s="86">
        <f>H86</f>
        <v>4.725806451612903</v>
      </c>
      <c r="H75" s="85">
        <f>I86</f>
        <v>30.800000000000004</v>
      </c>
      <c r="I75" s="85">
        <f>I86</f>
        <v>30.800000000000004</v>
      </c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</row>
    <row r="76" spans="1:23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92" t="s">
        <v>111</v>
      </c>
      <c r="N76" s="92"/>
      <c r="O76" s="92"/>
      <c r="P76" s="92" t="s">
        <v>471</v>
      </c>
      <c r="Q76" s="92"/>
      <c r="R76" s="92" t="s">
        <v>112</v>
      </c>
      <c r="S76" s="92"/>
      <c r="T76" s="92"/>
      <c r="U76" s="92"/>
      <c r="V76" s="3"/>
      <c r="W76" s="3"/>
    </row>
    <row r="77" spans="1:23" x14ac:dyDescent="0.3">
      <c r="A77" s="84" t="s">
        <v>106</v>
      </c>
      <c r="B77" s="84" t="s">
        <v>107</v>
      </c>
      <c r="C77" s="84" t="s">
        <v>2</v>
      </c>
      <c r="D77" s="84" t="s">
        <v>72</v>
      </c>
      <c r="E77" s="84" t="s">
        <v>73</v>
      </c>
      <c r="F77" s="84" t="s">
        <v>92</v>
      </c>
      <c r="G77" s="84" t="s">
        <v>93</v>
      </c>
      <c r="H77" s="84" t="s">
        <v>94</v>
      </c>
      <c r="I77" s="84" t="s">
        <v>108</v>
      </c>
      <c r="J77" s="84" t="s">
        <v>109</v>
      </c>
      <c r="K77" s="84" t="s">
        <v>110</v>
      </c>
      <c r="L77" s="84" t="s">
        <v>95</v>
      </c>
      <c r="M77" s="84" t="s">
        <v>128</v>
      </c>
      <c r="N77" s="84" t="s">
        <v>349</v>
      </c>
      <c r="O77" s="84" t="s">
        <v>172</v>
      </c>
      <c r="P77" s="84" t="s">
        <v>350</v>
      </c>
      <c r="Q77" s="84" t="s">
        <v>129</v>
      </c>
      <c r="R77" s="84" t="s">
        <v>351</v>
      </c>
      <c r="S77" s="84" t="s">
        <v>352</v>
      </c>
      <c r="T77" s="84" t="s">
        <v>353</v>
      </c>
      <c r="U77" s="84" t="s">
        <v>354</v>
      </c>
      <c r="V77" s="84" t="s">
        <v>355</v>
      </c>
      <c r="W77" s="84" t="s">
        <v>3</v>
      </c>
    </row>
    <row r="78" spans="1:23" x14ac:dyDescent="0.3">
      <c r="A78" s="3">
        <v>1</v>
      </c>
      <c r="B78" s="3" t="s">
        <v>274</v>
      </c>
      <c r="C78" s="14">
        <v>2</v>
      </c>
      <c r="D78" s="78">
        <v>28</v>
      </c>
      <c r="E78" s="78">
        <f>IFERROR(C78*D78,0)</f>
        <v>56</v>
      </c>
      <c r="F78" s="15">
        <v>4</v>
      </c>
      <c r="G78" s="15">
        <v>1.5</v>
      </c>
      <c r="H78" s="15">
        <v>5</v>
      </c>
      <c r="I78" s="15">
        <v>2.5</v>
      </c>
      <c r="J78" s="15">
        <v>2</v>
      </c>
      <c r="K78" s="15">
        <v>0.05</v>
      </c>
      <c r="L78" s="3" t="s">
        <v>118</v>
      </c>
      <c r="M78" s="3"/>
      <c r="N78" s="3" t="s">
        <v>356</v>
      </c>
      <c r="O78" s="3"/>
      <c r="P78" s="3"/>
      <c r="Q78" s="3" t="s">
        <v>356</v>
      </c>
      <c r="R78" s="3"/>
      <c r="S78" s="3" t="s">
        <v>356</v>
      </c>
      <c r="T78" s="3"/>
      <c r="U78" s="3"/>
      <c r="V78" s="76">
        <f>IF(UPPER(M78)="X",0.5,IF(UPPER(N78)="X",0.2,IF(UPPER(O78)="X",0.05,0)))</f>
        <v>0.2</v>
      </c>
      <c r="W78" s="3" t="s">
        <v>275</v>
      </c>
    </row>
    <row r="79" spans="1:23" x14ac:dyDescent="0.3">
      <c r="A79" s="3">
        <v>2</v>
      </c>
      <c r="B79" s="3" t="s">
        <v>276</v>
      </c>
      <c r="C79" s="14">
        <v>8</v>
      </c>
      <c r="D79" s="78">
        <v>6</v>
      </c>
      <c r="E79" s="78">
        <f>IFERROR(C79*D79,0)</f>
        <v>48</v>
      </c>
      <c r="F79" s="15">
        <v>14</v>
      </c>
      <c r="G79" s="15">
        <v>2.8</v>
      </c>
      <c r="H79" s="15">
        <v>4.5</v>
      </c>
      <c r="I79" s="15">
        <v>1.2</v>
      </c>
      <c r="J79" s="15">
        <v>1</v>
      </c>
      <c r="K79" s="15">
        <v>0.05</v>
      </c>
      <c r="L79" s="3" t="s">
        <v>118</v>
      </c>
      <c r="M79" s="3"/>
      <c r="N79" s="3" t="s">
        <v>356</v>
      </c>
      <c r="O79" s="3"/>
      <c r="P79" s="3"/>
      <c r="Q79" s="3" t="s">
        <v>356</v>
      </c>
      <c r="R79" s="3"/>
      <c r="S79" s="3" t="s">
        <v>356</v>
      </c>
      <c r="T79" s="3"/>
      <c r="U79" s="3"/>
      <c r="V79" s="76">
        <f>IF(UPPER(M79)="X",0.5,IF(UPPER(N79)="X",0.2,IF(UPPER(O79)="X",0.05,0)))</f>
        <v>0.2</v>
      </c>
      <c r="W79" s="3" t="s">
        <v>277</v>
      </c>
    </row>
    <row r="80" spans="1:23" x14ac:dyDescent="0.3">
      <c r="A80" s="3">
        <v>3</v>
      </c>
      <c r="B80" s="3" t="s">
        <v>278</v>
      </c>
      <c r="C80" s="14">
        <v>10</v>
      </c>
      <c r="D80" s="78">
        <v>2</v>
      </c>
      <c r="E80" s="78">
        <f>IFERROR(C80*D80,0)</f>
        <v>20</v>
      </c>
      <c r="F80" s="15">
        <v>12</v>
      </c>
      <c r="G80" s="15">
        <v>2.8</v>
      </c>
      <c r="H80" s="15">
        <v>4.5</v>
      </c>
      <c r="I80" s="15">
        <v>0.3</v>
      </c>
      <c r="J80" s="15">
        <v>0.3</v>
      </c>
      <c r="K80" s="15">
        <v>0.1</v>
      </c>
      <c r="L80" s="3" t="s">
        <v>118</v>
      </c>
      <c r="M80" s="3" t="s">
        <v>356</v>
      </c>
      <c r="N80" s="3"/>
      <c r="O80" s="3"/>
      <c r="P80" s="3"/>
      <c r="Q80" s="3" t="s">
        <v>356</v>
      </c>
      <c r="R80" s="3" t="s">
        <v>356</v>
      </c>
      <c r="S80" s="3"/>
      <c r="T80" s="3"/>
      <c r="U80" s="3"/>
      <c r="V80" s="76">
        <f>IF(UPPER(M80)="X",0.5,IF(UPPER(N80)="X",0.2,IF(UPPER(O80)="X",0.05,0)))</f>
        <v>0.5</v>
      </c>
      <c r="W80" s="3"/>
    </row>
    <row r="86" spans="1:23" ht="15" thickBot="1" x14ac:dyDescent="0.35">
      <c r="A86" s="26"/>
      <c r="B86" s="26" t="s">
        <v>415</v>
      </c>
      <c r="C86" s="26"/>
      <c r="D86" s="26"/>
      <c r="E86" s="87">
        <f>SUM(E78:E80)</f>
        <v>124</v>
      </c>
      <c r="F86" s="28">
        <f>IFERROR(SUMPRODUCT(E78:E80,F78:F80)/E86,0)</f>
        <v>9.1612903225806459</v>
      </c>
      <c r="G86" s="28">
        <f>IFERROR(SUMPRODUCT(E78:E80,G78:G80)/E86,0)</f>
        <v>2.2129032258064516</v>
      </c>
      <c r="H86" s="28">
        <f>IFERROR(SUMPRODUCT(E78:E80,H78:H80)/E86,0)</f>
        <v>4.725806451612903</v>
      </c>
      <c r="I86" s="87">
        <f>SUMPRODUCT(E78:E80,V78:V80)</f>
        <v>30.800000000000004</v>
      </c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</row>
    <row r="87" spans="1:23" ht="15" thickTop="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1:23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3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1:23" ht="15" thickBot="1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</row>
    <row r="91" spans="1:23" ht="16.2" thickTop="1" x14ac:dyDescent="0.3">
      <c r="A91" s="90" t="s">
        <v>416</v>
      </c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</row>
    <row r="92" spans="1:23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1:23" x14ac:dyDescent="0.3">
      <c r="A93" s="83"/>
      <c r="B93" s="18" t="s">
        <v>464</v>
      </c>
      <c r="C93" s="18"/>
      <c r="D93" s="18" t="s">
        <v>329</v>
      </c>
      <c r="E93" s="18" t="s">
        <v>92</v>
      </c>
      <c r="F93" s="18" t="s">
        <v>93</v>
      </c>
      <c r="G93" s="18" t="s">
        <v>94</v>
      </c>
      <c r="H93" s="18" t="s">
        <v>84</v>
      </c>
      <c r="I93" s="18" t="s">
        <v>85</v>
      </c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</row>
    <row r="94" spans="1:23" x14ac:dyDescent="0.3">
      <c r="A94" s="43"/>
      <c r="B94" s="43"/>
      <c r="C94" s="43"/>
      <c r="D94" s="85">
        <f>E114</f>
        <v>1158</v>
      </c>
      <c r="E94" s="86">
        <f>F114</f>
        <v>17.26511226252159</v>
      </c>
      <c r="F94" s="86">
        <f>G114</f>
        <v>1.4093264248704662</v>
      </c>
      <c r="G94" s="86">
        <f>H114</f>
        <v>2</v>
      </c>
      <c r="H94" s="85">
        <f>I114</f>
        <v>579</v>
      </c>
      <c r="I94" s="85">
        <f>I114</f>
        <v>579</v>
      </c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</row>
    <row r="95" spans="1:23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92" t="s">
        <v>111</v>
      </c>
      <c r="N95" s="92"/>
      <c r="O95" s="92"/>
      <c r="P95" s="92" t="s">
        <v>471</v>
      </c>
      <c r="Q95" s="92"/>
      <c r="R95" s="92" t="s">
        <v>112</v>
      </c>
      <c r="S95" s="92"/>
      <c r="T95" s="92"/>
      <c r="U95" s="92"/>
      <c r="V95" s="3"/>
      <c r="W95" s="3"/>
    </row>
    <row r="96" spans="1:23" x14ac:dyDescent="0.3">
      <c r="A96" s="84" t="s">
        <v>106</v>
      </c>
      <c r="B96" s="84" t="s">
        <v>107</v>
      </c>
      <c r="C96" s="84" t="s">
        <v>2</v>
      </c>
      <c r="D96" s="84" t="s">
        <v>72</v>
      </c>
      <c r="E96" s="84" t="s">
        <v>73</v>
      </c>
      <c r="F96" s="84" t="s">
        <v>92</v>
      </c>
      <c r="G96" s="84" t="s">
        <v>93</v>
      </c>
      <c r="H96" s="84" t="s">
        <v>94</v>
      </c>
      <c r="I96" s="84" t="s">
        <v>108</v>
      </c>
      <c r="J96" s="84" t="s">
        <v>109</v>
      </c>
      <c r="K96" s="84" t="s">
        <v>110</v>
      </c>
      <c r="L96" s="84" t="s">
        <v>95</v>
      </c>
      <c r="M96" s="84" t="s">
        <v>128</v>
      </c>
      <c r="N96" s="84" t="s">
        <v>349</v>
      </c>
      <c r="O96" s="84" t="s">
        <v>172</v>
      </c>
      <c r="P96" s="84" t="s">
        <v>350</v>
      </c>
      <c r="Q96" s="84" t="s">
        <v>129</v>
      </c>
      <c r="R96" s="84" t="s">
        <v>351</v>
      </c>
      <c r="S96" s="84" t="s">
        <v>352</v>
      </c>
      <c r="T96" s="84" t="s">
        <v>353</v>
      </c>
      <c r="U96" s="84" t="s">
        <v>354</v>
      </c>
      <c r="V96" s="84" t="s">
        <v>355</v>
      </c>
      <c r="W96" s="84" t="s">
        <v>3</v>
      </c>
    </row>
    <row r="97" spans="1:23" x14ac:dyDescent="0.3">
      <c r="A97" s="3">
        <v>1</v>
      </c>
      <c r="B97" s="3" t="s">
        <v>279</v>
      </c>
      <c r="C97" s="14">
        <v>1</v>
      </c>
      <c r="D97" s="78">
        <v>140</v>
      </c>
      <c r="E97" s="78">
        <f t="shared" ref="E97:E108" si="4">IFERROR(C97*D97,0)</f>
        <v>140</v>
      </c>
      <c r="F97" s="15">
        <v>17</v>
      </c>
      <c r="G97" s="15">
        <v>8</v>
      </c>
      <c r="H97" s="15">
        <v>2</v>
      </c>
      <c r="I97" s="15">
        <v>15</v>
      </c>
      <c r="J97" s="15">
        <v>0.6</v>
      </c>
      <c r="K97" s="15">
        <v>1</v>
      </c>
      <c r="L97" s="3" t="s">
        <v>118</v>
      </c>
      <c r="M97" s="3" t="s">
        <v>356</v>
      </c>
      <c r="N97" s="3"/>
      <c r="O97" s="3"/>
      <c r="P97" s="3"/>
      <c r="Q97" s="3" t="s">
        <v>356</v>
      </c>
      <c r="R97" s="3" t="s">
        <v>356</v>
      </c>
      <c r="S97" s="3"/>
      <c r="T97" s="3"/>
      <c r="U97" s="3"/>
      <c r="V97" s="76">
        <f t="shared" ref="V97:V108" si="5">IF(UPPER(M97)="X",0.5,IF(UPPER(N97)="X",0.2,IF(UPPER(O97)="X",0.05,0)))</f>
        <v>0.5</v>
      </c>
      <c r="W97" s="3" t="s">
        <v>280</v>
      </c>
    </row>
    <row r="98" spans="1:23" x14ac:dyDescent="0.3">
      <c r="A98" s="3">
        <v>2</v>
      </c>
      <c r="B98" s="3" t="s">
        <v>281</v>
      </c>
      <c r="C98" s="14">
        <v>1</v>
      </c>
      <c r="D98" s="78">
        <v>140</v>
      </c>
      <c r="E98" s="78">
        <f t="shared" si="4"/>
        <v>140</v>
      </c>
      <c r="F98" s="15">
        <v>17</v>
      </c>
      <c r="G98" s="15">
        <v>-8</v>
      </c>
      <c r="H98" s="15">
        <v>2</v>
      </c>
      <c r="I98" s="15">
        <v>15</v>
      </c>
      <c r="J98" s="15">
        <v>0.6</v>
      </c>
      <c r="K98" s="15">
        <v>1</v>
      </c>
      <c r="L98" s="3" t="s">
        <v>118</v>
      </c>
      <c r="M98" s="3" t="s">
        <v>356</v>
      </c>
      <c r="N98" s="3"/>
      <c r="O98" s="3"/>
      <c r="P98" s="3"/>
      <c r="Q98" s="3" t="s">
        <v>356</v>
      </c>
      <c r="R98" s="3" t="s">
        <v>356</v>
      </c>
      <c r="S98" s="3"/>
      <c r="T98" s="3"/>
      <c r="U98" s="3"/>
      <c r="V98" s="76">
        <f t="shared" si="5"/>
        <v>0.5</v>
      </c>
      <c r="W98" s="3" t="s">
        <v>280</v>
      </c>
    </row>
    <row r="99" spans="1:23" x14ac:dyDescent="0.3">
      <c r="A99" s="3">
        <v>3</v>
      </c>
      <c r="B99" s="3" t="s">
        <v>282</v>
      </c>
      <c r="C99" s="14">
        <v>1</v>
      </c>
      <c r="D99" s="78">
        <v>75</v>
      </c>
      <c r="E99" s="78">
        <f t="shared" si="4"/>
        <v>75</v>
      </c>
      <c r="F99" s="15">
        <v>18.5</v>
      </c>
      <c r="G99" s="15">
        <v>8</v>
      </c>
      <c r="H99" s="15">
        <v>2</v>
      </c>
      <c r="I99" s="15">
        <v>15</v>
      </c>
      <c r="J99" s="15">
        <v>0.4</v>
      </c>
      <c r="K99" s="15">
        <v>0.8</v>
      </c>
      <c r="L99" s="3" t="s">
        <v>118</v>
      </c>
      <c r="M99" s="3" t="s">
        <v>356</v>
      </c>
      <c r="N99" s="3"/>
      <c r="O99" s="3"/>
      <c r="P99" s="3"/>
      <c r="Q99" s="3" t="s">
        <v>356</v>
      </c>
      <c r="R99" s="3" t="s">
        <v>356</v>
      </c>
      <c r="S99" s="3"/>
      <c r="T99" s="3"/>
      <c r="U99" s="3"/>
      <c r="V99" s="76">
        <f t="shared" si="5"/>
        <v>0.5</v>
      </c>
      <c r="W99" s="3"/>
    </row>
    <row r="100" spans="1:23" x14ac:dyDescent="0.3">
      <c r="A100" s="3">
        <v>4</v>
      </c>
      <c r="B100" s="3" t="s">
        <v>283</v>
      </c>
      <c r="C100" s="14">
        <v>1</v>
      </c>
      <c r="D100" s="78">
        <v>75</v>
      </c>
      <c r="E100" s="78">
        <f t="shared" si="4"/>
        <v>75</v>
      </c>
      <c r="F100" s="15">
        <v>18.5</v>
      </c>
      <c r="G100" s="15">
        <v>-8</v>
      </c>
      <c r="H100" s="15">
        <v>2</v>
      </c>
      <c r="I100" s="15">
        <v>15</v>
      </c>
      <c r="J100" s="15">
        <v>0.4</v>
      </c>
      <c r="K100" s="15">
        <v>0.8</v>
      </c>
      <c r="L100" s="3" t="s">
        <v>118</v>
      </c>
      <c r="M100" s="3" t="s">
        <v>356</v>
      </c>
      <c r="N100" s="3"/>
      <c r="O100" s="3"/>
      <c r="P100" s="3"/>
      <c r="Q100" s="3" t="s">
        <v>356</v>
      </c>
      <c r="R100" s="3" t="s">
        <v>356</v>
      </c>
      <c r="S100" s="3"/>
      <c r="T100" s="3"/>
      <c r="U100" s="3"/>
      <c r="V100" s="76">
        <f t="shared" si="5"/>
        <v>0.5</v>
      </c>
      <c r="W100" s="3"/>
    </row>
    <row r="101" spans="1:23" x14ac:dyDescent="0.3">
      <c r="A101" s="3">
        <v>5</v>
      </c>
      <c r="B101" s="3" t="s">
        <v>284</v>
      </c>
      <c r="C101" s="14">
        <v>14</v>
      </c>
      <c r="D101" s="78">
        <v>5</v>
      </c>
      <c r="E101" s="78">
        <f t="shared" si="4"/>
        <v>70</v>
      </c>
      <c r="F101" s="15">
        <v>17</v>
      </c>
      <c r="G101" s="15">
        <v>8</v>
      </c>
      <c r="H101" s="15">
        <v>2</v>
      </c>
      <c r="I101" s="15">
        <v>0.3</v>
      </c>
      <c r="J101" s="15">
        <v>5</v>
      </c>
      <c r="K101" s="15">
        <v>1</v>
      </c>
      <c r="L101" s="3" t="s">
        <v>118</v>
      </c>
      <c r="M101" s="3" t="s">
        <v>356</v>
      </c>
      <c r="N101" s="3"/>
      <c r="O101" s="3"/>
      <c r="P101" s="3"/>
      <c r="Q101" s="3" t="s">
        <v>356</v>
      </c>
      <c r="R101" s="3" t="s">
        <v>356</v>
      </c>
      <c r="S101" s="3"/>
      <c r="T101" s="3"/>
      <c r="U101" s="3"/>
      <c r="V101" s="76">
        <f t="shared" si="5"/>
        <v>0.5</v>
      </c>
      <c r="W101" s="3"/>
    </row>
    <row r="102" spans="1:23" x14ac:dyDescent="0.3">
      <c r="A102" s="3">
        <v>6</v>
      </c>
      <c r="B102" s="3" t="s">
        <v>285</v>
      </c>
      <c r="C102" s="14">
        <v>14</v>
      </c>
      <c r="D102" s="78">
        <v>5</v>
      </c>
      <c r="E102" s="78">
        <f t="shared" si="4"/>
        <v>70</v>
      </c>
      <c r="F102" s="15">
        <v>17</v>
      </c>
      <c r="G102" s="15">
        <v>-8</v>
      </c>
      <c r="H102" s="15">
        <v>2</v>
      </c>
      <c r="I102" s="15">
        <v>0.3</v>
      </c>
      <c r="J102" s="15">
        <v>5</v>
      </c>
      <c r="K102" s="15">
        <v>1</v>
      </c>
      <c r="L102" s="3" t="s">
        <v>118</v>
      </c>
      <c r="M102" s="3" t="s">
        <v>356</v>
      </c>
      <c r="N102" s="3"/>
      <c r="O102" s="3"/>
      <c r="P102" s="3"/>
      <c r="Q102" s="3" t="s">
        <v>356</v>
      </c>
      <c r="R102" s="3" t="s">
        <v>356</v>
      </c>
      <c r="S102" s="3"/>
      <c r="T102" s="3"/>
      <c r="U102" s="3"/>
      <c r="V102" s="76">
        <f t="shared" si="5"/>
        <v>0.5</v>
      </c>
      <c r="W102" s="3"/>
    </row>
    <row r="103" spans="1:23" x14ac:dyDescent="0.3">
      <c r="A103" s="3">
        <v>7</v>
      </c>
      <c r="B103" s="3" t="s">
        <v>286</v>
      </c>
      <c r="C103" s="14">
        <v>1</v>
      </c>
      <c r="D103" s="78">
        <v>180</v>
      </c>
      <c r="E103" s="78">
        <f t="shared" si="4"/>
        <v>180</v>
      </c>
      <c r="F103" s="15">
        <v>17</v>
      </c>
      <c r="G103" s="15">
        <v>8</v>
      </c>
      <c r="H103" s="15">
        <v>2</v>
      </c>
      <c r="I103" s="15">
        <v>18</v>
      </c>
      <c r="J103" s="15">
        <v>5</v>
      </c>
      <c r="K103" s="15">
        <v>0.05</v>
      </c>
      <c r="L103" s="3" t="s">
        <v>118</v>
      </c>
      <c r="M103" s="3" t="s">
        <v>356</v>
      </c>
      <c r="N103" s="3"/>
      <c r="O103" s="3"/>
      <c r="P103" s="3"/>
      <c r="Q103" s="3" t="s">
        <v>356</v>
      </c>
      <c r="R103" s="3" t="s">
        <v>356</v>
      </c>
      <c r="S103" s="3"/>
      <c r="T103" s="3"/>
      <c r="U103" s="3"/>
      <c r="V103" s="76">
        <f t="shared" si="5"/>
        <v>0.5</v>
      </c>
      <c r="W103" s="3"/>
    </row>
    <row r="104" spans="1:23" x14ac:dyDescent="0.3">
      <c r="A104" s="3">
        <v>8</v>
      </c>
      <c r="B104" s="3" t="s">
        <v>287</v>
      </c>
      <c r="C104" s="14">
        <v>1</v>
      </c>
      <c r="D104" s="78">
        <v>180</v>
      </c>
      <c r="E104" s="78">
        <f t="shared" si="4"/>
        <v>180</v>
      </c>
      <c r="F104" s="15">
        <v>17</v>
      </c>
      <c r="G104" s="15">
        <v>-8</v>
      </c>
      <c r="H104" s="15">
        <v>2</v>
      </c>
      <c r="I104" s="15">
        <v>18</v>
      </c>
      <c r="J104" s="15">
        <v>5</v>
      </c>
      <c r="K104" s="15">
        <v>0.05</v>
      </c>
      <c r="L104" s="3" t="s">
        <v>118</v>
      </c>
      <c r="M104" s="3" t="s">
        <v>356</v>
      </c>
      <c r="N104" s="3"/>
      <c r="O104" s="3"/>
      <c r="P104" s="3"/>
      <c r="Q104" s="3" t="s">
        <v>356</v>
      </c>
      <c r="R104" s="3" t="s">
        <v>356</v>
      </c>
      <c r="S104" s="3"/>
      <c r="T104" s="3"/>
      <c r="U104" s="3"/>
      <c r="V104" s="76">
        <f t="shared" si="5"/>
        <v>0.5</v>
      </c>
      <c r="W104" s="3"/>
    </row>
    <row r="105" spans="1:23" x14ac:dyDescent="0.3">
      <c r="A105" s="3">
        <v>9</v>
      </c>
      <c r="B105" s="3" t="s">
        <v>288</v>
      </c>
      <c r="C105" s="14">
        <v>2</v>
      </c>
      <c r="D105" s="78">
        <v>22</v>
      </c>
      <c r="E105" s="78">
        <f t="shared" si="4"/>
        <v>44</v>
      </c>
      <c r="F105" s="15">
        <v>18</v>
      </c>
      <c r="G105" s="15">
        <v>12</v>
      </c>
      <c r="H105" s="15">
        <v>2</v>
      </c>
      <c r="I105" s="15">
        <v>4</v>
      </c>
      <c r="J105" s="15">
        <v>1.2</v>
      </c>
      <c r="K105" s="15">
        <v>0.3</v>
      </c>
      <c r="L105" s="3" t="s">
        <v>118</v>
      </c>
      <c r="M105" s="3" t="s">
        <v>356</v>
      </c>
      <c r="N105" s="3"/>
      <c r="O105" s="3"/>
      <c r="P105" s="3"/>
      <c r="Q105" s="3" t="s">
        <v>356</v>
      </c>
      <c r="R105" s="3" t="s">
        <v>356</v>
      </c>
      <c r="S105" s="3"/>
      <c r="T105" s="3"/>
      <c r="U105" s="3"/>
      <c r="V105" s="76">
        <f t="shared" si="5"/>
        <v>0.5</v>
      </c>
      <c r="W105" s="3"/>
    </row>
    <row r="106" spans="1:23" x14ac:dyDescent="0.3">
      <c r="A106" s="3">
        <v>10</v>
      </c>
      <c r="B106" s="3" t="s">
        <v>289</v>
      </c>
      <c r="C106" s="14">
        <v>2</v>
      </c>
      <c r="D106" s="78">
        <v>38</v>
      </c>
      <c r="E106" s="78">
        <f t="shared" si="4"/>
        <v>76</v>
      </c>
      <c r="F106" s="15">
        <v>17.5</v>
      </c>
      <c r="G106" s="15">
        <v>6</v>
      </c>
      <c r="H106" s="15">
        <v>2</v>
      </c>
      <c r="I106" s="15">
        <v>5</v>
      </c>
      <c r="J106" s="15">
        <v>1.5</v>
      </c>
      <c r="K106" s="15">
        <v>0.3</v>
      </c>
      <c r="L106" s="3" t="s">
        <v>118</v>
      </c>
      <c r="M106" s="3" t="s">
        <v>356</v>
      </c>
      <c r="N106" s="3"/>
      <c r="O106" s="3"/>
      <c r="P106" s="3"/>
      <c r="Q106" s="3" t="s">
        <v>356</v>
      </c>
      <c r="R106" s="3" t="s">
        <v>356</v>
      </c>
      <c r="S106" s="3"/>
      <c r="T106" s="3"/>
      <c r="U106" s="3"/>
      <c r="V106" s="76">
        <f t="shared" si="5"/>
        <v>0.5</v>
      </c>
      <c r="W106" s="3"/>
    </row>
    <row r="107" spans="1:23" x14ac:dyDescent="0.3">
      <c r="A107" s="3">
        <v>11</v>
      </c>
      <c r="B107" s="3" t="s">
        <v>290</v>
      </c>
      <c r="C107" s="14">
        <v>4</v>
      </c>
      <c r="D107" s="78">
        <v>18</v>
      </c>
      <c r="E107" s="78">
        <f t="shared" si="4"/>
        <v>72</v>
      </c>
      <c r="F107" s="15">
        <v>17</v>
      </c>
      <c r="G107" s="15">
        <v>2</v>
      </c>
      <c r="H107" s="15">
        <v>1.5</v>
      </c>
      <c r="I107" s="15">
        <v>0.6</v>
      </c>
      <c r="J107" s="15">
        <v>0.6</v>
      </c>
      <c r="K107" s="15">
        <v>0.6</v>
      </c>
      <c r="L107" s="3" t="s">
        <v>118</v>
      </c>
      <c r="M107" s="3" t="s">
        <v>356</v>
      </c>
      <c r="N107" s="3"/>
      <c r="O107" s="3"/>
      <c r="P107" s="3"/>
      <c r="Q107" s="3" t="s">
        <v>356</v>
      </c>
      <c r="R107" s="3" t="s">
        <v>356</v>
      </c>
      <c r="S107" s="3"/>
      <c r="T107" s="3"/>
      <c r="U107" s="3"/>
      <c r="V107" s="76">
        <f t="shared" si="5"/>
        <v>0.5</v>
      </c>
      <c r="W107" s="3"/>
    </row>
    <row r="108" spans="1:23" x14ac:dyDescent="0.3">
      <c r="A108" s="3">
        <v>12</v>
      </c>
      <c r="B108" s="3" t="s">
        <v>291</v>
      </c>
      <c r="C108" s="14">
        <v>2</v>
      </c>
      <c r="D108" s="78">
        <v>18</v>
      </c>
      <c r="E108" s="78">
        <f t="shared" si="4"/>
        <v>36</v>
      </c>
      <c r="F108" s="15">
        <v>17</v>
      </c>
      <c r="G108" s="15">
        <v>14</v>
      </c>
      <c r="H108" s="15">
        <v>3</v>
      </c>
      <c r="I108" s="15">
        <v>3</v>
      </c>
      <c r="J108" s="15">
        <v>0.8</v>
      </c>
      <c r="K108" s="15">
        <v>2</v>
      </c>
      <c r="L108" s="3" t="s">
        <v>118</v>
      </c>
      <c r="M108" s="3" t="s">
        <v>356</v>
      </c>
      <c r="N108" s="3"/>
      <c r="O108" s="3"/>
      <c r="P108" s="3"/>
      <c r="Q108" s="3" t="s">
        <v>356</v>
      </c>
      <c r="R108" s="3" t="s">
        <v>356</v>
      </c>
      <c r="S108" s="3"/>
      <c r="T108" s="3"/>
      <c r="U108" s="3"/>
      <c r="V108" s="76">
        <f t="shared" si="5"/>
        <v>0.5</v>
      </c>
      <c r="W108" s="3"/>
    </row>
    <row r="114" spans="1:23" ht="15" thickBot="1" x14ac:dyDescent="0.35">
      <c r="A114" s="26"/>
      <c r="B114" s="26" t="s">
        <v>417</v>
      </c>
      <c r="C114" s="26"/>
      <c r="D114" s="26"/>
      <c r="E114" s="87">
        <f>SUM(E97:E108)</f>
        <v>1158</v>
      </c>
      <c r="F114" s="28">
        <f>IFERROR(SUMPRODUCT(E97:E108,F97:F108)/E114,0)</f>
        <v>17.26511226252159</v>
      </c>
      <c r="G114" s="28">
        <f>IFERROR(SUMPRODUCT(E97:E108,G97:G108)/E114,0)</f>
        <v>1.4093264248704662</v>
      </c>
      <c r="H114" s="28">
        <f>IFERROR(SUMPRODUCT(E97:E108,H97:H108)/E114,0)</f>
        <v>2</v>
      </c>
      <c r="I114" s="87">
        <f>SUMPRODUCT(E97:E108,V97:V108)</f>
        <v>579</v>
      </c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</row>
    <row r="115" spans="1:23" ht="15" thickTop="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</row>
    <row r="116" spans="1:23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</row>
    <row r="117" spans="1:23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</row>
    <row r="118" spans="1:23" ht="15" thickBot="1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</row>
    <row r="119" spans="1:23" ht="16.2" thickTop="1" x14ac:dyDescent="0.3">
      <c r="A119" s="90" t="s">
        <v>418</v>
      </c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</row>
    <row r="120" spans="1:23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</row>
    <row r="121" spans="1:23" x14ac:dyDescent="0.3">
      <c r="A121" s="83"/>
      <c r="B121" s="18" t="s">
        <v>464</v>
      </c>
      <c r="C121" s="18"/>
      <c r="D121" s="18" t="s">
        <v>329</v>
      </c>
      <c r="E121" s="18" t="s">
        <v>92</v>
      </c>
      <c r="F121" s="18" t="s">
        <v>93</v>
      </c>
      <c r="G121" s="18" t="s">
        <v>94</v>
      </c>
      <c r="H121" s="18" t="s">
        <v>84</v>
      </c>
      <c r="I121" s="18" t="s">
        <v>85</v>
      </c>
      <c r="J121" s="83"/>
      <c r="K121" s="83"/>
      <c r="L121" s="83"/>
      <c r="M121" s="83"/>
      <c r="N121" s="83"/>
      <c r="O121" s="83"/>
      <c r="P121" s="83"/>
      <c r="Q121" s="83"/>
      <c r="R121" s="83"/>
      <c r="S121" s="83"/>
      <c r="T121" s="83"/>
      <c r="U121" s="83"/>
      <c r="V121" s="83"/>
      <c r="W121" s="83"/>
    </row>
    <row r="122" spans="1:23" x14ac:dyDescent="0.3">
      <c r="A122" s="43"/>
      <c r="B122" s="43"/>
      <c r="C122" s="43"/>
      <c r="D122" s="85">
        <f>E134</f>
        <v>970</v>
      </c>
      <c r="E122" s="86">
        <f>F134</f>
        <v>16.020618556701031</v>
      </c>
      <c r="F122" s="86">
        <f>G134</f>
        <v>4.0206185567010309</v>
      </c>
      <c r="G122" s="86">
        <f>H134</f>
        <v>0.52319587628865982</v>
      </c>
      <c r="H122" s="85">
        <f>I134</f>
        <v>485</v>
      </c>
      <c r="I122" s="85">
        <f>I134</f>
        <v>485</v>
      </c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</row>
    <row r="123" spans="1:23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92" t="s">
        <v>111</v>
      </c>
      <c r="N123" s="92"/>
      <c r="O123" s="92"/>
      <c r="P123" s="92" t="s">
        <v>471</v>
      </c>
      <c r="Q123" s="92"/>
      <c r="R123" s="92" t="s">
        <v>112</v>
      </c>
      <c r="S123" s="92"/>
      <c r="T123" s="92"/>
      <c r="U123" s="92"/>
      <c r="V123" s="3"/>
      <c r="W123" s="3"/>
    </row>
    <row r="124" spans="1:23" x14ac:dyDescent="0.3">
      <c r="A124" s="84" t="s">
        <v>106</v>
      </c>
      <c r="B124" s="84" t="s">
        <v>107</v>
      </c>
      <c r="C124" s="84" t="s">
        <v>2</v>
      </c>
      <c r="D124" s="84" t="s">
        <v>72</v>
      </c>
      <c r="E124" s="84" t="s">
        <v>73</v>
      </c>
      <c r="F124" s="84" t="s">
        <v>92</v>
      </c>
      <c r="G124" s="84" t="s">
        <v>93</v>
      </c>
      <c r="H124" s="84" t="s">
        <v>94</v>
      </c>
      <c r="I124" s="84" t="s">
        <v>108</v>
      </c>
      <c r="J124" s="84" t="s">
        <v>109</v>
      </c>
      <c r="K124" s="84" t="s">
        <v>110</v>
      </c>
      <c r="L124" s="84" t="s">
        <v>95</v>
      </c>
      <c r="M124" s="84" t="s">
        <v>128</v>
      </c>
      <c r="N124" s="84" t="s">
        <v>349</v>
      </c>
      <c r="O124" s="84" t="s">
        <v>172</v>
      </c>
      <c r="P124" s="84" t="s">
        <v>350</v>
      </c>
      <c r="Q124" s="84" t="s">
        <v>129</v>
      </c>
      <c r="R124" s="84" t="s">
        <v>351</v>
      </c>
      <c r="S124" s="84" t="s">
        <v>352</v>
      </c>
      <c r="T124" s="84" t="s">
        <v>353</v>
      </c>
      <c r="U124" s="84" t="s">
        <v>354</v>
      </c>
      <c r="V124" s="84" t="s">
        <v>355</v>
      </c>
      <c r="W124" s="84" t="s">
        <v>3</v>
      </c>
    </row>
    <row r="125" spans="1:23" x14ac:dyDescent="0.3">
      <c r="A125" s="3">
        <v>1</v>
      </c>
      <c r="B125" s="3" t="s">
        <v>208</v>
      </c>
      <c r="C125" s="14">
        <v>1</v>
      </c>
      <c r="D125" s="78">
        <v>145</v>
      </c>
      <c r="E125" s="78">
        <f>IFERROR(C125*D125,0)</f>
        <v>145</v>
      </c>
      <c r="F125" s="15">
        <v>6</v>
      </c>
      <c r="G125" s="15">
        <v>0</v>
      </c>
      <c r="H125" s="15">
        <v>0.5</v>
      </c>
      <c r="I125" s="15">
        <v>4</v>
      </c>
      <c r="J125" s="15">
        <v>1</v>
      </c>
      <c r="K125" s="15">
        <v>3</v>
      </c>
      <c r="L125" s="3" t="s">
        <v>15</v>
      </c>
      <c r="M125" s="3" t="s">
        <v>356</v>
      </c>
      <c r="N125" s="3"/>
      <c r="O125" s="3"/>
      <c r="P125" s="3"/>
      <c r="Q125" s="3" t="s">
        <v>356</v>
      </c>
      <c r="R125" s="3" t="s">
        <v>356</v>
      </c>
      <c r="S125" s="3"/>
      <c r="T125" s="3"/>
      <c r="U125" s="3"/>
      <c r="V125" s="76">
        <f>IF(UPPER(M125)="X",0.5,IF(UPPER(N125)="X",0.2,IF(UPPER(O125)="X",0.05,0)))</f>
        <v>0.5</v>
      </c>
      <c r="W125" s="3" t="s">
        <v>209</v>
      </c>
    </row>
    <row r="126" spans="1:23" x14ac:dyDescent="0.3">
      <c r="A126" s="3">
        <v>2</v>
      </c>
      <c r="B126" s="3" t="s">
        <v>210</v>
      </c>
      <c r="C126" s="14">
        <v>2</v>
      </c>
      <c r="D126" s="78">
        <v>320</v>
      </c>
      <c r="E126" s="78">
        <f>IFERROR(C126*D126,0)</f>
        <v>640</v>
      </c>
      <c r="F126" s="15">
        <v>18</v>
      </c>
      <c r="G126" s="15">
        <v>5</v>
      </c>
      <c r="H126" s="15">
        <v>0.5</v>
      </c>
      <c r="I126" s="15">
        <v>5</v>
      </c>
      <c r="J126" s="15">
        <v>1.5</v>
      </c>
      <c r="K126" s="15">
        <v>3.5</v>
      </c>
      <c r="L126" s="3" t="s">
        <v>15</v>
      </c>
      <c r="M126" s="3" t="s">
        <v>356</v>
      </c>
      <c r="N126" s="3"/>
      <c r="O126" s="3"/>
      <c r="P126" s="3"/>
      <c r="Q126" s="3" t="s">
        <v>356</v>
      </c>
      <c r="R126" s="3" t="s">
        <v>356</v>
      </c>
      <c r="S126" s="3"/>
      <c r="T126" s="3"/>
      <c r="U126" s="3"/>
      <c r="V126" s="76">
        <f>IF(UPPER(M126)="X",0.5,IF(UPPER(N126)="X",0.2,IF(UPPER(O126)="X",0.05,0)))</f>
        <v>0.5</v>
      </c>
      <c r="W126" s="3" t="s">
        <v>211</v>
      </c>
    </row>
    <row r="127" spans="1:23" x14ac:dyDescent="0.3">
      <c r="A127" s="3">
        <v>3</v>
      </c>
      <c r="B127" s="3" t="s">
        <v>212</v>
      </c>
      <c r="C127" s="14">
        <v>4</v>
      </c>
      <c r="D127" s="78">
        <v>35</v>
      </c>
      <c r="E127" s="78">
        <f>IFERROR(C127*D127,0)</f>
        <v>140</v>
      </c>
      <c r="F127" s="15">
        <v>18</v>
      </c>
      <c r="G127" s="15">
        <v>5</v>
      </c>
      <c r="H127" s="15">
        <v>0.5</v>
      </c>
      <c r="I127" s="15">
        <v>1.5</v>
      </c>
      <c r="J127" s="15">
        <v>1.5</v>
      </c>
      <c r="K127" s="15">
        <v>1.5</v>
      </c>
      <c r="L127" s="3" t="s">
        <v>15</v>
      </c>
      <c r="M127" s="3" t="s">
        <v>356</v>
      </c>
      <c r="N127" s="3"/>
      <c r="O127" s="3"/>
      <c r="P127" s="3"/>
      <c r="Q127" s="3" t="s">
        <v>356</v>
      </c>
      <c r="R127" s="3" t="s">
        <v>356</v>
      </c>
      <c r="S127" s="3"/>
      <c r="T127" s="3"/>
      <c r="U127" s="3"/>
      <c r="V127" s="76">
        <f>IF(UPPER(M127)="X",0.5,IF(UPPER(N127)="X",0.2,IF(UPPER(O127)="X",0.05,0)))</f>
        <v>0.5</v>
      </c>
      <c r="W127" s="3" t="s">
        <v>213</v>
      </c>
    </row>
    <row r="128" spans="1:23" x14ac:dyDescent="0.3">
      <c r="A128" s="3">
        <v>4</v>
      </c>
      <c r="B128" s="3" t="s">
        <v>214</v>
      </c>
      <c r="C128" s="14">
        <v>1</v>
      </c>
      <c r="D128" s="78">
        <v>45</v>
      </c>
      <c r="E128" s="78">
        <f>IFERROR(C128*D128,0)</f>
        <v>45</v>
      </c>
      <c r="F128" s="15">
        <v>14</v>
      </c>
      <c r="G128" s="15">
        <v>0</v>
      </c>
      <c r="H128" s="15">
        <v>1</v>
      </c>
      <c r="I128" s="15">
        <v>6</v>
      </c>
      <c r="J128" s="15">
        <v>4</v>
      </c>
      <c r="K128" s="15">
        <v>1</v>
      </c>
      <c r="L128" s="3" t="s">
        <v>15</v>
      </c>
      <c r="M128" s="3" t="s">
        <v>356</v>
      </c>
      <c r="N128" s="3"/>
      <c r="O128" s="3"/>
      <c r="P128" s="3"/>
      <c r="Q128" s="3" t="s">
        <v>356</v>
      </c>
      <c r="R128" s="3" t="s">
        <v>356</v>
      </c>
      <c r="S128" s="3"/>
      <c r="T128" s="3"/>
      <c r="U128" s="3"/>
      <c r="V128" s="76">
        <f>IF(UPPER(M128)="X",0.5,IF(UPPER(N128)="X",0.2,IF(UPPER(O128)="X",0.05,0)))</f>
        <v>0.5</v>
      </c>
      <c r="W128" s="3" t="s">
        <v>215</v>
      </c>
    </row>
    <row r="134" spans="1:23" ht="15" thickBot="1" x14ac:dyDescent="0.35">
      <c r="A134" s="26"/>
      <c r="B134" s="26" t="s">
        <v>419</v>
      </c>
      <c r="C134" s="26"/>
      <c r="D134" s="26"/>
      <c r="E134" s="87">
        <f>SUM(E125:E128)</f>
        <v>970</v>
      </c>
      <c r="F134" s="28">
        <f>IFERROR(SUMPRODUCT(E125:E128,F125:F128)/E134,0)</f>
        <v>16.020618556701031</v>
      </c>
      <c r="G134" s="28">
        <f>IFERROR(SUMPRODUCT(E125:E128,G125:G128)/E134,0)</f>
        <v>4.0206185567010309</v>
      </c>
      <c r="H134" s="28">
        <f>IFERROR(SUMPRODUCT(E125:E128,H125:H128)/E134,0)</f>
        <v>0.52319587628865982</v>
      </c>
      <c r="I134" s="87">
        <f>SUMPRODUCT(E125:E128,V125:V128)</f>
        <v>485</v>
      </c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</row>
    <row r="135" spans="1:23" ht="15" thickTop="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</row>
  </sheetData>
  <mergeCells count="25">
    <mergeCell ref="M95:O95"/>
    <mergeCell ref="P95:Q95"/>
    <mergeCell ref="R95:U95"/>
    <mergeCell ref="M123:O123"/>
    <mergeCell ref="P123:Q123"/>
    <mergeCell ref="R123:U123"/>
    <mergeCell ref="A119:W119"/>
    <mergeCell ref="M53:O53"/>
    <mergeCell ref="P53:Q53"/>
    <mergeCell ref="R53:U53"/>
    <mergeCell ref="A1:W1"/>
    <mergeCell ref="A3:W3"/>
    <mergeCell ref="A22:W22"/>
    <mergeCell ref="A49:W49"/>
    <mergeCell ref="M7:O7"/>
    <mergeCell ref="P7:Q7"/>
    <mergeCell ref="R7:U7"/>
    <mergeCell ref="M26:O26"/>
    <mergeCell ref="P26:Q26"/>
    <mergeCell ref="R26:U26"/>
    <mergeCell ref="A72:W72"/>
    <mergeCell ref="A91:W91"/>
    <mergeCell ref="M76:O76"/>
    <mergeCell ref="P76:Q76"/>
    <mergeCell ref="R76:U7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BAA0-8BC9-4466-907E-E432C398F468}">
  <sheetPr codeName="Sheet47"/>
  <dimension ref="A1:W160"/>
  <sheetViews>
    <sheetView topLeftCell="B1" zoomScale="57" workbookViewId="0">
      <selection activeCell="A23" sqref="A23:W23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1" width="13" customWidth="1"/>
    <col min="12" max="12" width="14.6640625" bestFit="1" customWidth="1"/>
    <col min="13" max="21" width="6.44140625" customWidth="1"/>
    <col min="22" max="22" width="10.21875" customWidth="1"/>
    <col min="23" max="23" width="46.33203125" customWidth="1"/>
  </cols>
  <sheetData>
    <row r="1" spans="1:23" ht="21" x14ac:dyDescent="0.4">
      <c r="A1" s="88" t="s">
        <v>420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23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t="16.2" thickTop="1" x14ac:dyDescent="0.3">
      <c r="A3" s="90" t="s">
        <v>421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</row>
    <row r="4" spans="1:23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x14ac:dyDescent="0.3">
      <c r="A5" s="83"/>
      <c r="B5" s="18" t="s">
        <v>464</v>
      </c>
      <c r="C5" s="18"/>
      <c r="D5" s="18" t="s">
        <v>329</v>
      </c>
      <c r="E5" s="18" t="s">
        <v>92</v>
      </c>
      <c r="F5" s="18" t="s">
        <v>93</v>
      </c>
      <c r="G5" s="18" t="s">
        <v>94</v>
      </c>
      <c r="H5" s="18" t="s">
        <v>84</v>
      </c>
      <c r="I5" s="18" t="s">
        <v>85</v>
      </c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x14ac:dyDescent="0.3">
      <c r="A6" s="43"/>
      <c r="B6" s="43"/>
      <c r="C6" s="43"/>
      <c r="D6" s="85">
        <f>E18</f>
        <v>78</v>
      </c>
      <c r="E6" s="86">
        <f>F18</f>
        <v>17.743589743589745</v>
      </c>
      <c r="F6" s="86">
        <f>G18</f>
        <v>0.42307692307692307</v>
      </c>
      <c r="G6" s="86">
        <f>H18</f>
        <v>2.5576923076923075</v>
      </c>
      <c r="H6" s="85">
        <f>I18</f>
        <v>39</v>
      </c>
      <c r="I6" s="85">
        <f>I18</f>
        <v>39</v>
      </c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</row>
    <row r="7" spans="1:23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92" t="s">
        <v>111</v>
      </c>
      <c r="N7" s="92"/>
      <c r="O7" s="92"/>
      <c r="P7" s="92" t="s">
        <v>471</v>
      </c>
      <c r="Q7" s="92"/>
      <c r="R7" s="92" t="s">
        <v>112</v>
      </c>
      <c r="S7" s="92"/>
      <c r="T7" s="92"/>
      <c r="U7" s="92"/>
      <c r="V7" s="3"/>
      <c r="W7" s="3"/>
    </row>
    <row r="8" spans="1:23" x14ac:dyDescent="0.3">
      <c r="A8" s="84" t="s">
        <v>106</v>
      </c>
      <c r="B8" s="84" t="s">
        <v>107</v>
      </c>
      <c r="C8" s="84" t="s">
        <v>2</v>
      </c>
      <c r="D8" s="84" t="s">
        <v>72</v>
      </c>
      <c r="E8" s="84" t="s">
        <v>73</v>
      </c>
      <c r="F8" s="84" t="s">
        <v>92</v>
      </c>
      <c r="G8" s="84" t="s">
        <v>93</v>
      </c>
      <c r="H8" s="84" t="s">
        <v>94</v>
      </c>
      <c r="I8" s="84" t="s">
        <v>108</v>
      </c>
      <c r="J8" s="84" t="s">
        <v>109</v>
      </c>
      <c r="K8" s="84" t="s">
        <v>110</v>
      </c>
      <c r="L8" s="84" t="s">
        <v>95</v>
      </c>
      <c r="M8" s="84" t="s">
        <v>128</v>
      </c>
      <c r="N8" s="84" t="s">
        <v>349</v>
      </c>
      <c r="O8" s="84" t="s">
        <v>172</v>
      </c>
      <c r="P8" s="84" t="s">
        <v>350</v>
      </c>
      <c r="Q8" s="84" t="s">
        <v>129</v>
      </c>
      <c r="R8" s="84" t="s">
        <v>351</v>
      </c>
      <c r="S8" s="84" t="s">
        <v>352</v>
      </c>
      <c r="T8" s="84" t="s">
        <v>353</v>
      </c>
      <c r="U8" s="84" t="s">
        <v>354</v>
      </c>
      <c r="V8" s="84" t="s">
        <v>355</v>
      </c>
      <c r="W8" s="84" t="s">
        <v>3</v>
      </c>
    </row>
    <row r="9" spans="1:23" x14ac:dyDescent="0.3">
      <c r="A9" s="3">
        <v>1</v>
      </c>
      <c r="B9" s="3" t="s">
        <v>127</v>
      </c>
      <c r="C9" s="14">
        <v>2</v>
      </c>
      <c r="D9" s="78">
        <v>8</v>
      </c>
      <c r="E9" s="78">
        <f>IFERROR(C9*D9,0)</f>
        <v>16</v>
      </c>
      <c r="F9" s="15">
        <v>15</v>
      </c>
      <c r="G9" s="15">
        <v>0</v>
      </c>
      <c r="H9" s="15">
        <v>3</v>
      </c>
      <c r="I9" s="15">
        <v>1</v>
      </c>
      <c r="J9" s="15">
        <v>1</v>
      </c>
      <c r="K9" s="15">
        <v>0.8</v>
      </c>
      <c r="L9" s="3" t="s">
        <v>105</v>
      </c>
      <c r="M9" s="3" t="s">
        <v>356</v>
      </c>
      <c r="N9" s="3"/>
      <c r="O9" s="3"/>
      <c r="P9" s="3"/>
      <c r="Q9" s="3" t="s">
        <v>356</v>
      </c>
      <c r="R9" s="3" t="s">
        <v>356</v>
      </c>
      <c r="S9" s="3"/>
      <c r="T9" s="3"/>
      <c r="U9" s="3"/>
      <c r="V9" s="76">
        <f>IF(UPPER(M9)="X",0.5,IF(UPPER(N9)="X",0.2,IF(UPPER(O9)="X",0.05,0)))</f>
        <v>0.5</v>
      </c>
      <c r="W9" s="3" t="s">
        <v>130</v>
      </c>
    </row>
    <row r="10" spans="1:23" x14ac:dyDescent="0.3">
      <c r="A10" s="3">
        <v>2</v>
      </c>
      <c r="B10" s="3" t="s">
        <v>131</v>
      </c>
      <c r="C10" s="14">
        <v>1</v>
      </c>
      <c r="D10" s="78">
        <v>5</v>
      </c>
      <c r="E10" s="78">
        <f>IFERROR(C10*D10,0)</f>
        <v>5</v>
      </c>
      <c r="F10" s="15">
        <v>6</v>
      </c>
      <c r="G10" s="15">
        <v>0</v>
      </c>
      <c r="H10" s="15">
        <v>4</v>
      </c>
      <c r="I10" s="15">
        <v>0.8</v>
      </c>
      <c r="J10" s="15">
        <v>0.5</v>
      </c>
      <c r="K10" s="15">
        <v>0.3</v>
      </c>
      <c r="L10" s="3" t="s">
        <v>105</v>
      </c>
      <c r="M10" s="3" t="s">
        <v>356</v>
      </c>
      <c r="N10" s="3"/>
      <c r="O10" s="3"/>
      <c r="P10" s="3"/>
      <c r="Q10" s="3" t="s">
        <v>356</v>
      </c>
      <c r="R10" s="3" t="s">
        <v>356</v>
      </c>
      <c r="S10" s="3"/>
      <c r="T10" s="3"/>
      <c r="U10" s="3"/>
      <c r="V10" s="76">
        <f>IF(UPPER(M10)="X",0.5,IF(UPPER(N10)="X",0.2,IF(UPPER(O10)="X",0.05,0)))</f>
        <v>0.5</v>
      </c>
      <c r="W10" s="3"/>
    </row>
    <row r="11" spans="1:23" x14ac:dyDescent="0.3">
      <c r="A11" s="3">
        <v>3</v>
      </c>
      <c r="B11" s="3" t="s">
        <v>132</v>
      </c>
      <c r="C11" s="14">
        <v>1</v>
      </c>
      <c r="D11" s="78">
        <v>35</v>
      </c>
      <c r="E11" s="78">
        <f>IFERROR(C11*D11,0)</f>
        <v>35</v>
      </c>
      <c r="F11" s="15">
        <v>18</v>
      </c>
      <c r="G11" s="15">
        <v>0</v>
      </c>
      <c r="H11" s="15">
        <v>2.5</v>
      </c>
      <c r="I11" s="15">
        <v>30</v>
      </c>
      <c r="J11" s="15">
        <v>0.3</v>
      </c>
      <c r="K11" s="15">
        <v>0.3</v>
      </c>
      <c r="L11" s="3" t="s">
        <v>105</v>
      </c>
      <c r="M11" s="3" t="s">
        <v>356</v>
      </c>
      <c r="N11" s="3"/>
      <c r="O11" s="3"/>
      <c r="P11" s="3"/>
      <c r="Q11" s="3" t="s">
        <v>356</v>
      </c>
      <c r="R11" s="3" t="s">
        <v>356</v>
      </c>
      <c r="S11" s="3"/>
      <c r="T11" s="3"/>
      <c r="U11" s="3"/>
      <c r="V11" s="76">
        <f>IF(UPPER(M11)="X",0.5,IF(UPPER(N11)="X",0.2,IF(UPPER(O11)="X",0.05,0)))</f>
        <v>0.5</v>
      </c>
      <c r="W11" s="3" t="s">
        <v>133</v>
      </c>
    </row>
    <row r="12" spans="1:23" x14ac:dyDescent="0.3">
      <c r="A12" s="3">
        <v>4</v>
      </c>
      <c r="B12" s="3" t="s">
        <v>134</v>
      </c>
      <c r="C12" s="14">
        <v>1</v>
      </c>
      <c r="D12" s="78">
        <v>22</v>
      </c>
      <c r="E12" s="78">
        <f>IFERROR(C12*D12,0)</f>
        <v>22</v>
      </c>
      <c r="F12" s="15">
        <v>22</v>
      </c>
      <c r="G12" s="15">
        <v>1.5</v>
      </c>
      <c r="H12" s="15">
        <v>2</v>
      </c>
      <c r="I12" s="15">
        <v>1.5</v>
      </c>
      <c r="J12" s="15">
        <v>1</v>
      </c>
      <c r="K12" s="15">
        <v>0.8</v>
      </c>
      <c r="L12" s="3" t="s">
        <v>105</v>
      </c>
      <c r="M12" s="3" t="s">
        <v>356</v>
      </c>
      <c r="N12" s="3"/>
      <c r="O12" s="3"/>
      <c r="P12" s="3"/>
      <c r="Q12" s="3" t="s">
        <v>356</v>
      </c>
      <c r="R12" s="3" t="s">
        <v>356</v>
      </c>
      <c r="S12" s="3"/>
      <c r="T12" s="3"/>
      <c r="U12" s="3"/>
      <c r="V12" s="76">
        <f>IF(UPPER(M12)="X",0.5,IF(UPPER(N12)="X",0.2,IF(UPPER(O12)="X",0.05,0)))</f>
        <v>0.5</v>
      </c>
      <c r="W12" s="3"/>
    </row>
    <row r="18" spans="1:23" ht="15" thickBot="1" x14ac:dyDescent="0.35">
      <c r="A18" s="26"/>
      <c r="B18" s="26" t="s">
        <v>422</v>
      </c>
      <c r="C18" s="26"/>
      <c r="D18" s="26"/>
      <c r="E18" s="87">
        <f>SUM(E9:E12)</f>
        <v>78</v>
      </c>
      <c r="F18" s="28">
        <f>IFERROR(SUMPRODUCT(E9:E12,F9:F12)/E18,0)</f>
        <v>17.743589743589745</v>
      </c>
      <c r="G18" s="28">
        <f>IFERROR(SUMPRODUCT(E9:E12,G9:G12)/E18,0)</f>
        <v>0.42307692307692307</v>
      </c>
      <c r="H18" s="28">
        <f>IFERROR(SUMPRODUCT(E9:E12,H9:H12)/E18,0)</f>
        <v>2.5576923076923075</v>
      </c>
      <c r="I18" s="87">
        <f>SUMPRODUCT(E9:E12,V9:V12)</f>
        <v>39</v>
      </c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</row>
    <row r="19" spans="1:23" ht="15" thickTop="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ht="15" thickBot="1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1:23" ht="16.2" thickTop="1" x14ac:dyDescent="0.3">
      <c r="A23" s="90" t="s">
        <v>423</v>
      </c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</row>
    <row r="24" spans="1:23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 x14ac:dyDescent="0.3">
      <c r="A25" s="83"/>
      <c r="B25" s="18" t="s">
        <v>464</v>
      </c>
      <c r="C25" s="18"/>
      <c r="D25" s="18" t="s">
        <v>329</v>
      </c>
      <c r="E25" s="18" t="s">
        <v>92</v>
      </c>
      <c r="F25" s="18" t="s">
        <v>93</v>
      </c>
      <c r="G25" s="18" t="s">
        <v>94</v>
      </c>
      <c r="H25" s="18" t="s">
        <v>84</v>
      </c>
      <c r="I25" s="18" t="s">
        <v>85</v>
      </c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</row>
    <row r="26" spans="1:23" x14ac:dyDescent="0.3">
      <c r="A26" s="43"/>
      <c r="B26" s="43"/>
      <c r="C26" s="43"/>
      <c r="D26" s="85">
        <f>E40</f>
        <v>220</v>
      </c>
      <c r="E26" s="86">
        <f>F40</f>
        <v>19.645454545454545</v>
      </c>
      <c r="F26" s="86">
        <f>G40</f>
        <v>3.7454545454545456</v>
      </c>
      <c r="G26" s="86">
        <f>H40</f>
        <v>3.9295454545454547</v>
      </c>
      <c r="H26" s="85">
        <f>I40</f>
        <v>102.8</v>
      </c>
      <c r="I26" s="85">
        <f>I40</f>
        <v>102.8</v>
      </c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</row>
    <row r="27" spans="1:23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92" t="s">
        <v>111</v>
      </c>
      <c r="N27" s="92"/>
      <c r="O27" s="92"/>
      <c r="P27" s="92" t="s">
        <v>471</v>
      </c>
      <c r="Q27" s="92"/>
      <c r="R27" s="92" t="s">
        <v>112</v>
      </c>
      <c r="S27" s="92"/>
      <c r="T27" s="92"/>
      <c r="U27" s="92"/>
      <c r="V27" s="3"/>
      <c r="W27" s="3"/>
    </row>
    <row r="28" spans="1:23" x14ac:dyDescent="0.3">
      <c r="A28" s="84" t="s">
        <v>106</v>
      </c>
      <c r="B28" s="84" t="s">
        <v>107</v>
      </c>
      <c r="C28" s="84" t="s">
        <v>2</v>
      </c>
      <c r="D28" s="84" t="s">
        <v>72</v>
      </c>
      <c r="E28" s="84" t="s">
        <v>73</v>
      </c>
      <c r="F28" s="84" t="s">
        <v>92</v>
      </c>
      <c r="G28" s="84" t="s">
        <v>93</v>
      </c>
      <c r="H28" s="84" t="s">
        <v>94</v>
      </c>
      <c r="I28" s="84" t="s">
        <v>108</v>
      </c>
      <c r="J28" s="84" t="s">
        <v>109</v>
      </c>
      <c r="K28" s="84" t="s">
        <v>110</v>
      </c>
      <c r="L28" s="84" t="s">
        <v>95</v>
      </c>
      <c r="M28" s="84" t="s">
        <v>128</v>
      </c>
      <c r="N28" s="84" t="s">
        <v>349</v>
      </c>
      <c r="O28" s="84" t="s">
        <v>172</v>
      </c>
      <c r="P28" s="84" t="s">
        <v>350</v>
      </c>
      <c r="Q28" s="84" t="s">
        <v>129</v>
      </c>
      <c r="R28" s="84" t="s">
        <v>351</v>
      </c>
      <c r="S28" s="84" t="s">
        <v>352</v>
      </c>
      <c r="T28" s="84" t="s">
        <v>353</v>
      </c>
      <c r="U28" s="84" t="s">
        <v>354</v>
      </c>
      <c r="V28" s="84" t="s">
        <v>355</v>
      </c>
      <c r="W28" s="84" t="s">
        <v>3</v>
      </c>
    </row>
    <row r="29" spans="1:23" x14ac:dyDescent="0.3">
      <c r="A29" s="3">
        <v>1</v>
      </c>
      <c r="B29" s="3" t="s">
        <v>173</v>
      </c>
      <c r="C29" s="14">
        <v>2</v>
      </c>
      <c r="D29" s="78">
        <v>12</v>
      </c>
      <c r="E29" s="78">
        <f t="shared" ref="E29:E34" si="0">IFERROR(C29*D29,0)</f>
        <v>24</v>
      </c>
      <c r="F29" s="15">
        <v>5</v>
      </c>
      <c r="G29" s="15">
        <v>1</v>
      </c>
      <c r="H29" s="15">
        <v>3.5</v>
      </c>
      <c r="I29" s="15">
        <v>2</v>
      </c>
      <c r="J29" s="15">
        <v>1</v>
      </c>
      <c r="K29" s="15">
        <v>1</v>
      </c>
      <c r="L29" s="3" t="s">
        <v>10</v>
      </c>
      <c r="M29" s="3"/>
      <c r="N29" s="3" t="s">
        <v>356</v>
      </c>
      <c r="O29" s="3"/>
      <c r="P29" s="3"/>
      <c r="Q29" s="3" t="s">
        <v>356</v>
      </c>
      <c r="R29" s="3"/>
      <c r="S29" s="3" t="s">
        <v>356</v>
      </c>
      <c r="T29" s="3"/>
      <c r="U29" s="3"/>
      <c r="V29" s="76">
        <f t="shared" ref="V29:V34" si="1">IF(UPPER(M29)="X",0.5,IF(UPPER(N29)="X",0.2,IF(UPPER(O29)="X",0.05,0)))</f>
        <v>0.2</v>
      </c>
      <c r="W29" s="3" t="s">
        <v>174</v>
      </c>
    </row>
    <row r="30" spans="1:23" x14ac:dyDescent="0.3">
      <c r="A30" s="3">
        <v>2</v>
      </c>
      <c r="B30" s="3" t="s">
        <v>175</v>
      </c>
      <c r="C30" s="14">
        <v>2</v>
      </c>
      <c r="D30" s="78">
        <v>18</v>
      </c>
      <c r="E30" s="78">
        <f t="shared" si="0"/>
        <v>36</v>
      </c>
      <c r="F30" s="15">
        <v>17</v>
      </c>
      <c r="G30" s="15">
        <v>12</v>
      </c>
      <c r="H30" s="15">
        <v>4</v>
      </c>
      <c r="I30" s="15">
        <v>1</v>
      </c>
      <c r="J30" s="15">
        <v>0.5</v>
      </c>
      <c r="K30" s="15">
        <v>0.5</v>
      </c>
      <c r="L30" s="3" t="s">
        <v>10</v>
      </c>
      <c r="M30" s="3" t="s">
        <v>356</v>
      </c>
      <c r="N30" s="3"/>
      <c r="O30" s="3"/>
      <c r="P30" s="3"/>
      <c r="Q30" s="3" t="s">
        <v>356</v>
      </c>
      <c r="R30" s="3" t="s">
        <v>356</v>
      </c>
      <c r="S30" s="3"/>
      <c r="T30" s="3"/>
      <c r="U30" s="3"/>
      <c r="V30" s="76">
        <f t="shared" si="1"/>
        <v>0.5</v>
      </c>
      <c r="W30" s="3" t="s">
        <v>176</v>
      </c>
    </row>
    <row r="31" spans="1:23" x14ac:dyDescent="0.3">
      <c r="A31" s="3">
        <v>3</v>
      </c>
      <c r="B31" s="3" t="s">
        <v>177</v>
      </c>
      <c r="C31" s="14">
        <v>2</v>
      </c>
      <c r="D31" s="78">
        <v>22</v>
      </c>
      <c r="E31" s="78">
        <f t="shared" si="0"/>
        <v>44</v>
      </c>
      <c r="F31" s="15">
        <v>32</v>
      </c>
      <c r="G31" s="15">
        <v>2</v>
      </c>
      <c r="H31" s="15">
        <v>6</v>
      </c>
      <c r="I31" s="15">
        <v>1.2</v>
      </c>
      <c r="J31" s="15">
        <v>0.6</v>
      </c>
      <c r="K31" s="15">
        <v>0.6</v>
      </c>
      <c r="L31" s="3" t="s">
        <v>10</v>
      </c>
      <c r="M31" s="3" t="s">
        <v>356</v>
      </c>
      <c r="N31" s="3"/>
      <c r="O31" s="3"/>
      <c r="P31" s="3"/>
      <c r="Q31" s="3" t="s">
        <v>356</v>
      </c>
      <c r="R31" s="3" t="s">
        <v>356</v>
      </c>
      <c r="S31" s="3"/>
      <c r="T31" s="3"/>
      <c r="U31" s="3"/>
      <c r="V31" s="76">
        <f t="shared" si="1"/>
        <v>0.5</v>
      </c>
      <c r="W31" s="3" t="s">
        <v>178</v>
      </c>
    </row>
    <row r="32" spans="1:23" x14ac:dyDescent="0.3">
      <c r="A32" s="3">
        <v>4</v>
      </c>
      <c r="B32" s="3" t="s">
        <v>179</v>
      </c>
      <c r="C32" s="14">
        <v>2</v>
      </c>
      <c r="D32" s="78">
        <v>28</v>
      </c>
      <c r="E32" s="78">
        <f t="shared" si="0"/>
        <v>56</v>
      </c>
      <c r="F32" s="15">
        <v>17</v>
      </c>
      <c r="G32" s="15">
        <v>5</v>
      </c>
      <c r="H32" s="15">
        <v>2.5</v>
      </c>
      <c r="I32" s="15">
        <v>1.5</v>
      </c>
      <c r="J32" s="15">
        <v>0.8</v>
      </c>
      <c r="K32" s="15">
        <v>0.6</v>
      </c>
      <c r="L32" s="3" t="s">
        <v>10</v>
      </c>
      <c r="M32" s="3" t="s">
        <v>356</v>
      </c>
      <c r="N32" s="3"/>
      <c r="O32" s="3"/>
      <c r="P32" s="3"/>
      <c r="Q32" s="3" t="s">
        <v>356</v>
      </c>
      <c r="R32" s="3" t="s">
        <v>356</v>
      </c>
      <c r="S32" s="3"/>
      <c r="T32" s="3"/>
      <c r="U32" s="3"/>
      <c r="V32" s="76">
        <f t="shared" si="1"/>
        <v>0.5</v>
      </c>
      <c r="W32" s="3"/>
    </row>
    <row r="33" spans="1:23" x14ac:dyDescent="0.3">
      <c r="A33" s="3">
        <v>5</v>
      </c>
      <c r="B33" s="3" t="s">
        <v>180</v>
      </c>
      <c r="C33" s="14">
        <v>3</v>
      </c>
      <c r="D33" s="78">
        <v>5</v>
      </c>
      <c r="E33" s="78">
        <f t="shared" si="0"/>
        <v>15</v>
      </c>
      <c r="F33" s="15">
        <v>28</v>
      </c>
      <c r="G33" s="15">
        <v>0</v>
      </c>
      <c r="H33" s="15">
        <v>5</v>
      </c>
      <c r="I33" s="15">
        <v>0.5</v>
      </c>
      <c r="J33" s="15">
        <v>0.3</v>
      </c>
      <c r="K33" s="15">
        <v>0.3</v>
      </c>
      <c r="L33" s="3" t="s">
        <v>10</v>
      </c>
      <c r="M33" s="3" t="s">
        <v>356</v>
      </c>
      <c r="N33" s="3"/>
      <c r="O33" s="3"/>
      <c r="P33" s="3"/>
      <c r="Q33" s="3" t="s">
        <v>356</v>
      </c>
      <c r="R33" s="3" t="s">
        <v>356</v>
      </c>
      <c r="S33" s="3"/>
      <c r="T33" s="3"/>
      <c r="U33" s="3"/>
      <c r="V33" s="76">
        <f t="shared" si="1"/>
        <v>0.5</v>
      </c>
      <c r="W33" s="3"/>
    </row>
    <row r="34" spans="1:23" x14ac:dyDescent="0.3">
      <c r="A34" s="3">
        <v>6</v>
      </c>
      <c r="B34" s="3" t="s">
        <v>181</v>
      </c>
      <c r="C34" s="14">
        <v>1</v>
      </c>
      <c r="D34" s="78">
        <v>45</v>
      </c>
      <c r="E34" s="78">
        <f t="shared" si="0"/>
        <v>45</v>
      </c>
      <c r="F34" s="15">
        <v>18</v>
      </c>
      <c r="G34" s="15">
        <v>0</v>
      </c>
      <c r="H34" s="15">
        <v>3.5</v>
      </c>
      <c r="I34" s="15">
        <v>25</v>
      </c>
      <c r="J34" s="15">
        <v>0.1</v>
      </c>
      <c r="K34" s="15">
        <v>0.1</v>
      </c>
      <c r="L34" s="3" t="s">
        <v>10</v>
      </c>
      <c r="M34" s="3" t="s">
        <v>356</v>
      </c>
      <c r="N34" s="3"/>
      <c r="O34" s="3"/>
      <c r="P34" s="3"/>
      <c r="Q34" s="3" t="s">
        <v>356</v>
      </c>
      <c r="R34" s="3" t="s">
        <v>356</v>
      </c>
      <c r="S34" s="3"/>
      <c r="T34" s="3"/>
      <c r="U34" s="3"/>
      <c r="V34" s="76">
        <f t="shared" si="1"/>
        <v>0.5</v>
      </c>
      <c r="W34" s="3"/>
    </row>
    <row r="40" spans="1:23" ht="15" thickBot="1" x14ac:dyDescent="0.35">
      <c r="A40" s="26"/>
      <c r="B40" s="26" t="s">
        <v>424</v>
      </c>
      <c r="C40" s="26"/>
      <c r="D40" s="26"/>
      <c r="E40" s="87">
        <f>SUM(E29:E34)</f>
        <v>220</v>
      </c>
      <c r="F40" s="28">
        <f>IFERROR(SUMPRODUCT(E29:E34,F29:F34)/E40,0)</f>
        <v>19.645454545454545</v>
      </c>
      <c r="G40" s="28">
        <f>IFERROR(SUMPRODUCT(E29:E34,G29:G34)/E40,0)</f>
        <v>3.7454545454545456</v>
      </c>
      <c r="H40" s="28">
        <f>IFERROR(SUMPRODUCT(E29:E34,H29:H34)/E40,0)</f>
        <v>3.9295454545454547</v>
      </c>
      <c r="I40" s="87">
        <f>SUMPRODUCT(E29:E34,V29:V34)</f>
        <v>102.8</v>
      </c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</row>
    <row r="41" spans="1:23" ht="15" thickTop="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ht="16.2" thickTop="1" x14ac:dyDescent="0.3">
      <c r="A45" s="90" t="s">
        <v>425</v>
      </c>
      <c r="B45" s="91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</row>
    <row r="46" spans="1:23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3">
      <c r="A47" s="83"/>
      <c r="B47" s="18" t="s">
        <v>464</v>
      </c>
      <c r="C47" s="18"/>
      <c r="D47" s="18" t="s">
        <v>329</v>
      </c>
      <c r="E47" s="18" t="s">
        <v>92</v>
      </c>
      <c r="F47" s="18" t="s">
        <v>93</v>
      </c>
      <c r="G47" s="18" t="s">
        <v>94</v>
      </c>
      <c r="H47" s="18" t="s">
        <v>84</v>
      </c>
      <c r="I47" s="18" t="s">
        <v>85</v>
      </c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43"/>
      <c r="B48" s="43"/>
      <c r="C48" s="43"/>
      <c r="D48" s="85">
        <f>E62</f>
        <v>220</v>
      </c>
      <c r="E48" s="86">
        <f>F62</f>
        <v>18.045454545454547</v>
      </c>
      <c r="F48" s="86">
        <f>G62</f>
        <v>0</v>
      </c>
      <c r="G48" s="86">
        <f>H62</f>
        <v>2.0327272727272727</v>
      </c>
      <c r="H48" s="85">
        <f>I62</f>
        <v>110</v>
      </c>
      <c r="I48" s="85">
        <f>I62</f>
        <v>110</v>
      </c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</row>
    <row r="49" spans="1:23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92" t="s">
        <v>111</v>
      </c>
      <c r="N49" s="92"/>
      <c r="O49" s="92"/>
      <c r="P49" s="92" t="s">
        <v>471</v>
      </c>
      <c r="Q49" s="92"/>
      <c r="R49" s="92" t="s">
        <v>112</v>
      </c>
      <c r="S49" s="92"/>
      <c r="T49" s="92"/>
      <c r="U49" s="92"/>
      <c r="V49" s="3"/>
      <c r="W49" s="3"/>
    </row>
    <row r="50" spans="1:23" x14ac:dyDescent="0.3">
      <c r="A50" s="84" t="s">
        <v>106</v>
      </c>
      <c r="B50" s="84" t="s">
        <v>107</v>
      </c>
      <c r="C50" s="84" t="s">
        <v>2</v>
      </c>
      <c r="D50" s="84" t="s">
        <v>72</v>
      </c>
      <c r="E50" s="84" t="s">
        <v>73</v>
      </c>
      <c r="F50" s="84" t="s">
        <v>92</v>
      </c>
      <c r="G50" s="84" t="s">
        <v>93</v>
      </c>
      <c r="H50" s="84" t="s">
        <v>94</v>
      </c>
      <c r="I50" s="84" t="s">
        <v>108</v>
      </c>
      <c r="J50" s="84" t="s">
        <v>109</v>
      </c>
      <c r="K50" s="84" t="s">
        <v>110</v>
      </c>
      <c r="L50" s="84" t="s">
        <v>95</v>
      </c>
      <c r="M50" s="84" t="s">
        <v>128</v>
      </c>
      <c r="N50" s="84" t="s">
        <v>349</v>
      </c>
      <c r="O50" s="84" t="s">
        <v>172</v>
      </c>
      <c r="P50" s="84" t="s">
        <v>350</v>
      </c>
      <c r="Q50" s="84" t="s">
        <v>129</v>
      </c>
      <c r="R50" s="84" t="s">
        <v>351</v>
      </c>
      <c r="S50" s="84" t="s">
        <v>352</v>
      </c>
      <c r="T50" s="84" t="s">
        <v>353</v>
      </c>
      <c r="U50" s="84" t="s">
        <v>354</v>
      </c>
      <c r="V50" s="84" t="s">
        <v>355</v>
      </c>
      <c r="W50" s="84" t="s">
        <v>3</v>
      </c>
    </row>
    <row r="51" spans="1:23" x14ac:dyDescent="0.3">
      <c r="A51" s="3">
        <v>1</v>
      </c>
      <c r="B51" s="3" t="s">
        <v>182</v>
      </c>
      <c r="C51" s="14">
        <v>1</v>
      </c>
      <c r="D51" s="78">
        <v>65</v>
      </c>
      <c r="E51" s="78">
        <f t="shared" ref="E51:E56" si="2">IFERROR(C51*D51,0)</f>
        <v>65</v>
      </c>
      <c r="F51" s="15">
        <v>11</v>
      </c>
      <c r="G51" s="15">
        <v>0</v>
      </c>
      <c r="H51" s="15">
        <v>2</v>
      </c>
      <c r="I51" s="15">
        <v>4</v>
      </c>
      <c r="J51" s="15">
        <v>4</v>
      </c>
      <c r="K51" s="15">
        <v>1.5</v>
      </c>
      <c r="L51" s="3" t="s">
        <v>116</v>
      </c>
      <c r="M51" s="3" t="s">
        <v>356</v>
      </c>
      <c r="N51" s="3"/>
      <c r="O51" s="3"/>
      <c r="P51" s="3"/>
      <c r="Q51" s="3" t="s">
        <v>356</v>
      </c>
      <c r="R51" s="3" t="s">
        <v>356</v>
      </c>
      <c r="S51" s="3"/>
      <c r="T51" s="3"/>
      <c r="U51" s="3"/>
      <c r="V51" s="76">
        <f t="shared" ref="V51:V56" si="3">IF(UPPER(M51)="X",0.5,IF(UPPER(N51)="X",0.2,IF(UPPER(O51)="X",0.05,0)))</f>
        <v>0.5</v>
      </c>
      <c r="W51" s="3" t="s">
        <v>183</v>
      </c>
    </row>
    <row r="52" spans="1:23" x14ac:dyDescent="0.3">
      <c r="A52" s="3">
        <v>2</v>
      </c>
      <c r="B52" s="3" t="s">
        <v>184</v>
      </c>
      <c r="C52" s="14">
        <v>1</v>
      </c>
      <c r="D52" s="78">
        <v>75</v>
      </c>
      <c r="E52" s="78">
        <f t="shared" si="2"/>
        <v>75</v>
      </c>
      <c r="F52" s="15">
        <v>24</v>
      </c>
      <c r="G52" s="15">
        <v>0</v>
      </c>
      <c r="H52" s="15">
        <v>2</v>
      </c>
      <c r="I52" s="15">
        <v>5</v>
      </c>
      <c r="J52" s="15">
        <v>4</v>
      </c>
      <c r="K52" s="15">
        <v>1.5</v>
      </c>
      <c r="L52" s="3" t="s">
        <v>116</v>
      </c>
      <c r="M52" s="3" t="s">
        <v>356</v>
      </c>
      <c r="N52" s="3"/>
      <c r="O52" s="3"/>
      <c r="P52" s="3"/>
      <c r="Q52" s="3" t="s">
        <v>356</v>
      </c>
      <c r="R52" s="3" t="s">
        <v>356</v>
      </c>
      <c r="S52" s="3"/>
      <c r="T52" s="3"/>
      <c r="U52" s="3"/>
      <c r="V52" s="76">
        <f t="shared" si="3"/>
        <v>0.5</v>
      </c>
      <c r="W52" s="3" t="s">
        <v>185</v>
      </c>
    </row>
    <row r="53" spans="1:23" x14ac:dyDescent="0.3">
      <c r="A53" s="3">
        <v>3</v>
      </c>
      <c r="B53" s="3" t="s">
        <v>186</v>
      </c>
      <c r="C53" s="14">
        <v>4</v>
      </c>
      <c r="D53" s="78">
        <v>6</v>
      </c>
      <c r="E53" s="78">
        <f t="shared" si="2"/>
        <v>24</v>
      </c>
      <c r="F53" s="15">
        <v>17</v>
      </c>
      <c r="G53" s="15">
        <v>0</v>
      </c>
      <c r="H53" s="15">
        <v>1.8</v>
      </c>
      <c r="I53" s="15">
        <v>0.5</v>
      </c>
      <c r="J53" s="15">
        <v>0.4</v>
      </c>
      <c r="K53" s="15">
        <v>0.3</v>
      </c>
      <c r="L53" s="3" t="s">
        <v>116</v>
      </c>
      <c r="M53" s="3" t="s">
        <v>356</v>
      </c>
      <c r="N53" s="3"/>
      <c r="O53" s="3"/>
      <c r="P53" s="3"/>
      <c r="Q53" s="3" t="s">
        <v>356</v>
      </c>
      <c r="R53" s="3" t="s">
        <v>356</v>
      </c>
      <c r="S53" s="3"/>
      <c r="T53" s="3"/>
      <c r="U53" s="3"/>
      <c r="V53" s="76">
        <f t="shared" si="3"/>
        <v>0.5</v>
      </c>
      <c r="W53" s="3" t="s">
        <v>187</v>
      </c>
    </row>
    <row r="54" spans="1:23" x14ac:dyDescent="0.3">
      <c r="A54" s="3">
        <v>4</v>
      </c>
      <c r="B54" s="3" t="s">
        <v>188</v>
      </c>
      <c r="C54" s="14">
        <v>1</v>
      </c>
      <c r="D54" s="78">
        <v>35</v>
      </c>
      <c r="E54" s="78">
        <f t="shared" si="2"/>
        <v>35</v>
      </c>
      <c r="F54" s="15">
        <v>18</v>
      </c>
      <c r="G54" s="15">
        <v>0</v>
      </c>
      <c r="H54" s="15">
        <v>2</v>
      </c>
      <c r="I54" s="15">
        <v>25</v>
      </c>
      <c r="J54" s="15">
        <v>0.1</v>
      </c>
      <c r="K54" s="15">
        <v>0.1</v>
      </c>
      <c r="L54" s="3" t="s">
        <v>116</v>
      </c>
      <c r="M54" s="3" t="s">
        <v>356</v>
      </c>
      <c r="N54" s="3"/>
      <c r="O54" s="3"/>
      <c r="P54" s="3"/>
      <c r="Q54" s="3" t="s">
        <v>356</v>
      </c>
      <c r="R54" s="3" t="s">
        <v>356</v>
      </c>
      <c r="S54" s="3"/>
      <c r="T54" s="3"/>
      <c r="U54" s="3"/>
      <c r="V54" s="76">
        <f t="shared" si="3"/>
        <v>0.5</v>
      </c>
      <c r="W54" s="3"/>
    </row>
    <row r="55" spans="1:23" x14ac:dyDescent="0.3">
      <c r="A55" s="3">
        <v>5</v>
      </c>
      <c r="B55" s="3" t="s">
        <v>189</v>
      </c>
      <c r="C55" s="14">
        <v>6</v>
      </c>
      <c r="D55" s="78">
        <v>1.5</v>
      </c>
      <c r="E55" s="78">
        <f t="shared" si="2"/>
        <v>9</v>
      </c>
      <c r="F55" s="15">
        <v>17</v>
      </c>
      <c r="G55" s="15">
        <v>0</v>
      </c>
      <c r="H55" s="15">
        <v>2</v>
      </c>
      <c r="I55" s="15">
        <v>0.4</v>
      </c>
      <c r="J55" s="15">
        <v>0.2</v>
      </c>
      <c r="K55" s="15">
        <v>0.2</v>
      </c>
      <c r="L55" s="3" t="s">
        <v>116</v>
      </c>
      <c r="M55" s="3" t="s">
        <v>356</v>
      </c>
      <c r="N55" s="3"/>
      <c r="O55" s="3"/>
      <c r="P55" s="3"/>
      <c r="Q55" s="3" t="s">
        <v>356</v>
      </c>
      <c r="R55" s="3" t="s">
        <v>356</v>
      </c>
      <c r="S55" s="3"/>
      <c r="T55" s="3"/>
      <c r="U55" s="3"/>
      <c r="V55" s="76">
        <f t="shared" si="3"/>
        <v>0.5</v>
      </c>
      <c r="W55" s="3"/>
    </row>
    <row r="56" spans="1:23" x14ac:dyDescent="0.3">
      <c r="A56" s="3">
        <v>6</v>
      </c>
      <c r="B56" s="3" t="s">
        <v>190</v>
      </c>
      <c r="C56" s="14">
        <v>1</v>
      </c>
      <c r="D56" s="78">
        <v>12</v>
      </c>
      <c r="E56" s="78">
        <f t="shared" si="2"/>
        <v>12</v>
      </c>
      <c r="F56" s="15">
        <v>22</v>
      </c>
      <c r="G56" s="15">
        <v>0</v>
      </c>
      <c r="H56" s="15">
        <v>3</v>
      </c>
      <c r="I56" s="15">
        <v>0.8</v>
      </c>
      <c r="J56" s="15">
        <v>0.6</v>
      </c>
      <c r="K56" s="15">
        <v>0.4</v>
      </c>
      <c r="L56" s="3" t="s">
        <v>116</v>
      </c>
      <c r="M56" s="3" t="s">
        <v>356</v>
      </c>
      <c r="N56" s="3"/>
      <c r="O56" s="3"/>
      <c r="P56" s="3"/>
      <c r="Q56" s="3" t="s">
        <v>356</v>
      </c>
      <c r="R56" s="3" t="s">
        <v>356</v>
      </c>
      <c r="S56" s="3"/>
      <c r="T56" s="3"/>
      <c r="U56" s="3"/>
      <c r="V56" s="76">
        <f t="shared" si="3"/>
        <v>0.5</v>
      </c>
      <c r="W56" s="3"/>
    </row>
    <row r="62" spans="1:23" ht="15" thickBot="1" x14ac:dyDescent="0.35">
      <c r="A62" s="26"/>
      <c r="B62" s="26" t="s">
        <v>426</v>
      </c>
      <c r="C62" s="26"/>
      <c r="D62" s="26"/>
      <c r="E62" s="87">
        <f>SUM(E51:E56)</f>
        <v>220</v>
      </c>
      <c r="F62" s="28">
        <f>IFERROR(SUMPRODUCT(E51:E56,F51:F56)/E62,0)</f>
        <v>18.045454545454547</v>
      </c>
      <c r="G62" s="28">
        <f>IFERROR(SUMPRODUCT(E51:E56,G51:G56)/E62,0)</f>
        <v>0</v>
      </c>
      <c r="H62" s="28">
        <f>IFERROR(SUMPRODUCT(E51:E56,H51:H56)/E62,0)</f>
        <v>2.0327272727272727</v>
      </c>
      <c r="I62" s="87">
        <f>SUMPRODUCT(E51:E56,V51:V56)</f>
        <v>110</v>
      </c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</row>
    <row r="63" spans="1:23" ht="15" thickTop="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4" spans="1:23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</row>
    <row r="65" spans="1:23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</row>
    <row r="66" spans="1:23" ht="15" thickBot="1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</row>
    <row r="67" spans="1:23" ht="16.2" thickTop="1" x14ac:dyDescent="0.3">
      <c r="A67" s="90" t="s">
        <v>427</v>
      </c>
      <c r="B67" s="91"/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</row>
    <row r="68" spans="1:23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</row>
    <row r="69" spans="1:23" x14ac:dyDescent="0.3">
      <c r="A69" s="83"/>
      <c r="B69" s="18" t="s">
        <v>464</v>
      </c>
      <c r="C69" s="18"/>
      <c r="D69" s="18" t="s">
        <v>329</v>
      </c>
      <c r="E69" s="18" t="s">
        <v>92</v>
      </c>
      <c r="F69" s="18" t="s">
        <v>93</v>
      </c>
      <c r="G69" s="18" t="s">
        <v>94</v>
      </c>
      <c r="H69" s="18" t="s">
        <v>84</v>
      </c>
      <c r="I69" s="18" t="s">
        <v>85</v>
      </c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</row>
    <row r="70" spans="1:23" x14ac:dyDescent="0.3">
      <c r="A70" s="43"/>
      <c r="B70" s="43"/>
      <c r="C70" s="43"/>
      <c r="D70" s="85">
        <f>E82</f>
        <v>90</v>
      </c>
      <c r="E70" s="86">
        <f>F82</f>
        <v>20.133333333333333</v>
      </c>
      <c r="F70" s="86">
        <f>G82</f>
        <v>1.4222222222222223</v>
      </c>
      <c r="G70" s="86">
        <f>H82</f>
        <v>2.8444444444444446</v>
      </c>
      <c r="H70" s="85">
        <f>I82</f>
        <v>45</v>
      </c>
      <c r="I70" s="85">
        <f>I82</f>
        <v>45</v>
      </c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</row>
    <row r="71" spans="1:23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92" t="s">
        <v>111</v>
      </c>
      <c r="N71" s="92"/>
      <c r="O71" s="92"/>
      <c r="P71" s="92" t="s">
        <v>471</v>
      </c>
      <c r="Q71" s="92"/>
      <c r="R71" s="92" t="s">
        <v>112</v>
      </c>
      <c r="S71" s="92"/>
      <c r="T71" s="92"/>
      <c r="U71" s="92"/>
      <c r="V71" s="3"/>
      <c r="W71" s="3"/>
    </row>
    <row r="72" spans="1:23" x14ac:dyDescent="0.3">
      <c r="A72" s="84" t="s">
        <v>106</v>
      </c>
      <c r="B72" s="84" t="s">
        <v>107</v>
      </c>
      <c r="C72" s="84" t="s">
        <v>2</v>
      </c>
      <c r="D72" s="84" t="s">
        <v>72</v>
      </c>
      <c r="E72" s="84" t="s">
        <v>73</v>
      </c>
      <c r="F72" s="84" t="s">
        <v>92</v>
      </c>
      <c r="G72" s="84" t="s">
        <v>93</v>
      </c>
      <c r="H72" s="84" t="s">
        <v>94</v>
      </c>
      <c r="I72" s="84" t="s">
        <v>108</v>
      </c>
      <c r="J72" s="84" t="s">
        <v>109</v>
      </c>
      <c r="K72" s="84" t="s">
        <v>110</v>
      </c>
      <c r="L72" s="84" t="s">
        <v>95</v>
      </c>
      <c r="M72" s="84" t="s">
        <v>128</v>
      </c>
      <c r="N72" s="84" t="s">
        <v>349</v>
      </c>
      <c r="O72" s="84" t="s">
        <v>172</v>
      </c>
      <c r="P72" s="84" t="s">
        <v>350</v>
      </c>
      <c r="Q72" s="84" t="s">
        <v>129</v>
      </c>
      <c r="R72" s="84" t="s">
        <v>351</v>
      </c>
      <c r="S72" s="84" t="s">
        <v>352</v>
      </c>
      <c r="T72" s="84" t="s">
        <v>353</v>
      </c>
      <c r="U72" s="84" t="s">
        <v>354</v>
      </c>
      <c r="V72" s="84" t="s">
        <v>355</v>
      </c>
      <c r="W72" s="84" t="s">
        <v>3</v>
      </c>
    </row>
    <row r="73" spans="1:23" x14ac:dyDescent="0.3">
      <c r="A73" s="3">
        <v>1</v>
      </c>
      <c r="B73" s="3" t="s">
        <v>191</v>
      </c>
      <c r="C73" s="14">
        <v>2</v>
      </c>
      <c r="D73" s="78">
        <v>14</v>
      </c>
      <c r="E73" s="78">
        <f>IFERROR(C73*D73,0)</f>
        <v>28</v>
      </c>
      <c r="F73" s="15">
        <v>19</v>
      </c>
      <c r="G73" s="15">
        <v>4</v>
      </c>
      <c r="H73" s="15">
        <v>2.5</v>
      </c>
      <c r="I73" s="15">
        <v>0.7</v>
      </c>
      <c r="J73" s="15">
        <v>0.5</v>
      </c>
      <c r="K73" s="15">
        <v>0.4</v>
      </c>
      <c r="L73" s="3" t="s">
        <v>117</v>
      </c>
      <c r="M73" s="3" t="s">
        <v>356</v>
      </c>
      <c r="N73" s="3"/>
      <c r="O73" s="3"/>
      <c r="P73" s="3"/>
      <c r="Q73" s="3" t="s">
        <v>356</v>
      </c>
      <c r="R73" s="3" t="s">
        <v>356</v>
      </c>
      <c r="S73" s="3"/>
      <c r="T73" s="3"/>
      <c r="U73" s="3"/>
      <c r="V73" s="76">
        <f>IF(UPPER(M73)="X",0.5,IF(UPPER(N73)="X",0.2,IF(UPPER(O73)="X",0.05,0)))</f>
        <v>0.5</v>
      </c>
      <c r="W73" s="3"/>
    </row>
    <row r="74" spans="1:23" x14ac:dyDescent="0.3">
      <c r="A74" s="3">
        <v>2</v>
      </c>
      <c r="B74" s="3" t="s">
        <v>192</v>
      </c>
      <c r="C74" s="14">
        <v>1</v>
      </c>
      <c r="D74" s="78">
        <v>18</v>
      </c>
      <c r="E74" s="78">
        <f>IFERROR(C74*D74,0)</f>
        <v>18</v>
      </c>
      <c r="F74" s="15">
        <v>22</v>
      </c>
      <c r="G74" s="15">
        <v>0</v>
      </c>
      <c r="H74" s="15">
        <v>3</v>
      </c>
      <c r="I74" s="15">
        <v>1.2</v>
      </c>
      <c r="J74" s="15">
        <v>0.8</v>
      </c>
      <c r="K74" s="15">
        <v>0.6</v>
      </c>
      <c r="L74" s="3" t="s">
        <v>117</v>
      </c>
      <c r="M74" s="3" t="s">
        <v>356</v>
      </c>
      <c r="N74" s="3"/>
      <c r="O74" s="3"/>
      <c r="P74" s="3"/>
      <c r="Q74" s="3" t="s">
        <v>356</v>
      </c>
      <c r="R74" s="3" t="s">
        <v>356</v>
      </c>
      <c r="S74" s="3"/>
      <c r="T74" s="3"/>
      <c r="U74" s="3"/>
      <c r="V74" s="76">
        <f>IF(UPPER(M74)="X",0.5,IF(UPPER(N74)="X",0.2,IF(UPPER(O74)="X",0.05,0)))</f>
        <v>0.5</v>
      </c>
      <c r="W74" s="3"/>
    </row>
    <row r="75" spans="1:23" x14ac:dyDescent="0.3">
      <c r="A75" s="3">
        <v>3</v>
      </c>
      <c r="B75" s="3" t="s">
        <v>193</v>
      </c>
      <c r="C75" s="14">
        <v>2</v>
      </c>
      <c r="D75" s="78">
        <v>8</v>
      </c>
      <c r="E75" s="78">
        <f>IFERROR(C75*D75,0)</f>
        <v>16</v>
      </c>
      <c r="F75" s="15">
        <v>22</v>
      </c>
      <c r="G75" s="15">
        <v>1</v>
      </c>
      <c r="H75" s="15">
        <v>3</v>
      </c>
      <c r="I75" s="15">
        <v>0.6</v>
      </c>
      <c r="J75" s="15">
        <v>0.4</v>
      </c>
      <c r="K75" s="15">
        <v>0.4</v>
      </c>
      <c r="L75" s="3" t="s">
        <v>117</v>
      </c>
      <c r="M75" s="3" t="s">
        <v>356</v>
      </c>
      <c r="N75" s="3"/>
      <c r="O75" s="3"/>
      <c r="P75" s="3"/>
      <c r="Q75" s="3" t="s">
        <v>356</v>
      </c>
      <c r="R75" s="3" t="s">
        <v>356</v>
      </c>
      <c r="S75" s="3"/>
      <c r="T75" s="3"/>
      <c r="U75" s="3"/>
      <c r="V75" s="76">
        <f>IF(UPPER(M75)="X",0.5,IF(UPPER(N75)="X",0.2,IF(UPPER(O75)="X",0.05,0)))</f>
        <v>0.5</v>
      </c>
      <c r="W75" s="3"/>
    </row>
    <row r="76" spans="1:23" x14ac:dyDescent="0.3">
      <c r="A76" s="3">
        <v>4</v>
      </c>
      <c r="B76" s="3" t="s">
        <v>194</v>
      </c>
      <c r="C76" s="14">
        <v>1</v>
      </c>
      <c r="D76" s="78">
        <v>28</v>
      </c>
      <c r="E76" s="78">
        <f>IFERROR(C76*D76,0)</f>
        <v>28</v>
      </c>
      <c r="F76" s="15">
        <v>19</v>
      </c>
      <c r="G76" s="15">
        <v>0</v>
      </c>
      <c r="H76" s="15">
        <v>3</v>
      </c>
      <c r="I76" s="15">
        <v>25</v>
      </c>
      <c r="J76" s="15">
        <v>0.1</v>
      </c>
      <c r="K76" s="15">
        <v>0.1</v>
      </c>
      <c r="L76" s="3" t="s">
        <v>117</v>
      </c>
      <c r="M76" s="3" t="s">
        <v>356</v>
      </c>
      <c r="N76" s="3"/>
      <c r="O76" s="3"/>
      <c r="P76" s="3"/>
      <c r="Q76" s="3" t="s">
        <v>356</v>
      </c>
      <c r="R76" s="3" t="s">
        <v>356</v>
      </c>
      <c r="S76" s="3"/>
      <c r="T76" s="3"/>
      <c r="U76" s="3"/>
      <c r="V76" s="76">
        <f>IF(UPPER(M76)="X",0.5,IF(UPPER(N76)="X",0.2,IF(UPPER(O76)="X",0.05,0)))</f>
        <v>0.5</v>
      </c>
      <c r="W76" s="3"/>
    </row>
    <row r="82" spans="1:23" ht="15" thickBot="1" x14ac:dyDescent="0.35">
      <c r="A82" s="26"/>
      <c r="B82" s="26" t="s">
        <v>428</v>
      </c>
      <c r="C82" s="26"/>
      <c r="D82" s="26"/>
      <c r="E82" s="87">
        <f>SUM(E73:E76)</f>
        <v>90</v>
      </c>
      <c r="F82" s="28">
        <f>IFERROR(SUMPRODUCT(E73:E76,F73:F76)/E82,0)</f>
        <v>20.133333333333333</v>
      </c>
      <c r="G82" s="28">
        <f>IFERROR(SUMPRODUCT(E73:E76,G73:G76)/E82,0)</f>
        <v>1.4222222222222223</v>
      </c>
      <c r="H82" s="28">
        <f>IFERROR(SUMPRODUCT(E73:E76,H73:H76)/E82,0)</f>
        <v>2.8444444444444446</v>
      </c>
      <c r="I82" s="87">
        <f>SUMPRODUCT(E73:E76,V73:V76)</f>
        <v>45</v>
      </c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</row>
    <row r="83" spans="1:23" ht="15" thickTop="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</row>
    <row r="84" spans="1:23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</row>
    <row r="85" spans="1:23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6" spans="1:23" ht="15" thickBot="1" x14ac:dyDescent="0.3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</row>
    <row r="87" spans="1:23" ht="16.2" thickTop="1" x14ac:dyDescent="0.3">
      <c r="A87" s="90" t="s">
        <v>429</v>
      </c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</row>
    <row r="88" spans="1:23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3" x14ac:dyDescent="0.3">
      <c r="A89" s="83"/>
      <c r="B89" s="18" t="s">
        <v>464</v>
      </c>
      <c r="C89" s="18"/>
      <c r="D89" s="18" t="s">
        <v>329</v>
      </c>
      <c r="E89" s="18" t="s">
        <v>92</v>
      </c>
      <c r="F89" s="18" t="s">
        <v>93</v>
      </c>
      <c r="G89" s="18" t="s">
        <v>94</v>
      </c>
      <c r="H89" s="18" t="s">
        <v>84</v>
      </c>
      <c r="I89" s="18" t="s">
        <v>85</v>
      </c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</row>
    <row r="90" spans="1:23" x14ac:dyDescent="0.3">
      <c r="A90" s="43"/>
      <c r="B90" s="43"/>
      <c r="C90" s="43"/>
      <c r="D90" s="85">
        <f>E102</f>
        <v>67</v>
      </c>
      <c r="E90" s="86">
        <f>F102</f>
        <v>14.388059701492537</v>
      </c>
      <c r="F90" s="86">
        <f>G102</f>
        <v>0.94029850746268662</v>
      </c>
      <c r="G90" s="86">
        <f>H102</f>
        <v>3.8955223880597014</v>
      </c>
      <c r="H90" s="85">
        <f>I102</f>
        <v>33.5</v>
      </c>
      <c r="I90" s="85">
        <f>I102</f>
        <v>33.5</v>
      </c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</row>
    <row r="91" spans="1:23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92" t="s">
        <v>111</v>
      </c>
      <c r="N91" s="92"/>
      <c r="O91" s="92"/>
      <c r="P91" s="92" t="s">
        <v>471</v>
      </c>
      <c r="Q91" s="92"/>
      <c r="R91" s="92" t="s">
        <v>112</v>
      </c>
      <c r="S91" s="92"/>
      <c r="T91" s="92"/>
      <c r="U91" s="92"/>
      <c r="V91" s="3"/>
      <c r="W91" s="3"/>
    </row>
    <row r="92" spans="1:23" x14ac:dyDescent="0.3">
      <c r="A92" s="84" t="s">
        <v>106</v>
      </c>
      <c r="B92" s="84" t="s">
        <v>107</v>
      </c>
      <c r="C92" s="84" t="s">
        <v>2</v>
      </c>
      <c r="D92" s="84" t="s">
        <v>72</v>
      </c>
      <c r="E92" s="84" t="s">
        <v>73</v>
      </c>
      <c r="F92" s="84" t="s">
        <v>92</v>
      </c>
      <c r="G92" s="84" t="s">
        <v>93</v>
      </c>
      <c r="H92" s="84" t="s">
        <v>94</v>
      </c>
      <c r="I92" s="84" t="s">
        <v>108</v>
      </c>
      <c r="J92" s="84" t="s">
        <v>109</v>
      </c>
      <c r="K92" s="84" t="s">
        <v>110</v>
      </c>
      <c r="L92" s="84" t="s">
        <v>95</v>
      </c>
      <c r="M92" s="84" t="s">
        <v>128</v>
      </c>
      <c r="N92" s="84" t="s">
        <v>349</v>
      </c>
      <c r="O92" s="84" t="s">
        <v>172</v>
      </c>
      <c r="P92" s="84" t="s">
        <v>350</v>
      </c>
      <c r="Q92" s="84" t="s">
        <v>129</v>
      </c>
      <c r="R92" s="84" t="s">
        <v>351</v>
      </c>
      <c r="S92" s="84" t="s">
        <v>352</v>
      </c>
      <c r="T92" s="84" t="s">
        <v>353</v>
      </c>
      <c r="U92" s="84" t="s">
        <v>354</v>
      </c>
      <c r="V92" s="84" t="s">
        <v>355</v>
      </c>
      <c r="W92" s="84" t="s">
        <v>3</v>
      </c>
    </row>
    <row r="93" spans="1:23" x14ac:dyDescent="0.3">
      <c r="A93" s="3">
        <v>1</v>
      </c>
      <c r="B93" s="3" t="s">
        <v>195</v>
      </c>
      <c r="C93" s="14">
        <v>1</v>
      </c>
      <c r="D93" s="78">
        <v>35</v>
      </c>
      <c r="E93" s="78">
        <f>IFERROR(C93*D93,0)</f>
        <v>35</v>
      </c>
      <c r="F93" s="15">
        <v>16</v>
      </c>
      <c r="G93" s="15">
        <v>0</v>
      </c>
      <c r="H93" s="15">
        <v>4</v>
      </c>
      <c r="I93" s="15">
        <v>28</v>
      </c>
      <c r="J93" s="15">
        <v>0.5</v>
      </c>
      <c r="K93" s="15">
        <v>0.1</v>
      </c>
      <c r="L93" s="3" t="s">
        <v>105</v>
      </c>
      <c r="M93" s="3" t="s">
        <v>356</v>
      </c>
      <c r="N93" s="3"/>
      <c r="O93" s="3"/>
      <c r="P93" s="3"/>
      <c r="Q93" s="3" t="s">
        <v>356</v>
      </c>
      <c r="R93" s="3" t="s">
        <v>356</v>
      </c>
      <c r="S93" s="3"/>
      <c r="T93" s="3"/>
      <c r="U93" s="3"/>
      <c r="V93" s="76">
        <f>IF(UPPER(M93)="X",0.5,IF(UPPER(N93)="X",0.2,IF(UPPER(O93)="X",0.05,0)))</f>
        <v>0.5</v>
      </c>
      <c r="W93" s="3" t="s">
        <v>196</v>
      </c>
    </row>
    <row r="94" spans="1:23" x14ac:dyDescent="0.3">
      <c r="A94" s="3">
        <v>2</v>
      </c>
      <c r="B94" s="3" t="s">
        <v>197</v>
      </c>
      <c r="C94" s="14">
        <v>1</v>
      </c>
      <c r="D94" s="78">
        <v>8</v>
      </c>
      <c r="E94" s="78">
        <f>IFERROR(C94*D94,0)</f>
        <v>8</v>
      </c>
      <c r="F94" s="15">
        <v>4</v>
      </c>
      <c r="G94" s="15">
        <v>0</v>
      </c>
      <c r="H94" s="15">
        <v>5</v>
      </c>
      <c r="I94" s="15">
        <v>2</v>
      </c>
      <c r="J94" s="15">
        <v>1.5</v>
      </c>
      <c r="K94" s="15">
        <v>0.05</v>
      </c>
      <c r="L94" s="3" t="s">
        <v>105</v>
      </c>
      <c r="M94" s="3" t="s">
        <v>356</v>
      </c>
      <c r="N94" s="3"/>
      <c r="O94" s="3"/>
      <c r="P94" s="3"/>
      <c r="Q94" s="3" t="s">
        <v>356</v>
      </c>
      <c r="R94" s="3" t="s">
        <v>356</v>
      </c>
      <c r="S94" s="3"/>
      <c r="T94" s="3"/>
      <c r="U94" s="3"/>
      <c r="V94" s="76">
        <f>IF(UPPER(M94)="X",0.5,IF(UPPER(N94)="X",0.2,IF(UPPER(O94)="X",0.05,0)))</f>
        <v>0.5</v>
      </c>
      <c r="W94" s="3" t="s">
        <v>198</v>
      </c>
    </row>
    <row r="95" spans="1:23" x14ac:dyDescent="0.3">
      <c r="A95" s="3">
        <v>3</v>
      </c>
      <c r="B95" s="3" t="s">
        <v>199</v>
      </c>
      <c r="C95" s="14">
        <v>4</v>
      </c>
      <c r="D95" s="78">
        <v>1.5</v>
      </c>
      <c r="E95" s="78">
        <f>IFERROR(C95*D95,0)</f>
        <v>6</v>
      </c>
      <c r="F95" s="15">
        <v>5</v>
      </c>
      <c r="G95" s="15">
        <v>1.5</v>
      </c>
      <c r="H95" s="15">
        <v>4.5</v>
      </c>
      <c r="I95" s="15">
        <v>0.3</v>
      </c>
      <c r="J95" s="15">
        <v>0.1</v>
      </c>
      <c r="K95" s="15">
        <v>0.1</v>
      </c>
      <c r="L95" s="3" t="s">
        <v>105</v>
      </c>
      <c r="M95" s="3" t="s">
        <v>356</v>
      </c>
      <c r="N95" s="3"/>
      <c r="O95" s="3"/>
      <c r="P95" s="3"/>
      <c r="Q95" s="3" t="s">
        <v>356</v>
      </c>
      <c r="R95" s="3" t="s">
        <v>356</v>
      </c>
      <c r="S95" s="3"/>
      <c r="T95" s="3"/>
      <c r="U95" s="3"/>
      <c r="V95" s="76">
        <f>IF(UPPER(M95)="X",0.5,IF(UPPER(N95)="X",0.2,IF(UPPER(O95)="X",0.05,0)))</f>
        <v>0.5</v>
      </c>
      <c r="W95" s="3"/>
    </row>
    <row r="96" spans="1:23" x14ac:dyDescent="0.3">
      <c r="A96" s="3">
        <v>4</v>
      </c>
      <c r="B96" s="3" t="s">
        <v>200</v>
      </c>
      <c r="C96" s="14">
        <v>3</v>
      </c>
      <c r="D96" s="78">
        <v>6</v>
      </c>
      <c r="E96" s="78">
        <f>IFERROR(C96*D96,0)</f>
        <v>18</v>
      </c>
      <c r="F96" s="15">
        <v>19</v>
      </c>
      <c r="G96" s="15">
        <v>3</v>
      </c>
      <c r="H96" s="15">
        <v>3</v>
      </c>
      <c r="I96" s="15">
        <v>1</v>
      </c>
      <c r="J96" s="15">
        <v>0.5</v>
      </c>
      <c r="K96" s="15">
        <v>0.5</v>
      </c>
      <c r="L96" s="3" t="s">
        <v>105</v>
      </c>
      <c r="M96" s="3" t="s">
        <v>356</v>
      </c>
      <c r="N96" s="3"/>
      <c r="O96" s="3"/>
      <c r="P96" s="3"/>
      <c r="Q96" s="3" t="s">
        <v>356</v>
      </c>
      <c r="R96" s="3" t="s">
        <v>356</v>
      </c>
      <c r="S96" s="3"/>
      <c r="T96" s="3"/>
      <c r="U96" s="3"/>
      <c r="V96" s="76">
        <f>IF(UPPER(M96)="X",0.5,IF(UPPER(N96)="X",0.2,IF(UPPER(O96)="X",0.05,0)))</f>
        <v>0.5</v>
      </c>
      <c r="W96" s="3" t="s">
        <v>201</v>
      </c>
    </row>
    <row r="102" spans="1:23" ht="15" thickBot="1" x14ac:dyDescent="0.35">
      <c r="A102" s="26"/>
      <c r="B102" s="26" t="s">
        <v>430</v>
      </c>
      <c r="C102" s="26"/>
      <c r="D102" s="26"/>
      <c r="E102" s="87">
        <f>SUM(E93:E96)</f>
        <v>67</v>
      </c>
      <c r="F102" s="28">
        <f>IFERROR(SUMPRODUCT(E93:E96,F93:F96)/E102,0)</f>
        <v>14.388059701492537</v>
      </c>
      <c r="G102" s="28">
        <f>IFERROR(SUMPRODUCT(E93:E96,G93:G96)/E102,0)</f>
        <v>0.94029850746268662</v>
      </c>
      <c r="H102" s="28">
        <f>IFERROR(SUMPRODUCT(E93:E96,H93:H96)/E102,0)</f>
        <v>3.8955223880597014</v>
      </c>
      <c r="I102" s="87">
        <f>SUMPRODUCT(E93:E96,V93:V96)</f>
        <v>33.5</v>
      </c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</row>
    <row r="103" spans="1:23" ht="15" thickTop="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</row>
    <row r="104" spans="1:23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</row>
    <row r="105" spans="1:23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</row>
    <row r="106" spans="1:23" ht="15" thickBot="1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</row>
    <row r="107" spans="1:23" ht="16.2" thickTop="1" x14ac:dyDescent="0.3">
      <c r="A107" s="90" t="s">
        <v>431</v>
      </c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1"/>
      <c r="S107" s="91"/>
      <c r="T107" s="91"/>
      <c r="U107" s="91"/>
      <c r="V107" s="91"/>
      <c r="W107" s="91"/>
    </row>
    <row r="108" spans="1:23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</row>
    <row r="109" spans="1:23" x14ac:dyDescent="0.3">
      <c r="A109" s="83"/>
      <c r="B109" s="18" t="s">
        <v>464</v>
      </c>
      <c r="C109" s="18"/>
      <c r="D109" s="18" t="s">
        <v>329</v>
      </c>
      <c r="E109" s="18" t="s">
        <v>92</v>
      </c>
      <c r="F109" s="18" t="s">
        <v>93</v>
      </c>
      <c r="G109" s="18" t="s">
        <v>94</v>
      </c>
      <c r="H109" s="18" t="s">
        <v>84</v>
      </c>
      <c r="I109" s="18" t="s">
        <v>85</v>
      </c>
      <c r="J109" s="83"/>
      <c r="K109" s="83"/>
      <c r="L109" s="83"/>
      <c r="M109" s="83"/>
      <c r="N109" s="83"/>
      <c r="O109" s="83"/>
      <c r="P109" s="83"/>
      <c r="Q109" s="83"/>
      <c r="R109" s="83"/>
      <c r="S109" s="83"/>
      <c r="T109" s="83"/>
      <c r="U109" s="83"/>
      <c r="V109" s="83"/>
      <c r="W109" s="83"/>
    </row>
    <row r="110" spans="1:23" x14ac:dyDescent="0.3">
      <c r="A110" s="43"/>
      <c r="B110" s="43"/>
      <c r="C110" s="43"/>
      <c r="D110" s="85">
        <f>E121</f>
        <v>48</v>
      </c>
      <c r="E110" s="86">
        <f>F121</f>
        <v>9.5416666666666661</v>
      </c>
      <c r="F110" s="86">
        <f>G121</f>
        <v>0</v>
      </c>
      <c r="G110" s="86">
        <f>H121</f>
        <v>3</v>
      </c>
      <c r="H110" s="85">
        <f>I121</f>
        <v>17.399999999999999</v>
      </c>
      <c r="I110" s="85">
        <f>I121</f>
        <v>17.399999999999999</v>
      </c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</row>
    <row r="111" spans="1:23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92" t="s">
        <v>111</v>
      </c>
      <c r="N111" s="92"/>
      <c r="O111" s="92"/>
      <c r="P111" s="92" t="s">
        <v>471</v>
      </c>
      <c r="Q111" s="92"/>
      <c r="R111" s="92" t="s">
        <v>112</v>
      </c>
      <c r="S111" s="92"/>
      <c r="T111" s="92"/>
      <c r="U111" s="92"/>
      <c r="V111" s="3"/>
      <c r="W111" s="3"/>
    </row>
    <row r="112" spans="1:23" x14ac:dyDescent="0.3">
      <c r="A112" s="84" t="s">
        <v>106</v>
      </c>
      <c r="B112" s="84" t="s">
        <v>107</v>
      </c>
      <c r="C112" s="84" t="s">
        <v>2</v>
      </c>
      <c r="D112" s="84" t="s">
        <v>72</v>
      </c>
      <c r="E112" s="84" t="s">
        <v>73</v>
      </c>
      <c r="F112" s="84" t="s">
        <v>92</v>
      </c>
      <c r="G112" s="84" t="s">
        <v>93</v>
      </c>
      <c r="H112" s="84" t="s">
        <v>94</v>
      </c>
      <c r="I112" s="84" t="s">
        <v>108</v>
      </c>
      <c r="J112" s="84" t="s">
        <v>109</v>
      </c>
      <c r="K112" s="84" t="s">
        <v>110</v>
      </c>
      <c r="L112" s="84" t="s">
        <v>95</v>
      </c>
      <c r="M112" s="84" t="s">
        <v>128</v>
      </c>
      <c r="N112" s="84" t="s">
        <v>349</v>
      </c>
      <c r="O112" s="84" t="s">
        <v>172</v>
      </c>
      <c r="P112" s="84" t="s">
        <v>350</v>
      </c>
      <c r="Q112" s="84" t="s">
        <v>129</v>
      </c>
      <c r="R112" s="84" t="s">
        <v>351</v>
      </c>
      <c r="S112" s="84" t="s">
        <v>352</v>
      </c>
      <c r="T112" s="84" t="s">
        <v>353</v>
      </c>
      <c r="U112" s="84" t="s">
        <v>354</v>
      </c>
      <c r="V112" s="84" t="s">
        <v>355</v>
      </c>
      <c r="W112" s="84" t="s">
        <v>3</v>
      </c>
    </row>
    <row r="113" spans="1:23" x14ac:dyDescent="0.3">
      <c r="A113" s="3">
        <v>1</v>
      </c>
      <c r="B113" s="3" t="s">
        <v>231</v>
      </c>
      <c r="C113" s="14">
        <v>1</v>
      </c>
      <c r="D113" s="78">
        <v>22</v>
      </c>
      <c r="E113" s="78">
        <f>IFERROR(C113*D113,0)</f>
        <v>22</v>
      </c>
      <c r="F113" s="15">
        <v>5</v>
      </c>
      <c r="G113" s="15">
        <v>0</v>
      </c>
      <c r="H113" s="15">
        <v>1</v>
      </c>
      <c r="I113" s="15">
        <v>2</v>
      </c>
      <c r="J113" s="15">
        <v>0.6</v>
      </c>
      <c r="K113" s="15">
        <v>0.6</v>
      </c>
      <c r="L113" s="3" t="s">
        <v>166</v>
      </c>
      <c r="M113" s="3"/>
      <c r="N113" s="3" t="s">
        <v>356</v>
      </c>
      <c r="O113" s="3"/>
      <c r="P113" s="3"/>
      <c r="Q113" s="3" t="s">
        <v>356</v>
      </c>
      <c r="R113" s="3"/>
      <c r="S113" s="3" t="s">
        <v>356</v>
      </c>
      <c r="T113" s="3"/>
      <c r="U113" s="3"/>
      <c r="V113" s="76">
        <f>IF(UPPER(M113)="X",0.5,IF(UPPER(N113)="X",0.2,IF(UPPER(O113)="X",0.05,0)))</f>
        <v>0.2</v>
      </c>
      <c r="W113" s="3"/>
    </row>
    <row r="114" spans="1:23" x14ac:dyDescent="0.3">
      <c r="A114" s="3">
        <v>2</v>
      </c>
      <c r="B114" s="3" t="s">
        <v>232</v>
      </c>
      <c r="C114" s="14">
        <v>1</v>
      </c>
      <c r="D114" s="78">
        <v>18</v>
      </c>
      <c r="E114" s="78">
        <f>IFERROR(C114*D114,0)</f>
        <v>18</v>
      </c>
      <c r="F114" s="15">
        <v>14</v>
      </c>
      <c r="G114" s="15">
        <v>0</v>
      </c>
      <c r="H114" s="15">
        <v>5</v>
      </c>
      <c r="I114" s="15">
        <v>2</v>
      </c>
      <c r="J114" s="15">
        <v>0.5</v>
      </c>
      <c r="K114" s="15">
        <v>0.5</v>
      </c>
      <c r="L114" s="3" t="s">
        <v>166</v>
      </c>
      <c r="M114" s="3" t="s">
        <v>356</v>
      </c>
      <c r="N114" s="3"/>
      <c r="O114" s="3"/>
      <c r="P114" s="3"/>
      <c r="Q114" s="3" t="s">
        <v>356</v>
      </c>
      <c r="R114" s="3" t="s">
        <v>356</v>
      </c>
      <c r="S114" s="3"/>
      <c r="T114" s="3"/>
      <c r="U114" s="3"/>
      <c r="V114" s="76">
        <f>IF(UPPER(M114)="X",0.5,IF(UPPER(N114)="X",0.2,IF(UPPER(O114)="X",0.05,0)))</f>
        <v>0.5</v>
      </c>
      <c r="W114" s="3" t="s">
        <v>233</v>
      </c>
    </row>
    <row r="115" spans="1:23" x14ac:dyDescent="0.3">
      <c r="A115" s="3">
        <v>3</v>
      </c>
      <c r="B115" s="3" t="s">
        <v>234</v>
      </c>
      <c r="C115" s="14">
        <v>1</v>
      </c>
      <c r="D115" s="78">
        <v>8</v>
      </c>
      <c r="E115" s="78">
        <f>IFERROR(C115*D115,0)</f>
        <v>8</v>
      </c>
      <c r="F115" s="15">
        <v>12</v>
      </c>
      <c r="G115" s="15">
        <v>0</v>
      </c>
      <c r="H115" s="15">
        <v>4</v>
      </c>
      <c r="I115" s="15">
        <v>18</v>
      </c>
      <c r="J115" s="15">
        <v>0.1</v>
      </c>
      <c r="K115" s="15">
        <v>0.1</v>
      </c>
      <c r="L115" s="3" t="s">
        <v>166</v>
      </c>
      <c r="M115" s="3" t="s">
        <v>356</v>
      </c>
      <c r="N115" s="3"/>
      <c r="O115" s="3"/>
      <c r="P115" s="3"/>
      <c r="Q115" s="3" t="s">
        <v>356</v>
      </c>
      <c r="R115" s="3" t="s">
        <v>356</v>
      </c>
      <c r="S115" s="3"/>
      <c r="T115" s="3"/>
      <c r="U115" s="3"/>
      <c r="V115" s="76">
        <f>IF(UPPER(M115)="X",0.5,IF(UPPER(N115)="X",0.2,IF(UPPER(O115)="X",0.05,0)))</f>
        <v>0.5</v>
      </c>
      <c r="W115" s="3"/>
    </row>
    <row r="121" spans="1:23" ht="15" thickBot="1" x14ac:dyDescent="0.35">
      <c r="A121" s="26"/>
      <c r="B121" s="26" t="s">
        <v>432</v>
      </c>
      <c r="C121" s="26"/>
      <c r="D121" s="26"/>
      <c r="E121" s="87">
        <f>SUM(E113:E115)</f>
        <v>48</v>
      </c>
      <c r="F121" s="28">
        <f>IFERROR(SUMPRODUCT(E113:E115,F113:F115)/E121,0)</f>
        <v>9.5416666666666661</v>
      </c>
      <c r="G121" s="28">
        <f>IFERROR(SUMPRODUCT(E113:E115,G113:G115)/E121,0)</f>
        <v>0</v>
      </c>
      <c r="H121" s="28">
        <f>IFERROR(SUMPRODUCT(E113:E115,H113:H115)/E121,0)</f>
        <v>3</v>
      </c>
      <c r="I121" s="87">
        <f>SUMPRODUCT(E113:E115,V113:V115)</f>
        <v>17.399999999999999</v>
      </c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</row>
    <row r="122" spans="1:23" ht="15" thickTop="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</row>
    <row r="123" spans="1:23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</row>
    <row r="124" spans="1:23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</row>
    <row r="125" spans="1:23" ht="15" thickBot="1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</row>
    <row r="126" spans="1:23" ht="16.2" thickTop="1" x14ac:dyDescent="0.3">
      <c r="A126" s="90" t="s">
        <v>433</v>
      </c>
      <c r="B126" s="91"/>
      <c r="C126" s="91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1"/>
      <c r="S126" s="91"/>
      <c r="T126" s="91"/>
      <c r="U126" s="91"/>
      <c r="V126" s="91"/>
      <c r="W126" s="91"/>
    </row>
    <row r="127" spans="1:23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</row>
    <row r="128" spans="1:23" x14ac:dyDescent="0.3">
      <c r="A128" s="83"/>
      <c r="B128" s="18" t="s">
        <v>464</v>
      </c>
      <c r="C128" s="18"/>
      <c r="D128" s="18" t="s">
        <v>329</v>
      </c>
      <c r="E128" s="18" t="s">
        <v>92</v>
      </c>
      <c r="F128" s="18" t="s">
        <v>93</v>
      </c>
      <c r="G128" s="18" t="s">
        <v>94</v>
      </c>
      <c r="H128" s="18" t="s">
        <v>84</v>
      </c>
      <c r="I128" s="18" t="s">
        <v>85</v>
      </c>
      <c r="J128" s="83"/>
      <c r="K128" s="83"/>
      <c r="L128" s="83"/>
      <c r="M128" s="83"/>
      <c r="N128" s="83"/>
      <c r="O128" s="83"/>
      <c r="P128" s="83"/>
      <c r="Q128" s="83"/>
      <c r="R128" s="83"/>
      <c r="S128" s="83"/>
      <c r="T128" s="83"/>
      <c r="U128" s="83"/>
      <c r="V128" s="83"/>
      <c r="W128" s="83"/>
    </row>
    <row r="129" spans="1:23" x14ac:dyDescent="0.3">
      <c r="A129" s="43"/>
      <c r="B129" s="43"/>
      <c r="C129" s="43"/>
      <c r="D129" s="85">
        <f>E140</f>
        <v>58</v>
      </c>
      <c r="E129" s="86">
        <f>F140</f>
        <v>25</v>
      </c>
      <c r="F129" s="86">
        <f>G140</f>
        <v>0</v>
      </c>
      <c r="G129" s="86">
        <f>H140</f>
        <v>2.5</v>
      </c>
      <c r="H129" s="85">
        <f>I140</f>
        <v>29</v>
      </c>
      <c r="I129" s="85">
        <f>I140</f>
        <v>29</v>
      </c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</row>
    <row r="130" spans="1:23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92" t="s">
        <v>111</v>
      </c>
      <c r="N130" s="92"/>
      <c r="O130" s="92"/>
      <c r="P130" s="92" t="s">
        <v>471</v>
      </c>
      <c r="Q130" s="92"/>
      <c r="R130" s="92" t="s">
        <v>112</v>
      </c>
      <c r="S130" s="92"/>
      <c r="T130" s="92"/>
      <c r="U130" s="92"/>
      <c r="V130" s="3"/>
      <c r="W130" s="3"/>
    </row>
    <row r="131" spans="1:23" x14ac:dyDescent="0.3">
      <c r="A131" s="84" t="s">
        <v>106</v>
      </c>
      <c r="B131" s="84" t="s">
        <v>107</v>
      </c>
      <c r="C131" s="84" t="s">
        <v>2</v>
      </c>
      <c r="D131" s="84" t="s">
        <v>72</v>
      </c>
      <c r="E131" s="84" t="s">
        <v>73</v>
      </c>
      <c r="F131" s="84" t="s">
        <v>92</v>
      </c>
      <c r="G131" s="84" t="s">
        <v>93</v>
      </c>
      <c r="H131" s="84" t="s">
        <v>94</v>
      </c>
      <c r="I131" s="84" t="s">
        <v>108</v>
      </c>
      <c r="J131" s="84" t="s">
        <v>109</v>
      </c>
      <c r="K131" s="84" t="s">
        <v>110</v>
      </c>
      <c r="L131" s="84" t="s">
        <v>95</v>
      </c>
      <c r="M131" s="84" t="s">
        <v>128</v>
      </c>
      <c r="N131" s="84" t="s">
        <v>349</v>
      </c>
      <c r="O131" s="84" t="s">
        <v>172</v>
      </c>
      <c r="P131" s="84" t="s">
        <v>350</v>
      </c>
      <c r="Q131" s="84" t="s">
        <v>129</v>
      </c>
      <c r="R131" s="84" t="s">
        <v>351</v>
      </c>
      <c r="S131" s="84" t="s">
        <v>352</v>
      </c>
      <c r="T131" s="84" t="s">
        <v>353</v>
      </c>
      <c r="U131" s="84" t="s">
        <v>354</v>
      </c>
      <c r="V131" s="84" t="s">
        <v>355</v>
      </c>
      <c r="W131" s="84" t="s">
        <v>3</v>
      </c>
    </row>
    <row r="132" spans="1:23" x14ac:dyDescent="0.3">
      <c r="A132" s="3">
        <v>1</v>
      </c>
      <c r="B132" s="3" t="s">
        <v>235</v>
      </c>
      <c r="C132" s="14">
        <v>1</v>
      </c>
      <c r="D132" s="78">
        <v>18</v>
      </c>
      <c r="E132" s="78">
        <f>IFERROR(C132*D132,0)</f>
        <v>18</v>
      </c>
      <c r="F132" s="15">
        <v>27</v>
      </c>
      <c r="G132" s="15">
        <v>0</v>
      </c>
      <c r="H132" s="15">
        <v>2.5</v>
      </c>
      <c r="I132" s="15">
        <v>8</v>
      </c>
      <c r="J132" s="15">
        <v>0.3</v>
      </c>
      <c r="K132" s="15">
        <v>0.3</v>
      </c>
      <c r="L132" s="3" t="s">
        <v>105</v>
      </c>
      <c r="M132" s="3" t="s">
        <v>356</v>
      </c>
      <c r="N132" s="3"/>
      <c r="O132" s="3"/>
      <c r="P132" s="3"/>
      <c r="Q132" s="3" t="s">
        <v>356</v>
      </c>
      <c r="R132" s="3" t="s">
        <v>356</v>
      </c>
      <c r="S132" s="3"/>
      <c r="T132" s="3"/>
      <c r="U132" s="3"/>
      <c r="V132" s="76">
        <f>IF(UPPER(M132)="X",0.5,IF(UPPER(N132)="X",0.2,IF(UPPER(O132)="X",0.05,0)))</f>
        <v>0.5</v>
      </c>
      <c r="W132" s="3" t="s">
        <v>236</v>
      </c>
    </row>
    <row r="133" spans="1:23" x14ac:dyDescent="0.3">
      <c r="A133" s="3">
        <v>2</v>
      </c>
      <c r="B133" s="3" t="s">
        <v>237</v>
      </c>
      <c r="C133" s="14">
        <v>1</v>
      </c>
      <c r="D133" s="78">
        <v>12</v>
      </c>
      <c r="E133" s="78">
        <f>IFERROR(C133*D133,0)</f>
        <v>12</v>
      </c>
      <c r="F133" s="15">
        <v>22</v>
      </c>
      <c r="G133" s="15">
        <v>0</v>
      </c>
      <c r="H133" s="15">
        <v>2.5</v>
      </c>
      <c r="I133" s="15">
        <v>0.8</v>
      </c>
      <c r="J133" s="15">
        <v>0.6</v>
      </c>
      <c r="K133" s="15">
        <v>0.5</v>
      </c>
      <c r="L133" s="3" t="s">
        <v>105</v>
      </c>
      <c r="M133" s="3" t="s">
        <v>356</v>
      </c>
      <c r="N133" s="3"/>
      <c r="O133" s="3"/>
      <c r="P133" s="3"/>
      <c r="Q133" s="3" t="s">
        <v>356</v>
      </c>
      <c r="R133" s="3" t="s">
        <v>356</v>
      </c>
      <c r="S133" s="3"/>
      <c r="T133" s="3"/>
      <c r="U133" s="3"/>
      <c r="V133" s="76">
        <f>IF(UPPER(M133)="X",0.5,IF(UPPER(N133)="X",0.2,IF(UPPER(O133)="X",0.05,0)))</f>
        <v>0.5</v>
      </c>
      <c r="W133" s="3"/>
    </row>
    <row r="134" spans="1:23" x14ac:dyDescent="0.3">
      <c r="A134" s="3">
        <v>3</v>
      </c>
      <c r="B134" s="3" t="s">
        <v>238</v>
      </c>
      <c r="C134" s="14">
        <v>1</v>
      </c>
      <c r="D134" s="78">
        <v>28</v>
      </c>
      <c r="E134" s="78">
        <f>IFERROR(C134*D134,0)</f>
        <v>28</v>
      </c>
      <c r="F134" s="15">
        <v>25</v>
      </c>
      <c r="G134" s="15">
        <v>0</v>
      </c>
      <c r="H134" s="15">
        <v>2.5</v>
      </c>
      <c r="I134" s="15">
        <v>1.5</v>
      </c>
      <c r="J134" s="15">
        <v>1</v>
      </c>
      <c r="K134" s="15">
        <v>0.8</v>
      </c>
      <c r="L134" s="3" t="s">
        <v>105</v>
      </c>
      <c r="M134" s="3" t="s">
        <v>356</v>
      </c>
      <c r="N134" s="3"/>
      <c r="O134" s="3"/>
      <c r="P134" s="3"/>
      <c r="Q134" s="3" t="s">
        <v>356</v>
      </c>
      <c r="R134" s="3" t="s">
        <v>356</v>
      </c>
      <c r="S134" s="3"/>
      <c r="T134" s="3"/>
      <c r="U134" s="3"/>
      <c r="V134" s="76">
        <f>IF(UPPER(M134)="X",0.5,IF(UPPER(N134)="X",0.2,IF(UPPER(O134)="X",0.05,0)))</f>
        <v>0.5</v>
      </c>
      <c r="W134" s="3"/>
    </row>
    <row r="140" spans="1:23" ht="15" thickBot="1" x14ac:dyDescent="0.35">
      <c r="A140" s="26"/>
      <c r="B140" s="26" t="s">
        <v>434</v>
      </c>
      <c r="C140" s="26"/>
      <c r="D140" s="26"/>
      <c r="E140" s="87">
        <f>SUM(E132:E134)</f>
        <v>58</v>
      </c>
      <c r="F140" s="28">
        <f>IFERROR(SUMPRODUCT(E132:E134,F132:F134)/E140,0)</f>
        <v>25</v>
      </c>
      <c r="G140" s="28">
        <f>IFERROR(SUMPRODUCT(E132:E134,G132:G134)/E140,0)</f>
        <v>0</v>
      </c>
      <c r="H140" s="28">
        <f>IFERROR(SUMPRODUCT(E132:E134,H132:H134)/E140,0)</f>
        <v>2.5</v>
      </c>
      <c r="I140" s="87">
        <f>SUMPRODUCT(E132:E134,V132:V134)</f>
        <v>29</v>
      </c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</row>
    <row r="141" spans="1:23" ht="15" thickTop="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</row>
    <row r="142" spans="1:23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</row>
    <row r="143" spans="1:23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</row>
    <row r="144" spans="1:23" ht="15" thickBot="1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</row>
    <row r="145" spans="1:23" ht="16.2" thickTop="1" x14ac:dyDescent="0.3">
      <c r="A145" s="90" t="s">
        <v>435</v>
      </c>
      <c r="B145" s="91"/>
      <c r="C145" s="91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1"/>
      <c r="S145" s="91"/>
      <c r="T145" s="91"/>
      <c r="U145" s="91"/>
      <c r="V145" s="91"/>
      <c r="W145" s="91"/>
    </row>
    <row r="146" spans="1:23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</row>
    <row r="147" spans="1:23" x14ac:dyDescent="0.3">
      <c r="A147" s="83"/>
      <c r="B147" s="18" t="s">
        <v>464</v>
      </c>
      <c r="C147" s="18"/>
      <c r="D147" s="18" t="s">
        <v>329</v>
      </c>
      <c r="E147" s="18" t="s">
        <v>92</v>
      </c>
      <c r="F147" s="18" t="s">
        <v>93</v>
      </c>
      <c r="G147" s="18" t="s">
        <v>94</v>
      </c>
      <c r="H147" s="18" t="s">
        <v>84</v>
      </c>
      <c r="I147" s="18" t="s">
        <v>85</v>
      </c>
      <c r="J147" s="83"/>
      <c r="K147" s="83"/>
      <c r="L147" s="83"/>
      <c r="M147" s="83"/>
      <c r="N147" s="83"/>
      <c r="O147" s="83"/>
      <c r="P147" s="83"/>
      <c r="Q147" s="83"/>
      <c r="R147" s="83"/>
      <c r="S147" s="83"/>
      <c r="T147" s="83"/>
      <c r="U147" s="83"/>
      <c r="V147" s="83"/>
      <c r="W147" s="83"/>
    </row>
    <row r="148" spans="1:23" x14ac:dyDescent="0.3">
      <c r="A148" s="43"/>
      <c r="B148" s="43"/>
      <c r="C148" s="43"/>
      <c r="D148" s="85">
        <f>E159</f>
        <v>46</v>
      </c>
      <c r="E148" s="86">
        <f>F159</f>
        <v>22.086956521739129</v>
      </c>
      <c r="F148" s="86">
        <f>G159</f>
        <v>0</v>
      </c>
      <c r="G148" s="86">
        <f>H159</f>
        <v>1.9565217391304348</v>
      </c>
      <c r="H148" s="85">
        <f>I159</f>
        <v>23</v>
      </c>
      <c r="I148" s="85">
        <f>I159</f>
        <v>23</v>
      </c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</row>
    <row r="149" spans="1:23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92" t="s">
        <v>111</v>
      </c>
      <c r="N149" s="92"/>
      <c r="O149" s="92"/>
      <c r="P149" s="92" t="s">
        <v>471</v>
      </c>
      <c r="Q149" s="92"/>
      <c r="R149" s="92" t="s">
        <v>112</v>
      </c>
      <c r="S149" s="92"/>
      <c r="T149" s="92"/>
      <c r="U149" s="92"/>
      <c r="V149" s="3"/>
      <c r="W149" s="3"/>
    </row>
    <row r="150" spans="1:23" x14ac:dyDescent="0.3">
      <c r="A150" s="84" t="s">
        <v>106</v>
      </c>
      <c r="B150" s="84" t="s">
        <v>107</v>
      </c>
      <c r="C150" s="84" t="s">
        <v>2</v>
      </c>
      <c r="D150" s="84" t="s">
        <v>72</v>
      </c>
      <c r="E150" s="84" t="s">
        <v>73</v>
      </c>
      <c r="F150" s="84" t="s">
        <v>92</v>
      </c>
      <c r="G150" s="84" t="s">
        <v>93</v>
      </c>
      <c r="H150" s="84" t="s">
        <v>94</v>
      </c>
      <c r="I150" s="84" t="s">
        <v>108</v>
      </c>
      <c r="J150" s="84" t="s">
        <v>109</v>
      </c>
      <c r="K150" s="84" t="s">
        <v>110</v>
      </c>
      <c r="L150" s="84" t="s">
        <v>95</v>
      </c>
      <c r="M150" s="84" t="s">
        <v>128</v>
      </c>
      <c r="N150" s="84" t="s">
        <v>349</v>
      </c>
      <c r="O150" s="84" t="s">
        <v>172</v>
      </c>
      <c r="P150" s="84" t="s">
        <v>350</v>
      </c>
      <c r="Q150" s="84" t="s">
        <v>129</v>
      </c>
      <c r="R150" s="84" t="s">
        <v>351</v>
      </c>
      <c r="S150" s="84" t="s">
        <v>352</v>
      </c>
      <c r="T150" s="84" t="s">
        <v>353</v>
      </c>
      <c r="U150" s="84" t="s">
        <v>354</v>
      </c>
      <c r="V150" s="84" t="s">
        <v>355</v>
      </c>
      <c r="W150" s="84" t="s">
        <v>3</v>
      </c>
    </row>
    <row r="151" spans="1:23" x14ac:dyDescent="0.3">
      <c r="A151" s="3">
        <v>1</v>
      </c>
      <c r="B151" s="3" t="s">
        <v>239</v>
      </c>
      <c r="C151" s="14">
        <v>1</v>
      </c>
      <c r="D151" s="78">
        <v>18</v>
      </c>
      <c r="E151" s="78">
        <f>IFERROR(C151*D151,0)</f>
        <v>18</v>
      </c>
      <c r="F151" s="15">
        <v>21</v>
      </c>
      <c r="G151" s="15">
        <v>0</v>
      </c>
      <c r="H151" s="15">
        <v>2.5</v>
      </c>
      <c r="I151" s="15">
        <v>1.5</v>
      </c>
      <c r="J151" s="15">
        <v>1</v>
      </c>
      <c r="K151" s="15">
        <v>1</v>
      </c>
      <c r="L151" s="3" t="s">
        <v>115</v>
      </c>
      <c r="M151" s="3" t="s">
        <v>356</v>
      </c>
      <c r="N151" s="3"/>
      <c r="O151" s="3"/>
      <c r="P151" s="3"/>
      <c r="Q151" s="3" t="s">
        <v>356</v>
      </c>
      <c r="R151" s="3" t="s">
        <v>356</v>
      </c>
      <c r="S151" s="3"/>
      <c r="T151" s="3"/>
      <c r="U151" s="3"/>
      <c r="V151" s="76">
        <f>IF(UPPER(M151)="X",0.5,IF(UPPER(N151)="X",0.2,IF(UPPER(O151)="X",0.05,0)))</f>
        <v>0.5</v>
      </c>
      <c r="W151" s="3" t="s">
        <v>240</v>
      </c>
    </row>
    <row r="152" spans="1:23" x14ac:dyDescent="0.3">
      <c r="A152" s="3">
        <v>2</v>
      </c>
      <c r="B152" s="3" t="s">
        <v>241</v>
      </c>
      <c r="C152" s="14">
        <v>1</v>
      </c>
      <c r="D152" s="78">
        <v>22</v>
      </c>
      <c r="E152" s="78">
        <f>IFERROR(C152*D152,0)</f>
        <v>22</v>
      </c>
      <c r="F152" s="15">
        <v>23</v>
      </c>
      <c r="G152" s="15">
        <v>0</v>
      </c>
      <c r="H152" s="15">
        <v>1.5</v>
      </c>
      <c r="I152" s="15">
        <v>2</v>
      </c>
      <c r="J152" s="15">
        <v>1.2</v>
      </c>
      <c r="K152" s="15">
        <v>1</v>
      </c>
      <c r="L152" s="3" t="s">
        <v>115</v>
      </c>
      <c r="M152" s="3" t="s">
        <v>356</v>
      </c>
      <c r="N152" s="3"/>
      <c r="O152" s="3"/>
      <c r="P152" s="3"/>
      <c r="Q152" s="3" t="s">
        <v>356</v>
      </c>
      <c r="R152" s="3" t="s">
        <v>356</v>
      </c>
      <c r="S152" s="3"/>
      <c r="T152" s="3"/>
      <c r="U152" s="3"/>
      <c r="V152" s="76">
        <f>IF(UPPER(M152)="X",0.5,IF(UPPER(N152)="X",0.2,IF(UPPER(O152)="X",0.05,0)))</f>
        <v>0.5</v>
      </c>
      <c r="W152" s="3" t="s">
        <v>242</v>
      </c>
    </row>
    <row r="153" spans="1:23" x14ac:dyDescent="0.3">
      <c r="A153" s="3">
        <v>3</v>
      </c>
      <c r="B153" s="3" t="s">
        <v>243</v>
      </c>
      <c r="C153" s="14">
        <v>1</v>
      </c>
      <c r="D153" s="78">
        <v>6</v>
      </c>
      <c r="E153" s="78">
        <f>IFERROR(C153*D153,0)</f>
        <v>6</v>
      </c>
      <c r="F153" s="15">
        <v>22</v>
      </c>
      <c r="G153" s="15">
        <v>0</v>
      </c>
      <c r="H153" s="15">
        <v>2</v>
      </c>
      <c r="I153" s="15">
        <v>5</v>
      </c>
      <c r="J153" s="15">
        <v>0.1</v>
      </c>
      <c r="K153" s="15">
        <v>0.1</v>
      </c>
      <c r="L153" s="3" t="s">
        <v>115</v>
      </c>
      <c r="M153" s="3" t="s">
        <v>356</v>
      </c>
      <c r="N153" s="3"/>
      <c r="O153" s="3"/>
      <c r="P153" s="3"/>
      <c r="Q153" s="3" t="s">
        <v>356</v>
      </c>
      <c r="R153" s="3" t="s">
        <v>356</v>
      </c>
      <c r="S153" s="3"/>
      <c r="T153" s="3"/>
      <c r="U153" s="3"/>
      <c r="V153" s="76">
        <f>IF(UPPER(M153)="X",0.5,IF(UPPER(N153)="X",0.2,IF(UPPER(O153)="X",0.05,0)))</f>
        <v>0.5</v>
      </c>
      <c r="W153" s="3"/>
    </row>
    <row r="159" spans="1:23" ht="15" thickBot="1" x14ac:dyDescent="0.35">
      <c r="A159" s="26"/>
      <c r="B159" s="26" t="s">
        <v>436</v>
      </c>
      <c r="C159" s="26"/>
      <c r="D159" s="26"/>
      <c r="E159" s="87">
        <f>SUM(E151:E153)</f>
        <v>46</v>
      </c>
      <c r="F159" s="28">
        <f>IFERROR(SUMPRODUCT(E151:E153,F151:F153)/E159,0)</f>
        <v>22.086956521739129</v>
      </c>
      <c r="G159" s="28">
        <f>IFERROR(SUMPRODUCT(E151:E153,G151:G153)/E159,0)</f>
        <v>0</v>
      </c>
      <c r="H159" s="28">
        <f>IFERROR(SUMPRODUCT(E151:E153,H151:H153)/E159,0)</f>
        <v>1.9565217391304348</v>
      </c>
      <c r="I159" s="87">
        <f>SUMPRODUCT(E151:E153,V151:V153)</f>
        <v>23</v>
      </c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</row>
    <row r="160" spans="1:23" ht="15" thickTop="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</row>
  </sheetData>
  <mergeCells count="33">
    <mergeCell ref="M149:O149"/>
    <mergeCell ref="P149:Q149"/>
    <mergeCell ref="R149:U149"/>
    <mergeCell ref="M111:O111"/>
    <mergeCell ref="P111:Q111"/>
    <mergeCell ref="R111:U111"/>
    <mergeCell ref="A107:W107"/>
    <mergeCell ref="M130:O130"/>
    <mergeCell ref="P130:Q130"/>
    <mergeCell ref="R130:U130"/>
    <mergeCell ref="A126:W126"/>
    <mergeCell ref="A145:W145"/>
    <mergeCell ref="M7:O7"/>
    <mergeCell ref="P7:Q7"/>
    <mergeCell ref="R7:U7"/>
    <mergeCell ref="M27:O27"/>
    <mergeCell ref="P27:Q27"/>
    <mergeCell ref="R27:U27"/>
    <mergeCell ref="M49:O49"/>
    <mergeCell ref="A87:W87"/>
    <mergeCell ref="M71:O71"/>
    <mergeCell ref="P71:Q71"/>
    <mergeCell ref="R71:U71"/>
    <mergeCell ref="M91:O91"/>
    <mergeCell ref="P91:Q91"/>
    <mergeCell ref="R91:U91"/>
    <mergeCell ref="A1:W1"/>
    <mergeCell ref="A3:W3"/>
    <mergeCell ref="A23:W23"/>
    <mergeCell ref="A45:W45"/>
    <mergeCell ref="A67:W67"/>
    <mergeCell ref="P49:Q49"/>
    <mergeCell ref="R49:U4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931CE-8E46-4B73-9C3F-C39347A61FC5}">
  <sheetPr codeName="Sheet48"/>
  <dimension ref="A1:W61"/>
  <sheetViews>
    <sheetView topLeftCell="D1" zoomScale="72" workbookViewId="0">
      <selection activeCell="A23" sqref="A23:W23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1" width="13" customWidth="1"/>
    <col min="12" max="12" width="18.88671875" bestFit="1" customWidth="1"/>
    <col min="13" max="13" width="6.44140625" customWidth="1"/>
    <col min="14" max="14" width="6.21875" bestFit="1" customWidth="1"/>
    <col min="15" max="15" width="9.109375" bestFit="1" customWidth="1"/>
    <col min="16" max="21" width="6.44140625" customWidth="1"/>
    <col min="22" max="22" width="10.21875" customWidth="1"/>
    <col min="23" max="23" width="46.33203125" customWidth="1"/>
  </cols>
  <sheetData>
    <row r="1" spans="1:23" ht="21" x14ac:dyDescent="0.4">
      <c r="A1" s="88" t="s">
        <v>437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23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t="16.2" thickTop="1" x14ac:dyDescent="0.3">
      <c r="A3" s="90" t="s">
        <v>438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</row>
    <row r="4" spans="1:23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x14ac:dyDescent="0.3">
      <c r="A5" s="83"/>
      <c r="B5" s="18" t="s">
        <v>464</v>
      </c>
      <c r="C5" s="18"/>
      <c r="D5" s="18" t="s">
        <v>329</v>
      </c>
      <c r="E5" s="18" t="s">
        <v>92</v>
      </c>
      <c r="F5" s="18" t="s">
        <v>93</v>
      </c>
      <c r="G5" s="18" t="s">
        <v>94</v>
      </c>
      <c r="H5" s="18" t="s">
        <v>84</v>
      </c>
      <c r="I5" s="18" t="s">
        <v>85</v>
      </c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x14ac:dyDescent="0.3">
      <c r="A6" s="43"/>
      <c r="B6" s="43"/>
      <c r="C6" s="43"/>
      <c r="D6" s="85">
        <f>E18</f>
        <v>386</v>
      </c>
      <c r="E6" s="86">
        <f>F18</f>
        <v>12.160621761658032</v>
      </c>
      <c r="F6" s="86">
        <f>G18</f>
        <v>0</v>
      </c>
      <c r="G6" s="86">
        <f>H18</f>
        <v>2.5984455958549222</v>
      </c>
      <c r="H6" s="85">
        <f>I18</f>
        <v>157</v>
      </c>
      <c r="I6" s="85">
        <f>I18</f>
        <v>157</v>
      </c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</row>
    <row r="7" spans="1:23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92" t="s">
        <v>111</v>
      </c>
      <c r="N7" s="92"/>
      <c r="O7" s="92"/>
      <c r="P7" s="92" t="s">
        <v>471</v>
      </c>
      <c r="Q7" s="92"/>
      <c r="R7" s="92" t="s">
        <v>112</v>
      </c>
      <c r="S7" s="92"/>
      <c r="T7" s="92"/>
      <c r="U7" s="92"/>
      <c r="V7" s="3"/>
      <c r="W7" s="3"/>
    </row>
    <row r="8" spans="1:23" x14ac:dyDescent="0.3">
      <c r="A8" s="84" t="s">
        <v>106</v>
      </c>
      <c r="B8" s="84" t="s">
        <v>107</v>
      </c>
      <c r="C8" s="84" t="s">
        <v>2</v>
      </c>
      <c r="D8" s="84" t="s">
        <v>72</v>
      </c>
      <c r="E8" s="84" t="s">
        <v>73</v>
      </c>
      <c r="F8" s="84" t="s">
        <v>92</v>
      </c>
      <c r="G8" s="84" t="s">
        <v>93</v>
      </c>
      <c r="H8" s="84" t="s">
        <v>94</v>
      </c>
      <c r="I8" s="84" t="s">
        <v>108</v>
      </c>
      <c r="J8" s="84" t="s">
        <v>109</v>
      </c>
      <c r="K8" s="84" t="s">
        <v>110</v>
      </c>
      <c r="L8" s="84" t="s">
        <v>95</v>
      </c>
      <c r="M8" s="84" t="s">
        <v>128</v>
      </c>
      <c r="N8" s="84" t="s">
        <v>349</v>
      </c>
      <c r="O8" s="84" t="s">
        <v>172</v>
      </c>
      <c r="P8" s="84" t="s">
        <v>350</v>
      </c>
      <c r="Q8" s="84" t="s">
        <v>129</v>
      </c>
      <c r="R8" s="84" t="s">
        <v>351</v>
      </c>
      <c r="S8" s="84" t="s">
        <v>352</v>
      </c>
      <c r="T8" s="84" t="s">
        <v>353</v>
      </c>
      <c r="U8" s="84" t="s">
        <v>354</v>
      </c>
      <c r="V8" s="84" t="s">
        <v>355</v>
      </c>
      <c r="W8" s="84" t="s">
        <v>3</v>
      </c>
    </row>
    <row r="9" spans="1:23" x14ac:dyDescent="0.3">
      <c r="A9" s="3">
        <v>1</v>
      </c>
      <c r="B9" s="3" t="s">
        <v>143</v>
      </c>
      <c r="C9" s="14">
        <v>2</v>
      </c>
      <c r="D9" s="78">
        <v>60</v>
      </c>
      <c r="E9" s="78">
        <f>IFERROR(C9*D9,0)</f>
        <v>120</v>
      </c>
      <c r="F9" s="15">
        <v>8</v>
      </c>
      <c r="G9" s="15">
        <v>0</v>
      </c>
      <c r="H9" s="15">
        <v>1.5</v>
      </c>
      <c r="I9" s="15">
        <v>1.5</v>
      </c>
      <c r="J9" s="15">
        <v>1</v>
      </c>
      <c r="K9" s="15">
        <v>0.8</v>
      </c>
      <c r="L9" s="3" t="s">
        <v>114</v>
      </c>
      <c r="M9" s="3"/>
      <c r="N9" s="3" t="s">
        <v>356</v>
      </c>
      <c r="O9" s="3"/>
      <c r="P9" s="3"/>
      <c r="Q9" s="3" t="s">
        <v>356</v>
      </c>
      <c r="R9" s="3"/>
      <c r="S9" s="3" t="s">
        <v>356</v>
      </c>
      <c r="T9" s="3"/>
      <c r="U9" s="3"/>
      <c r="V9" s="76">
        <f>IF(UPPER(M9)="X",0.5,IF(UPPER(N9)="X",0.2,IF(UPPER(O9)="X",0.05,0)))</f>
        <v>0.2</v>
      </c>
      <c r="W9" s="3" t="s">
        <v>144</v>
      </c>
    </row>
    <row r="10" spans="1:23" x14ac:dyDescent="0.3">
      <c r="A10" s="3">
        <v>2</v>
      </c>
      <c r="B10" s="3" t="s">
        <v>145</v>
      </c>
      <c r="C10" s="14">
        <v>2</v>
      </c>
      <c r="D10" s="78">
        <v>25</v>
      </c>
      <c r="E10" s="78">
        <f>IFERROR(C10*D10,0)</f>
        <v>50</v>
      </c>
      <c r="F10" s="15">
        <v>7</v>
      </c>
      <c r="G10" s="15">
        <v>0</v>
      </c>
      <c r="H10" s="15">
        <v>3.5</v>
      </c>
      <c r="I10" s="15">
        <v>1</v>
      </c>
      <c r="J10" s="15">
        <v>0.6</v>
      </c>
      <c r="K10" s="15">
        <v>0.4</v>
      </c>
      <c r="L10" s="3" t="s">
        <v>114</v>
      </c>
      <c r="M10" s="3" t="s">
        <v>356</v>
      </c>
      <c r="N10" s="3"/>
      <c r="O10" s="3"/>
      <c r="P10" s="3"/>
      <c r="Q10" s="3" t="s">
        <v>356</v>
      </c>
      <c r="R10" s="3" t="s">
        <v>356</v>
      </c>
      <c r="S10" s="3"/>
      <c r="T10" s="3"/>
      <c r="U10" s="3"/>
      <c r="V10" s="76">
        <f>IF(UPPER(M10)="X",0.5,IF(UPPER(N10)="X",0.2,IF(UPPER(O10)="X",0.05,0)))</f>
        <v>0.5</v>
      </c>
      <c r="W10" s="3"/>
    </row>
    <row r="11" spans="1:23" x14ac:dyDescent="0.3">
      <c r="A11" s="3">
        <v>3</v>
      </c>
      <c r="B11" s="3" t="s">
        <v>146</v>
      </c>
      <c r="C11" s="14">
        <v>1</v>
      </c>
      <c r="D11" s="78">
        <v>180</v>
      </c>
      <c r="E11" s="78">
        <f>IFERROR(C11*D11,0)</f>
        <v>180</v>
      </c>
      <c r="F11" s="15">
        <v>17</v>
      </c>
      <c r="G11" s="15">
        <v>0</v>
      </c>
      <c r="H11" s="15">
        <v>3</v>
      </c>
      <c r="I11" s="15">
        <v>35</v>
      </c>
      <c r="J11" s="15">
        <v>0.1</v>
      </c>
      <c r="K11" s="15">
        <v>0.1</v>
      </c>
      <c r="L11" s="3" t="s">
        <v>114</v>
      </c>
      <c r="M11" s="3" t="s">
        <v>356</v>
      </c>
      <c r="N11" s="3"/>
      <c r="O11" s="3"/>
      <c r="P11" s="3"/>
      <c r="Q11" s="3" t="s">
        <v>356</v>
      </c>
      <c r="R11" s="3" t="s">
        <v>356</v>
      </c>
      <c r="S11" s="3"/>
      <c r="T11" s="3"/>
      <c r="U11" s="3"/>
      <c r="V11" s="76">
        <f>IF(UPPER(M11)="X",0.5,IF(UPPER(N11)="X",0.2,IF(UPPER(O11)="X",0.05,0)))</f>
        <v>0.5</v>
      </c>
      <c r="W11" s="3" t="s">
        <v>34</v>
      </c>
    </row>
    <row r="12" spans="1:23" x14ac:dyDescent="0.3">
      <c r="A12" s="3">
        <v>4</v>
      </c>
      <c r="B12" s="3" t="s">
        <v>147</v>
      </c>
      <c r="C12" s="14">
        <v>2</v>
      </c>
      <c r="D12" s="78">
        <v>18</v>
      </c>
      <c r="E12" s="78">
        <f>IFERROR(C12*D12,0)</f>
        <v>36</v>
      </c>
      <c r="F12" s="15">
        <v>9</v>
      </c>
      <c r="G12" s="15">
        <v>0</v>
      </c>
      <c r="H12" s="15">
        <v>3</v>
      </c>
      <c r="I12" s="15">
        <v>0.8</v>
      </c>
      <c r="J12" s="15">
        <v>0.5</v>
      </c>
      <c r="K12" s="15">
        <v>0.3</v>
      </c>
      <c r="L12" s="3" t="s">
        <v>114</v>
      </c>
      <c r="M12" s="3" t="s">
        <v>356</v>
      </c>
      <c r="N12" s="3"/>
      <c r="O12" s="3"/>
      <c r="P12" s="3"/>
      <c r="Q12" s="3" t="s">
        <v>356</v>
      </c>
      <c r="R12" s="3" t="s">
        <v>356</v>
      </c>
      <c r="S12" s="3"/>
      <c r="T12" s="3"/>
      <c r="U12" s="3"/>
      <c r="V12" s="76">
        <f>IF(UPPER(M12)="X",0.5,IF(UPPER(N12)="X",0.2,IF(UPPER(O12)="X",0.05,0)))</f>
        <v>0.5</v>
      </c>
      <c r="W12" s="3"/>
    </row>
    <row r="18" spans="1:23" ht="15" thickBot="1" x14ac:dyDescent="0.35">
      <c r="A18" s="26"/>
      <c r="B18" s="26" t="s">
        <v>439</v>
      </c>
      <c r="C18" s="26"/>
      <c r="D18" s="26"/>
      <c r="E18" s="87">
        <f>SUM(E9:E12)</f>
        <v>386</v>
      </c>
      <c r="F18" s="28">
        <f>IFERROR(SUMPRODUCT(E9:E12,F9:F12)/E18,0)</f>
        <v>12.160621761658032</v>
      </c>
      <c r="G18" s="28">
        <f>IFERROR(SUMPRODUCT(E9:E12,G9:G12)/E18,0)</f>
        <v>0</v>
      </c>
      <c r="H18" s="28">
        <f>IFERROR(SUMPRODUCT(E9:E12,H9:H12)/E18,0)</f>
        <v>2.5984455958549222</v>
      </c>
      <c r="I18" s="87">
        <f>SUMPRODUCT(E9:E12,V9:V12)</f>
        <v>157</v>
      </c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</row>
    <row r="19" spans="1:23" ht="15" thickTop="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ht="15" thickBot="1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1:23" ht="16.2" thickTop="1" x14ac:dyDescent="0.3">
      <c r="A23" s="90" t="s">
        <v>440</v>
      </c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</row>
    <row r="24" spans="1:23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 x14ac:dyDescent="0.3">
      <c r="A25" s="83"/>
      <c r="B25" s="18" t="s">
        <v>464</v>
      </c>
      <c r="C25" s="18"/>
      <c r="D25" s="18" t="s">
        <v>329</v>
      </c>
      <c r="E25" s="18" t="s">
        <v>92</v>
      </c>
      <c r="F25" s="18" t="s">
        <v>93</v>
      </c>
      <c r="G25" s="18" t="s">
        <v>94</v>
      </c>
      <c r="H25" s="18" t="s">
        <v>84</v>
      </c>
      <c r="I25" s="18" t="s">
        <v>85</v>
      </c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</row>
    <row r="26" spans="1:23" x14ac:dyDescent="0.3">
      <c r="A26" s="43"/>
      <c r="B26" s="43"/>
      <c r="C26" s="43"/>
      <c r="D26" s="85">
        <f>E39</f>
        <v>580</v>
      </c>
      <c r="E26" s="86">
        <f>F39</f>
        <v>18.448275862068964</v>
      </c>
      <c r="F26" s="86">
        <f>G39</f>
        <v>1.1724137931034482</v>
      </c>
      <c r="G26" s="86">
        <f>H39</f>
        <v>2.0301724137931036</v>
      </c>
      <c r="H26" s="85">
        <f>I39</f>
        <v>290</v>
      </c>
      <c r="I26" s="85">
        <f>I39</f>
        <v>290</v>
      </c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</row>
    <row r="27" spans="1:23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92" t="s">
        <v>111</v>
      </c>
      <c r="N27" s="92"/>
      <c r="O27" s="92"/>
      <c r="P27" s="92" t="s">
        <v>471</v>
      </c>
      <c r="Q27" s="92"/>
      <c r="R27" s="92" t="s">
        <v>112</v>
      </c>
      <c r="S27" s="92"/>
      <c r="T27" s="92"/>
      <c r="U27" s="92"/>
      <c r="V27" s="3"/>
      <c r="W27" s="3"/>
    </row>
    <row r="28" spans="1:23" x14ac:dyDescent="0.3">
      <c r="A28" s="84" t="s">
        <v>106</v>
      </c>
      <c r="B28" s="84" t="s">
        <v>107</v>
      </c>
      <c r="C28" s="84" t="s">
        <v>2</v>
      </c>
      <c r="D28" s="84" t="s">
        <v>72</v>
      </c>
      <c r="E28" s="84" t="s">
        <v>73</v>
      </c>
      <c r="F28" s="84" t="s">
        <v>92</v>
      </c>
      <c r="G28" s="84" t="s">
        <v>93</v>
      </c>
      <c r="H28" s="84" t="s">
        <v>94</v>
      </c>
      <c r="I28" s="84" t="s">
        <v>108</v>
      </c>
      <c r="J28" s="84" t="s">
        <v>109</v>
      </c>
      <c r="K28" s="84" t="s">
        <v>110</v>
      </c>
      <c r="L28" s="84" t="s">
        <v>95</v>
      </c>
      <c r="M28" s="84" t="s">
        <v>128</v>
      </c>
      <c r="N28" s="84" t="s">
        <v>349</v>
      </c>
      <c r="O28" s="84" t="s">
        <v>172</v>
      </c>
      <c r="P28" s="84" t="s">
        <v>350</v>
      </c>
      <c r="Q28" s="84" t="s">
        <v>129</v>
      </c>
      <c r="R28" s="84" t="s">
        <v>351</v>
      </c>
      <c r="S28" s="84" t="s">
        <v>352</v>
      </c>
      <c r="T28" s="84" t="s">
        <v>353</v>
      </c>
      <c r="U28" s="84" t="s">
        <v>354</v>
      </c>
      <c r="V28" s="84" t="s">
        <v>355</v>
      </c>
      <c r="W28" s="84" t="s">
        <v>3</v>
      </c>
    </row>
    <row r="29" spans="1:23" x14ac:dyDescent="0.3">
      <c r="A29" s="3">
        <v>1</v>
      </c>
      <c r="B29" s="3" t="s">
        <v>148</v>
      </c>
      <c r="C29" s="14">
        <v>2</v>
      </c>
      <c r="D29" s="78">
        <v>85</v>
      </c>
      <c r="E29" s="78">
        <f>IFERROR(C29*D29,0)</f>
        <v>170</v>
      </c>
      <c r="F29" s="15">
        <v>19</v>
      </c>
      <c r="G29" s="15">
        <v>4</v>
      </c>
      <c r="H29" s="15">
        <v>2</v>
      </c>
      <c r="I29" s="15">
        <v>1.5</v>
      </c>
      <c r="J29" s="15">
        <v>1</v>
      </c>
      <c r="K29" s="15">
        <v>0.6</v>
      </c>
      <c r="L29" s="3" t="s">
        <v>119</v>
      </c>
      <c r="M29" s="3" t="s">
        <v>356</v>
      </c>
      <c r="N29" s="3"/>
      <c r="O29" s="3"/>
      <c r="P29" s="3"/>
      <c r="Q29" s="3" t="s">
        <v>356</v>
      </c>
      <c r="R29" s="3" t="s">
        <v>356</v>
      </c>
      <c r="S29" s="3"/>
      <c r="T29" s="3"/>
      <c r="U29" s="3"/>
      <c r="V29" s="76">
        <f>IF(UPPER(M29)="X",0.5,IF(UPPER(N29)="X",0.2,IF(UPPER(O29)="X",0.05,0)))</f>
        <v>0.5</v>
      </c>
      <c r="W29" s="3" t="s">
        <v>149</v>
      </c>
    </row>
    <row r="30" spans="1:23" x14ac:dyDescent="0.3">
      <c r="A30" s="3">
        <v>2</v>
      </c>
      <c r="B30" s="3" t="s">
        <v>150</v>
      </c>
      <c r="C30" s="14">
        <v>1</v>
      </c>
      <c r="D30" s="78">
        <v>65</v>
      </c>
      <c r="E30" s="78">
        <f>IFERROR(C30*D30,0)</f>
        <v>65</v>
      </c>
      <c r="F30" s="15">
        <v>27</v>
      </c>
      <c r="G30" s="15">
        <v>0</v>
      </c>
      <c r="H30" s="15">
        <v>3</v>
      </c>
      <c r="I30" s="15">
        <v>1.2</v>
      </c>
      <c r="J30" s="15">
        <v>0.9</v>
      </c>
      <c r="K30" s="15">
        <v>0.5</v>
      </c>
      <c r="L30" s="3" t="s">
        <v>119</v>
      </c>
      <c r="M30" s="3" t="s">
        <v>356</v>
      </c>
      <c r="N30" s="3"/>
      <c r="O30" s="3"/>
      <c r="P30" s="3"/>
      <c r="Q30" s="3" t="s">
        <v>356</v>
      </c>
      <c r="R30" s="3" t="s">
        <v>356</v>
      </c>
      <c r="S30" s="3"/>
      <c r="T30" s="3"/>
      <c r="U30" s="3"/>
      <c r="V30" s="76">
        <f>IF(UPPER(M30)="X",0.5,IF(UPPER(N30)="X",0.2,IF(UPPER(O30)="X",0.05,0)))</f>
        <v>0.5</v>
      </c>
      <c r="W30" s="3"/>
    </row>
    <row r="31" spans="1:23" x14ac:dyDescent="0.3">
      <c r="A31" s="3">
        <v>3</v>
      </c>
      <c r="B31" s="3" t="s">
        <v>151</v>
      </c>
      <c r="C31" s="14">
        <v>1</v>
      </c>
      <c r="D31" s="78">
        <v>90</v>
      </c>
      <c r="E31" s="78">
        <f>IFERROR(C31*D31,0)</f>
        <v>90</v>
      </c>
      <c r="F31" s="15">
        <v>22</v>
      </c>
      <c r="G31" s="15">
        <v>0</v>
      </c>
      <c r="H31" s="15">
        <v>2.5</v>
      </c>
      <c r="I31" s="15">
        <v>18</v>
      </c>
      <c r="J31" s="15">
        <v>0.15</v>
      </c>
      <c r="K31" s="15">
        <v>0.15</v>
      </c>
      <c r="L31" s="3" t="s">
        <v>114</v>
      </c>
      <c r="M31" s="3" t="s">
        <v>356</v>
      </c>
      <c r="N31" s="3"/>
      <c r="O31" s="3"/>
      <c r="P31" s="3"/>
      <c r="Q31" s="3" t="s">
        <v>356</v>
      </c>
      <c r="R31" s="3" t="s">
        <v>356</v>
      </c>
      <c r="S31" s="3"/>
      <c r="T31" s="3"/>
      <c r="U31" s="3"/>
      <c r="V31" s="76">
        <f>IF(UPPER(M31)="X",0.5,IF(UPPER(N31)="X",0.2,IF(UPPER(O31)="X",0.05,0)))</f>
        <v>0.5</v>
      </c>
      <c r="W31" s="3" t="s">
        <v>152</v>
      </c>
    </row>
    <row r="32" spans="1:23" x14ac:dyDescent="0.3">
      <c r="A32" s="3">
        <v>4</v>
      </c>
      <c r="B32" s="3" t="s">
        <v>153</v>
      </c>
      <c r="C32" s="14">
        <v>1</v>
      </c>
      <c r="D32" s="78">
        <v>35</v>
      </c>
      <c r="E32" s="78">
        <f>IFERROR(C32*D32,0)</f>
        <v>35</v>
      </c>
      <c r="F32" s="15">
        <v>25</v>
      </c>
      <c r="G32" s="15">
        <v>0</v>
      </c>
      <c r="H32" s="15">
        <v>2.5</v>
      </c>
      <c r="I32" s="15">
        <v>1</v>
      </c>
      <c r="J32" s="15">
        <v>0.8</v>
      </c>
      <c r="K32" s="15">
        <v>0.4</v>
      </c>
      <c r="L32" s="3" t="s">
        <v>114</v>
      </c>
      <c r="M32" s="3" t="s">
        <v>356</v>
      </c>
      <c r="N32" s="3"/>
      <c r="O32" s="3"/>
      <c r="P32" s="3"/>
      <c r="Q32" s="3" t="s">
        <v>356</v>
      </c>
      <c r="R32" s="3" t="s">
        <v>356</v>
      </c>
      <c r="S32" s="3"/>
      <c r="T32" s="3"/>
      <c r="U32" s="3"/>
      <c r="V32" s="76">
        <f>IF(UPPER(M32)="X",0.5,IF(UPPER(N32)="X",0.2,IF(UPPER(O32)="X",0.05,0)))</f>
        <v>0.5</v>
      </c>
      <c r="W32" s="3"/>
    </row>
    <row r="33" spans="1:23" x14ac:dyDescent="0.3">
      <c r="A33" s="3">
        <v>5</v>
      </c>
      <c r="B33" s="3" t="s">
        <v>154</v>
      </c>
      <c r="C33" s="14">
        <v>1</v>
      </c>
      <c r="D33" s="78">
        <v>220</v>
      </c>
      <c r="E33" s="78">
        <f>IFERROR(C33*D33,0)</f>
        <v>220</v>
      </c>
      <c r="F33" s="15">
        <v>13</v>
      </c>
      <c r="G33" s="15">
        <v>0</v>
      </c>
      <c r="H33" s="15">
        <v>1.5</v>
      </c>
      <c r="I33" s="15">
        <v>3</v>
      </c>
      <c r="J33" s="15">
        <v>1.5</v>
      </c>
      <c r="K33" s="15">
        <v>0.8</v>
      </c>
      <c r="L33" s="3" t="s">
        <v>119</v>
      </c>
      <c r="M33" s="3" t="s">
        <v>356</v>
      </c>
      <c r="N33" s="3"/>
      <c r="O33" s="3"/>
      <c r="P33" s="3"/>
      <c r="Q33" s="3" t="s">
        <v>356</v>
      </c>
      <c r="R33" s="3" t="s">
        <v>356</v>
      </c>
      <c r="S33" s="3"/>
      <c r="T33" s="3"/>
      <c r="U33" s="3"/>
      <c r="V33" s="76">
        <f>IF(UPPER(M33)="X",0.5,IF(UPPER(N33)="X",0.2,IF(UPPER(O33)="X",0.05,0)))</f>
        <v>0.5</v>
      </c>
      <c r="W33" s="3" t="s">
        <v>155</v>
      </c>
    </row>
    <row r="39" spans="1:23" ht="15" thickBot="1" x14ac:dyDescent="0.35">
      <c r="A39" s="26"/>
      <c r="B39" s="26" t="s">
        <v>441</v>
      </c>
      <c r="C39" s="26"/>
      <c r="D39" s="26"/>
      <c r="E39" s="87">
        <f>SUM(E29:E33)</f>
        <v>580</v>
      </c>
      <c r="F39" s="28">
        <f>IFERROR(SUMPRODUCT(E29:E33,F29:F33)/E39,0)</f>
        <v>18.448275862068964</v>
      </c>
      <c r="G39" s="28">
        <f>IFERROR(SUMPRODUCT(E29:E33,G29:G33)/E39,0)</f>
        <v>1.1724137931034482</v>
      </c>
      <c r="H39" s="28">
        <f>IFERROR(SUMPRODUCT(E29:E33,H29:H33)/E39,0)</f>
        <v>2.0301724137931036</v>
      </c>
      <c r="I39" s="87">
        <f>SUMPRODUCT(E29:E33,V29:V33)</f>
        <v>290</v>
      </c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</row>
    <row r="40" spans="1:23" ht="15" thickTop="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ht="15" thickBot="1" x14ac:dyDescent="0.3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ht="16.2" thickTop="1" x14ac:dyDescent="0.3">
      <c r="A44" s="90" t="s">
        <v>442</v>
      </c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</row>
    <row r="45" spans="1:23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3">
      <c r="A46" s="83"/>
      <c r="B46" s="18" t="s">
        <v>464</v>
      </c>
      <c r="C46" s="18"/>
      <c r="D46" s="18" t="s">
        <v>329</v>
      </c>
      <c r="E46" s="18" t="s">
        <v>92</v>
      </c>
      <c r="F46" s="18" t="s">
        <v>93</v>
      </c>
      <c r="G46" s="18" t="s">
        <v>94</v>
      </c>
      <c r="H46" s="18" t="s">
        <v>84</v>
      </c>
      <c r="I46" s="18" t="s">
        <v>85</v>
      </c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</row>
    <row r="47" spans="1:23" x14ac:dyDescent="0.3">
      <c r="A47" s="43"/>
      <c r="B47" s="43"/>
      <c r="C47" s="43"/>
      <c r="D47" s="85">
        <f>E60</f>
        <v>28.5</v>
      </c>
      <c r="E47" s="86">
        <f>F60</f>
        <v>12.473684210526315</v>
      </c>
      <c r="F47" s="86">
        <f>G60</f>
        <v>0.73684210526315785</v>
      </c>
      <c r="G47" s="86">
        <f>H60</f>
        <v>4.2719298245614032</v>
      </c>
      <c r="H47" s="85">
        <f>I60</f>
        <v>10.874999999999998</v>
      </c>
      <c r="I47" s="85">
        <f>I60</f>
        <v>10.874999999999998</v>
      </c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</row>
    <row r="48" spans="1:23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92" t="s">
        <v>111</v>
      </c>
      <c r="N48" s="92"/>
      <c r="O48" s="92"/>
      <c r="P48" s="92" t="s">
        <v>471</v>
      </c>
      <c r="Q48" s="92"/>
      <c r="R48" s="92" t="s">
        <v>112</v>
      </c>
      <c r="S48" s="92"/>
      <c r="T48" s="92"/>
      <c r="U48" s="92"/>
      <c r="V48" s="3"/>
      <c r="W48" s="3"/>
    </row>
    <row r="49" spans="1:23" x14ac:dyDescent="0.3">
      <c r="A49" s="84" t="s">
        <v>106</v>
      </c>
      <c r="B49" s="84" t="s">
        <v>107</v>
      </c>
      <c r="C49" s="84" t="s">
        <v>2</v>
      </c>
      <c r="D49" s="84" t="s">
        <v>72</v>
      </c>
      <c r="E49" s="84" t="s">
        <v>73</v>
      </c>
      <c r="F49" s="84" t="s">
        <v>92</v>
      </c>
      <c r="G49" s="84" t="s">
        <v>93</v>
      </c>
      <c r="H49" s="84" t="s">
        <v>94</v>
      </c>
      <c r="I49" s="84" t="s">
        <v>108</v>
      </c>
      <c r="J49" s="84" t="s">
        <v>109</v>
      </c>
      <c r="K49" s="84" t="s">
        <v>110</v>
      </c>
      <c r="L49" s="84" t="s">
        <v>95</v>
      </c>
      <c r="M49" s="84" t="s">
        <v>128</v>
      </c>
      <c r="N49" s="84" t="s">
        <v>349</v>
      </c>
      <c r="O49" s="84" t="s">
        <v>172</v>
      </c>
      <c r="P49" s="84" t="s">
        <v>350</v>
      </c>
      <c r="Q49" s="84" t="s">
        <v>129</v>
      </c>
      <c r="R49" s="84" t="s">
        <v>351</v>
      </c>
      <c r="S49" s="84" t="s">
        <v>352</v>
      </c>
      <c r="T49" s="84" t="s">
        <v>353</v>
      </c>
      <c r="U49" s="84" t="s">
        <v>354</v>
      </c>
      <c r="V49" s="84" t="s">
        <v>355</v>
      </c>
      <c r="W49" s="84" t="s">
        <v>3</v>
      </c>
    </row>
    <row r="50" spans="1:23" x14ac:dyDescent="0.3">
      <c r="A50" s="3">
        <v>1</v>
      </c>
      <c r="B50" s="3" t="s">
        <v>216</v>
      </c>
      <c r="C50" s="14">
        <v>1</v>
      </c>
      <c r="D50" s="78">
        <v>4</v>
      </c>
      <c r="E50" s="78">
        <f>IFERROR(C50*D50,0)</f>
        <v>4</v>
      </c>
      <c r="F50" s="15">
        <v>5</v>
      </c>
      <c r="G50" s="15">
        <v>0</v>
      </c>
      <c r="H50" s="15">
        <v>5</v>
      </c>
      <c r="I50" s="15">
        <v>3</v>
      </c>
      <c r="J50" s="15">
        <v>3</v>
      </c>
      <c r="K50" s="15">
        <v>0.1</v>
      </c>
      <c r="L50" s="3" t="s">
        <v>114</v>
      </c>
      <c r="M50" s="3" t="s">
        <v>356</v>
      </c>
      <c r="N50" s="3"/>
      <c r="O50" s="3"/>
      <c r="P50" s="3"/>
      <c r="Q50" s="3" t="s">
        <v>356</v>
      </c>
      <c r="R50" s="3" t="s">
        <v>356</v>
      </c>
      <c r="S50" s="3"/>
      <c r="T50" s="3"/>
      <c r="U50" s="3"/>
      <c r="V50" s="76">
        <f>IF(UPPER(M50)="X",0.5,IF(UPPER(N50)="X",0.2,IF(UPPER(O50)="X",0.05,0)))</f>
        <v>0.5</v>
      </c>
      <c r="W50" s="3" t="s">
        <v>217</v>
      </c>
    </row>
    <row r="51" spans="1:23" x14ac:dyDescent="0.3">
      <c r="A51" s="3">
        <v>2</v>
      </c>
      <c r="B51" s="3" t="s">
        <v>218</v>
      </c>
      <c r="C51" s="14">
        <v>1</v>
      </c>
      <c r="D51" s="78">
        <v>15</v>
      </c>
      <c r="E51" s="78">
        <f>IFERROR(C51*D51,0)</f>
        <v>15</v>
      </c>
      <c r="F51" s="15">
        <v>14</v>
      </c>
      <c r="G51" s="15">
        <v>0</v>
      </c>
      <c r="H51" s="15">
        <v>5</v>
      </c>
      <c r="I51" s="15">
        <v>18</v>
      </c>
      <c r="J51" s="15">
        <v>5</v>
      </c>
      <c r="K51" s="15">
        <v>0.1</v>
      </c>
      <c r="L51" s="3" t="s">
        <v>114</v>
      </c>
      <c r="M51" s="3" t="s">
        <v>356</v>
      </c>
      <c r="N51" s="3"/>
      <c r="O51" s="3"/>
      <c r="P51" s="3"/>
      <c r="Q51" s="3" t="s">
        <v>356</v>
      </c>
      <c r="R51" s="3" t="s">
        <v>356</v>
      </c>
      <c r="S51" s="3"/>
      <c r="T51" s="3"/>
      <c r="U51" s="3"/>
      <c r="V51" s="76">
        <f>IF(UPPER(M51)="X",0.5,IF(UPPER(N51)="X",0.2,IF(UPPER(O51)="X",0.05,0)))</f>
        <v>0.5</v>
      </c>
      <c r="W51" s="3" t="s">
        <v>219</v>
      </c>
    </row>
    <row r="52" spans="1:23" x14ac:dyDescent="0.3">
      <c r="A52" s="3">
        <v>3</v>
      </c>
      <c r="B52" s="3" t="s">
        <v>220</v>
      </c>
      <c r="C52" s="14">
        <v>3</v>
      </c>
      <c r="D52" s="78">
        <v>0.5</v>
      </c>
      <c r="E52" s="78">
        <f>IFERROR(C52*D52,0)</f>
        <v>1.5</v>
      </c>
      <c r="F52" s="15">
        <v>17</v>
      </c>
      <c r="G52" s="15">
        <v>14</v>
      </c>
      <c r="H52" s="15">
        <v>4.5</v>
      </c>
      <c r="I52" s="15">
        <v>0.2</v>
      </c>
      <c r="J52" s="15">
        <v>0.2</v>
      </c>
      <c r="K52" s="15">
        <v>0.1</v>
      </c>
      <c r="L52" s="3" t="s">
        <v>114</v>
      </c>
      <c r="M52" s="3"/>
      <c r="N52" s="3"/>
      <c r="O52" s="3" t="s">
        <v>356</v>
      </c>
      <c r="P52" s="3"/>
      <c r="Q52" s="3" t="s">
        <v>356</v>
      </c>
      <c r="R52" s="3"/>
      <c r="S52" s="3" t="s">
        <v>356</v>
      </c>
      <c r="T52" s="3"/>
      <c r="U52" s="3"/>
      <c r="V52" s="76">
        <f>IF(UPPER(M52)="X",0.5,IF(UPPER(N52)="X",0.2,IF(UPPER(O52)="X",0.05,0)))</f>
        <v>0.05</v>
      </c>
      <c r="W52" s="3" t="s">
        <v>35</v>
      </c>
    </row>
    <row r="53" spans="1:23" x14ac:dyDescent="0.3">
      <c r="A53" s="3">
        <v>4</v>
      </c>
      <c r="B53" s="3" t="s">
        <v>221</v>
      </c>
      <c r="C53" s="14">
        <v>2</v>
      </c>
      <c r="D53" s="78">
        <v>3</v>
      </c>
      <c r="E53" s="78">
        <f>IFERROR(C53*D53,0)</f>
        <v>6</v>
      </c>
      <c r="F53" s="15">
        <v>6</v>
      </c>
      <c r="G53" s="15">
        <v>0</v>
      </c>
      <c r="H53" s="15">
        <v>1</v>
      </c>
      <c r="I53" s="15">
        <v>0.5</v>
      </c>
      <c r="J53" s="15">
        <v>0.4</v>
      </c>
      <c r="K53" s="15">
        <v>0.3</v>
      </c>
      <c r="L53" s="3" t="s">
        <v>114</v>
      </c>
      <c r="M53" s="3"/>
      <c r="N53" s="3" t="s">
        <v>356</v>
      </c>
      <c r="O53" s="3"/>
      <c r="P53" s="3"/>
      <c r="Q53" s="3" t="s">
        <v>356</v>
      </c>
      <c r="R53" s="3"/>
      <c r="S53" s="3" t="s">
        <v>356</v>
      </c>
      <c r="T53" s="3"/>
      <c r="U53" s="3"/>
      <c r="V53" s="76">
        <f>IF(UPPER(M53)="X",0.5,IF(UPPER(N53)="X",0.2,IF(UPPER(O53)="X",0.05,0)))</f>
        <v>0.2</v>
      </c>
      <c r="W53" s="3"/>
    </row>
    <row r="54" spans="1:23" x14ac:dyDescent="0.3">
      <c r="A54" s="3">
        <v>5</v>
      </c>
      <c r="B54" s="3" t="s">
        <v>222</v>
      </c>
      <c r="C54" s="14">
        <v>2</v>
      </c>
      <c r="D54" s="78">
        <v>1</v>
      </c>
      <c r="E54" s="78">
        <f>IFERROR(C54*D54,0)</f>
        <v>2</v>
      </c>
      <c r="F54" s="15">
        <v>32</v>
      </c>
      <c r="G54" s="15">
        <v>0</v>
      </c>
      <c r="H54" s="15">
        <v>7</v>
      </c>
      <c r="I54" s="15">
        <v>0.3</v>
      </c>
      <c r="J54" s="15">
        <v>0.3</v>
      </c>
      <c r="K54" s="15">
        <v>0.2</v>
      </c>
      <c r="L54" s="3" t="s">
        <v>114</v>
      </c>
      <c r="M54" s="3"/>
      <c r="N54" s="3"/>
      <c r="O54" s="3" t="s">
        <v>356</v>
      </c>
      <c r="P54" s="3"/>
      <c r="Q54" s="3" t="s">
        <v>356</v>
      </c>
      <c r="R54" s="3"/>
      <c r="S54" s="3" t="s">
        <v>356</v>
      </c>
      <c r="T54" s="3"/>
      <c r="U54" s="3"/>
      <c r="V54" s="76">
        <f>IF(UPPER(M54)="X",0.5,IF(UPPER(N54)="X",0.2,IF(UPPER(O54)="X",0.05,0)))</f>
        <v>0.05</v>
      </c>
      <c r="W54" s="3" t="s">
        <v>223</v>
      </c>
    </row>
    <row r="60" spans="1:23" ht="15" thickBot="1" x14ac:dyDescent="0.35">
      <c r="A60" s="26"/>
      <c r="B60" s="26" t="s">
        <v>443</v>
      </c>
      <c r="C60" s="26"/>
      <c r="D60" s="26"/>
      <c r="E60" s="87">
        <f>SUM(E50:E54)</f>
        <v>28.5</v>
      </c>
      <c r="F60" s="28">
        <f>IFERROR(SUMPRODUCT(E50:E54,F50:F54)/E60,0)</f>
        <v>12.473684210526315</v>
      </c>
      <c r="G60" s="28">
        <f>IFERROR(SUMPRODUCT(E50:E54,G50:G54)/E60,0)</f>
        <v>0.73684210526315785</v>
      </c>
      <c r="H60" s="28">
        <f>IFERROR(SUMPRODUCT(E50:E54,H50:H54)/E60,0)</f>
        <v>4.2719298245614032</v>
      </c>
      <c r="I60" s="87">
        <f>SUMPRODUCT(E50:E54,V50:V54)</f>
        <v>10.874999999999998</v>
      </c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</row>
    <row r="61" spans="1:23" ht="15" thickTop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</sheetData>
  <mergeCells count="13">
    <mergeCell ref="M48:O48"/>
    <mergeCell ref="P48:Q48"/>
    <mergeCell ref="R48:U48"/>
    <mergeCell ref="A1:W1"/>
    <mergeCell ref="A3:W3"/>
    <mergeCell ref="A23:W23"/>
    <mergeCell ref="A44:W44"/>
    <mergeCell ref="M7:O7"/>
    <mergeCell ref="P7:Q7"/>
    <mergeCell ref="R7:U7"/>
    <mergeCell ref="M27:O27"/>
    <mergeCell ref="P27:Q27"/>
    <mergeCell ref="R27:U2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D99D-393A-4331-AA8E-B22FFE6D326C}">
  <sheetPr codeName="Sheet49"/>
  <dimension ref="A1:W78"/>
  <sheetViews>
    <sheetView topLeftCell="A18" zoomScale="62" workbookViewId="0">
      <selection activeCell="K38" sqref="K38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17" width="6.44140625" customWidth="1"/>
    <col min="18" max="18" width="14" bestFit="1" customWidth="1"/>
    <col min="19" max="21" width="6.44140625" customWidth="1"/>
    <col min="22" max="22" width="10.21875" customWidth="1"/>
    <col min="23" max="23" width="46.33203125" customWidth="1"/>
  </cols>
  <sheetData>
    <row r="1" spans="1:23" ht="21" x14ac:dyDescent="0.4">
      <c r="A1" s="88" t="s">
        <v>319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23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t="16.2" thickTop="1" x14ac:dyDescent="0.3">
      <c r="A3" s="90" t="s">
        <v>444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</row>
    <row r="4" spans="1:23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x14ac:dyDescent="0.3">
      <c r="A5" s="83"/>
      <c r="B5" s="18" t="s">
        <v>464</v>
      </c>
      <c r="C5" s="18"/>
      <c r="D5" s="18" t="s">
        <v>329</v>
      </c>
      <c r="E5" s="18" t="s">
        <v>92</v>
      </c>
      <c r="F5" s="18" t="s">
        <v>93</v>
      </c>
      <c r="G5" s="18" t="s">
        <v>94</v>
      </c>
      <c r="H5" s="18" t="s">
        <v>84</v>
      </c>
      <c r="I5" s="18" t="s">
        <v>85</v>
      </c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x14ac:dyDescent="0.3">
      <c r="A6" s="43"/>
      <c r="B6" s="43"/>
      <c r="C6" s="43"/>
      <c r="D6" s="85">
        <f>E16</f>
        <v>16</v>
      </c>
      <c r="E6" s="86">
        <f>F16</f>
        <v>11.75</v>
      </c>
      <c r="F6" s="86">
        <f>G16</f>
        <v>0</v>
      </c>
      <c r="G6" s="86">
        <f>H16</f>
        <v>4</v>
      </c>
      <c r="H6" s="85">
        <f>I16</f>
        <v>4.4000000000000004</v>
      </c>
      <c r="I6" s="85">
        <f>I16</f>
        <v>4.4000000000000004</v>
      </c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</row>
    <row r="7" spans="1:23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92" t="s">
        <v>111</v>
      </c>
      <c r="N7" s="92"/>
      <c r="O7" s="92"/>
      <c r="P7" s="92" t="s">
        <v>471</v>
      </c>
      <c r="Q7" s="92"/>
      <c r="R7" s="92" t="s">
        <v>112</v>
      </c>
      <c r="S7" s="92"/>
      <c r="T7" s="92"/>
      <c r="U7" s="92"/>
      <c r="V7" s="3"/>
      <c r="W7" s="3"/>
    </row>
    <row r="8" spans="1:23" x14ac:dyDescent="0.3">
      <c r="A8" s="84" t="s">
        <v>106</v>
      </c>
      <c r="B8" s="84" t="s">
        <v>107</v>
      </c>
      <c r="C8" s="84" t="s">
        <v>2</v>
      </c>
      <c r="D8" s="84" t="s">
        <v>72</v>
      </c>
      <c r="E8" s="84" t="s">
        <v>73</v>
      </c>
      <c r="F8" s="84" t="s">
        <v>92</v>
      </c>
      <c r="G8" s="84" t="s">
        <v>93</v>
      </c>
      <c r="H8" s="84" t="s">
        <v>94</v>
      </c>
      <c r="I8" s="84" t="s">
        <v>108</v>
      </c>
      <c r="J8" s="84" t="s">
        <v>109</v>
      </c>
      <c r="K8" s="84" t="s">
        <v>110</v>
      </c>
      <c r="L8" s="84" t="s">
        <v>95</v>
      </c>
      <c r="M8" s="84" t="s">
        <v>128</v>
      </c>
      <c r="N8" s="84" t="s">
        <v>349</v>
      </c>
      <c r="O8" s="84" t="s">
        <v>172</v>
      </c>
      <c r="P8" s="84" t="s">
        <v>350</v>
      </c>
      <c r="Q8" s="84" t="s">
        <v>129</v>
      </c>
      <c r="R8" s="84" t="s">
        <v>351</v>
      </c>
      <c r="S8" s="84" t="s">
        <v>352</v>
      </c>
      <c r="T8" s="84" t="s">
        <v>353</v>
      </c>
      <c r="U8" s="84" t="s">
        <v>354</v>
      </c>
      <c r="V8" s="84" t="s">
        <v>355</v>
      </c>
      <c r="W8" s="84" t="s">
        <v>3</v>
      </c>
    </row>
    <row r="9" spans="1:23" x14ac:dyDescent="0.3">
      <c r="A9" s="3">
        <v>1</v>
      </c>
      <c r="B9" s="3" t="s">
        <v>135</v>
      </c>
      <c r="C9" s="14">
        <v>2</v>
      </c>
      <c r="D9" s="78">
        <v>6</v>
      </c>
      <c r="E9" s="78">
        <f>IFERROR(C9*D9,0)</f>
        <v>12</v>
      </c>
      <c r="F9" s="15">
        <v>5</v>
      </c>
      <c r="G9" s="15">
        <v>0</v>
      </c>
      <c r="H9" s="15">
        <v>4</v>
      </c>
      <c r="I9" s="15">
        <v>0.5</v>
      </c>
      <c r="J9" s="15">
        <v>0.4</v>
      </c>
      <c r="K9" s="15">
        <v>0.2</v>
      </c>
      <c r="L9" s="3" t="s">
        <v>113</v>
      </c>
      <c r="M9" s="3"/>
      <c r="N9" s="3" t="s">
        <v>356</v>
      </c>
      <c r="O9" s="3"/>
      <c r="P9" s="3"/>
      <c r="Q9" s="3" t="s">
        <v>356</v>
      </c>
      <c r="R9" s="3"/>
      <c r="S9" s="3" t="s">
        <v>356</v>
      </c>
      <c r="T9" s="3"/>
      <c r="U9" s="3"/>
      <c r="V9" s="76">
        <f>IF(UPPER(M9)="X",0.5,IF(UPPER(N9)="X",0.2,IF(UPPER(O9)="X",0.05,0)))</f>
        <v>0.2</v>
      </c>
      <c r="W9" s="3" t="s">
        <v>136</v>
      </c>
    </row>
    <row r="10" spans="1:23" x14ac:dyDescent="0.3">
      <c r="A10" s="3">
        <v>2</v>
      </c>
      <c r="B10" s="3" t="s">
        <v>137</v>
      </c>
      <c r="C10" s="14">
        <v>1</v>
      </c>
      <c r="D10" s="78">
        <v>4</v>
      </c>
      <c r="E10" s="78">
        <f>IFERROR(C10*D10,0)</f>
        <v>4</v>
      </c>
      <c r="F10" s="15">
        <v>32</v>
      </c>
      <c r="G10" s="15">
        <v>0</v>
      </c>
      <c r="H10" s="15">
        <v>4</v>
      </c>
      <c r="I10" s="15">
        <v>0.6</v>
      </c>
      <c r="J10" s="15">
        <v>0.3</v>
      </c>
      <c r="K10" s="15">
        <v>0.3</v>
      </c>
      <c r="L10" s="3" t="s">
        <v>113</v>
      </c>
      <c r="M10" s="3" t="s">
        <v>356</v>
      </c>
      <c r="N10" s="3"/>
      <c r="O10" s="3"/>
      <c r="P10" s="3"/>
      <c r="Q10" s="3" t="s">
        <v>356</v>
      </c>
      <c r="R10" s="3" t="s">
        <v>356</v>
      </c>
      <c r="S10" s="3"/>
      <c r="T10" s="3"/>
      <c r="U10" s="3"/>
      <c r="V10" s="76">
        <f>IF(UPPER(M10)="X",0.5,IF(UPPER(N10)="X",0.2,IF(UPPER(O10)="X",0.05,0)))</f>
        <v>0.5</v>
      </c>
      <c r="W10" s="3" t="s">
        <v>138</v>
      </c>
    </row>
    <row r="16" spans="1:23" ht="15" thickBot="1" x14ac:dyDescent="0.35">
      <c r="A16" s="26"/>
      <c r="B16" s="26" t="s">
        <v>445</v>
      </c>
      <c r="C16" s="26"/>
      <c r="D16" s="26"/>
      <c r="E16" s="87">
        <f>SUM(E9:E10)</f>
        <v>16</v>
      </c>
      <c r="F16" s="28">
        <f>IFERROR(SUMPRODUCT(E9:E10,F9:F10)/E16,0)</f>
        <v>11.75</v>
      </c>
      <c r="G16" s="28">
        <f>IFERROR(SUMPRODUCT(E9:E10,G9:G10)/E16,0)</f>
        <v>0</v>
      </c>
      <c r="H16" s="28">
        <f>IFERROR(SUMPRODUCT(E9:E10,H9:H10)/E16,0)</f>
        <v>4</v>
      </c>
      <c r="I16" s="87">
        <f>SUMPRODUCT(E9:E10,V9:V10)</f>
        <v>4.4000000000000004</v>
      </c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</row>
    <row r="17" spans="1:23" ht="15" thickTop="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1:23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1:23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 ht="15" thickBot="1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 ht="16.2" thickTop="1" x14ac:dyDescent="0.3">
      <c r="A21" s="90" t="s">
        <v>446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</row>
    <row r="22" spans="1:23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1:23" x14ac:dyDescent="0.3">
      <c r="A23" s="83"/>
      <c r="B23" s="18" t="s">
        <v>464</v>
      </c>
      <c r="C23" s="18"/>
      <c r="D23" s="18" t="s">
        <v>329</v>
      </c>
      <c r="E23" s="18" t="s">
        <v>92</v>
      </c>
      <c r="F23" s="18" t="s">
        <v>93</v>
      </c>
      <c r="G23" s="18" t="s">
        <v>94</v>
      </c>
      <c r="H23" s="18" t="s">
        <v>84</v>
      </c>
      <c r="I23" s="18" t="s">
        <v>85</v>
      </c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</row>
    <row r="24" spans="1:23" x14ac:dyDescent="0.3">
      <c r="A24" s="43"/>
      <c r="B24" s="43"/>
      <c r="C24" s="43"/>
      <c r="D24" s="85">
        <f>E35</f>
        <v>37</v>
      </c>
      <c r="E24" s="86">
        <f>F35</f>
        <v>13.810810810810811</v>
      </c>
      <c r="F24" s="86">
        <f>G35</f>
        <v>0</v>
      </c>
      <c r="G24" s="86">
        <f>H35</f>
        <v>5.3918918918918921</v>
      </c>
      <c r="H24" s="85">
        <f>I35</f>
        <v>15.5</v>
      </c>
      <c r="I24" s="85">
        <f>I35</f>
        <v>15.5</v>
      </c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</row>
    <row r="25" spans="1:23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92" t="s">
        <v>111</v>
      </c>
      <c r="N25" s="92"/>
      <c r="O25" s="92"/>
      <c r="P25" s="92" t="s">
        <v>471</v>
      </c>
      <c r="Q25" s="92"/>
      <c r="R25" s="92" t="s">
        <v>112</v>
      </c>
      <c r="S25" s="92"/>
      <c r="T25" s="92"/>
      <c r="U25" s="92"/>
      <c r="V25" s="3"/>
      <c r="W25" s="3"/>
    </row>
    <row r="26" spans="1:23" x14ac:dyDescent="0.3">
      <c r="A26" s="84" t="s">
        <v>106</v>
      </c>
      <c r="B26" s="84" t="s">
        <v>107</v>
      </c>
      <c r="C26" s="84" t="s">
        <v>2</v>
      </c>
      <c r="D26" s="84" t="s">
        <v>72</v>
      </c>
      <c r="E26" s="84" t="s">
        <v>73</v>
      </c>
      <c r="F26" s="84" t="s">
        <v>92</v>
      </c>
      <c r="G26" s="84" t="s">
        <v>93</v>
      </c>
      <c r="H26" s="84" t="s">
        <v>94</v>
      </c>
      <c r="I26" s="84" t="s">
        <v>108</v>
      </c>
      <c r="J26" s="84" t="s">
        <v>109</v>
      </c>
      <c r="K26" s="84" t="s">
        <v>110</v>
      </c>
      <c r="L26" s="84" t="s">
        <v>95</v>
      </c>
      <c r="M26" s="84" t="s">
        <v>128</v>
      </c>
      <c r="N26" s="84" t="s">
        <v>349</v>
      </c>
      <c r="O26" s="84" t="s">
        <v>172</v>
      </c>
      <c r="P26" s="84" t="s">
        <v>350</v>
      </c>
      <c r="Q26" s="84" t="s">
        <v>129</v>
      </c>
      <c r="R26" s="84" t="s">
        <v>351</v>
      </c>
      <c r="S26" s="84" t="s">
        <v>352</v>
      </c>
      <c r="T26" s="84" t="s">
        <v>353</v>
      </c>
      <c r="U26" s="84" t="s">
        <v>354</v>
      </c>
      <c r="V26" s="84" t="s">
        <v>355</v>
      </c>
      <c r="W26" s="84" t="s">
        <v>3</v>
      </c>
    </row>
    <row r="27" spans="1:23" x14ac:dyDescent="0.3">
      <c r="A27" s="3">
        <v>1</v>
      </c>
      <c r="B27" s="3" t="s">
        <v>139</v>
      </c>
      <c r="C27" s="14">
        <v>2</v>
      </c>
      <c r="D27" s="78">
        <v>5</v>
      </c>
      <c r="E27" s="78">
        <f>IFERROR(C27*D27,0)</f>
        <v>10</v>
      </c>
      <c r="F27" s="15">
        <v>4</v>
      </c>
      <c r="G27" s="15">
        <v>0</v>
      </c>
      <c r="H27" s="15">
        <v>4.5</v>
      </c>
      <c r="I27" s="15">
        <v>0.4</v>
      </c>
      <c r="J27" s="15">
        <v>0.3</v>
      </c>
      <c r="K27" s="15">
        <v>0.2</v>
      </c>
      <c r="L27" s="3" t="s">
        <v>113</v>
      </c>
      <c r="M27" s="3"/>
      <c r="N27" s="3" t="s">
        <v>356</v>
      </c>
      <c r="O27" s="3"/>
      <c r="P27" s="3"/>
      <c r="Q27" s="3" t="s">
        <v>356</v>
      </c>
      <c r="R27" s="3"/>
      <c r="S27" s="3" t="s">
        <v>356</v>
      </c>
      <c r="T27" s="3"/>
      <c r="U27" s="3"/>
      <c r="V27" s="76">
        <f>IF(UPPER(M27)="X",0.5,IF(UPPER(N27)="X",0.2,IF(UPPER(O27)="X",0.05,0)))</f>
        <v>0.2</v>
      </c>
      <c r="W27" s="3"/>
    </row>
    <row r="28" spans="1:23" x14ac:dyDescent="0.3">
      <c r="A28" s="3">
        <v>2</v>
      </c>
      <c r="B28" s="3" t="s">
        <v>140</v>
      </c>
      <c r="C28" s="14">
        <v>1</v>
      </c>
      <c r="D28" s="78">
        <v>12</v>
      </c>
      <c r="E28" s="78">
        <f>IFERROR(C28*D28,0)</f>
        <v>12</v>
      </c>
      <c r="F28" s="15">
        <v>18</v>
      </c>
      <c r="G28" s="15">
        <v>0</v>
      </c>
      <c r="H28" s="15">
        <v>6</v>
      </c>
      <c r="I28" s="15">
        <v>0.6</v>
      </c>
      <c r="J28" s="15">
        <v>0.5</v>
      </c>
      <c r="K28" s="15">
        <v>0.3</v>
      </c>
      <c r="L28" s="3" t="s">
        <v>113</v>
      </c>
      <c r="M28" s="3" t="s">
        <v>356</v>
      </c>
      <c r="N28" s="3"/>
      <c r="O28" s="3"/>
      <c r="P28" s="3"/>
      <c r="Q28" s="3" t="s">
        <v>356</v>
      </c>
      <c r="R28" s="3" t="s">
        <v>356</v>
      </c>
      <c r="S28" s="3"/>
      <c r="T28" s="3"/>
      <c r="U28" s="3"/>
      <c r="V28" s="76">
        <f>IF(UPPER(M28)="X",0.5,IF(UPPER(N28)="X",0.2,IF(UPPER(O28)="X",0.05,0)))</f>
        <v>0.5</v>
      </c>
      <c r="W28" s="3" t="s">
        <v>141</v>
      </c>
    </row>
    <row r="29" spans="1:23" x14ac:dyDescent="0.3">
      <c r="A29" s="3">
        <v>3</v>
      </c>
      <c r="B29" s="3" t="s">
        <v>142</v>
      </c>
      <c r="C29" s="14">
        <v>1</v>
      </c>
      <c r="D29" s="78">
        <v>15</v>
      </c>
      <c r="E29" s="78">
        <f>IFERROR(C29*D29,0)</f>
        <v>15</v>
      </c>
      <c r="F29" s="15">
        <v>17</v>
      </c>
      <c r="G29" s="15">
        <v>0</v>
      </c>
      <c r="H29" s="15">
        <v>5.5</v>
      </c>
      <c r="I29" s="15">
        <v>30</v>
      </c>
      <c r="J29" s="15">
        <v>0.1</v>
      </c>
      <c r="K29" s="15">
        <v>0.1</v>
      </c>
      <c r="L29" s="3" t="s">
        <v>113</v>
      </c>
      <c r="M29" s="3" t="s">
        <v>356</v>
      </c>
      <c r="N29" s="3"/>
      <c r="O29" s="3"/>
      <c r="P29" s="3"/>
      <c r="Q29" s="3" t="s">
        <v>356</v>
      </c>
      <c r="R29" s="3" t="s">
        <v>356</v>
      </c>
      <c r="S29" s="3"/>
      <c r="T29" s="3"/>
      <c r="U29" s="3"/>
      <c r="V29" s="76">
        <f>IF(UPPER(M29)="X",0.5,IF(UPPER(N29)="X",0.2,IF(UPPER(O29)="X",0.05,0)))</f>
        <v>0.5</v>
      </c>
      <c r="W29" s="3"/>
    </row>
    <row r="35" spans="1:23" ht="15" thickBot="1" x14ac:dyDescent="0.35">
      <c r="A35" s="26"/>
      <c r="B35" s="26" t="s">
        <v>447</v>
      </c>
      <c r="C35" s="26"/>
      <c r="D35" s="26"/>
      <c r="E35" s="87">
        <f>SUM(E27:E29)</f>
        <v>37</v>
      </c>
      <c r="F35" s="28">
        <f>IFERROR(SUMPRODUCT(E27:E29,F27:F29)/E35,0)</f>
        <v>13.810810810810811</v>
      </c>
      <c r="G35" s="28">
        <f>IFERROR(SUMPRODUCT(E27:E29,G27:G29)/E35,0)</f>
        <v>0</v>
      </c>
      <c r="H35" s="28">
        <f>IFERROR(SUMPRODUCT(E27:E29,H27:H29)/E35,0)</f>
        <v>5.3918918918918921</v>
      </c>
      <c r="I35" s="87">
        <f>SUMPRODUCT(E27:E29,V27:V29)</f>
        <v>15.5</v>
      </c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3" ht="15" thickTop="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ht="16.2" thickTop="1" x14ac:dyDescent="0.3">
      <c r="A40" s="90" t="s">
        <v>448</v>
      </c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</row>
    <row r="41" spans="1:23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3">
      <c r="A42" s="83"/>
      <c r="B42" s="18" t="s">
        <v>464</v>
      </c>
      <c r="C42" s="18"/>
      <c r="D42" s="18" t="s">
        <v>329</v>
      </c>
      <c r="E42" s="18" t="s">
        <v>92</v>
      </c>
      <c r="F42" s="18" t="s">
        <v>93</v>
      </c>
      <c r="G42" s="18" t="s">
        <v>94</v>
      </c>
      <c r="H42" s="18" t="s">
        <v>84</v>
      </c>
      <c r="I42" s="18" t="s">
        <v>85</v>
      </c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</row>
    <row r="43" spans="1:23" x14ac:dyDescent="0.3">
      <c r="A43" s="43"/>
      <c r="B43" s="43"/>
      <c r="C43" s="43"/>
      <c r="D43" s="85">
        <f>E56</f>
        <v>61</v>
      </c>
      <c r="E43" s="86">
        <f>F56</f>
        <v>12.409836065573771</v>
      </c>
      <c r="F43" s="86">
        <f>G56</f>
        <v>0.26229508196721313</v>
      </c>
      <c r="G43" s="86">
        <f>H56</f>
        <v>4.0081967213114753</v>
      </c>
      <c r="H43" s="85">
        <f>I56</f>
        <v>11.450000000000001</v>
      </c>
      <c r="I43" s="85">
        <f>I56</f>
        <v>11.450000000000001</v>
      </c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</row>
    <row r="44" spans="1:23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92" t="s">
        <v>111</v>
      </c>
      <c r="N44" s="92"/>
      <c r="O44" s="92"/>
      <c r="P44" s="92" t="s">
        <v>471</v>
      </c>
      <c r="Q44" s="92"/>
      <c r="R44" s="92" t="s">
        <v>112</v>
      </c>
      <c r="S44" s="92"/>
      <c r="T44" s="92"/>
      <c r="U44" s="92"/>
      <c r="V44" s="3"/>
      <c r="W44" s="3"/>
    </row>
    <row r="45" spans="1:23" x14ac:dyDescent="0.3">
      <c r="A45" s="84" t="s">
        <v>106</v>
      </c>
      <c r="B45" s="84" t="s">
        <v>107</v>
      </c>
      <c r="C45" s="84" t="s">
        <v>2</v>
      </c>
      <c r="D45" s="84" t="s">
        <v>72</v>
      </c>
      <c r="E45" s="84" t="s">
        <v>73</v>
      </c>
      <c r="F45" s="84" t="s">
        <v>92</v>
      </c>
      <c r="G45" s="84" t="s">
        <v>93</v>
      </c>
      <c r="H45" s="84" t="s">
        <v>94</v>
      </c>
      <c r="I45" s="84" t="s">
        <v>108</v>
      </c>
      <c r="J45" s="84" t="s">
        <v>109</v>
      </c>
      <c r="K45" s="84" t="s">
        <v>110</v>
      </c>
      <c r="L45" s="84" t="s">
        <v>95</v>
      </c>
      <c r="M45" s="84" t="s">
        <v>128</v>
      </c>
      <c r="N45" s="84" t="s">
        <v>349</v>
      </c>
      <c r="O45" s="84" t="s">
        <v>172</v>
      </c>
      <c r="P45" s="84" t="s">
        <v>350</v>
      </c>
      <c r="Q45" s="84" t="s">
        <v>129</v>
      </c>
      <c r="R45" s="84" t="s">
        <v>351</v>
      </c>
      <c r="S45" s="84" t="s">
        <v>352</v>
      </c>
      <c r="T45" s="84" t="s">
        <v>353</v>
      </c>
      <c r="U45" s="84" t="s">
        <v>354</v>
      </c>
      <c r="V45" s="84" t="s">
        <v>355</v>
      </c>
      <c r="W45" s="84" t="s">
        <v>3</v>
      </c>
    </row>
    <row r="46" spans="1:23" x14ac:dyDescent="0.3">
      <c r="A46" s="3">
        <v>1</v>
      </c>
      <c r="B46" s="3" t="s">
        <v>202</v>
      </c>
      <c r="C46" s="14">
        <v>2</v>
      </c>
      <c r="D46" s="78">
        <v>8</v>
      </c>
      <c r="E46" s="78">
        <f>IFERROR(C46*D46,0)</f>
        <v>16</v>
      </c>
      <c r="F46" s="15">
        <v>4.5</v>
      </c>
      <c r="G46" s="15">
        <v>1</v>
      </c>
      <c r="H46" s="15">
        <v>4.5</v>
      </c>
      <c r="I46" s="15">
        <v>1</v>
      </c>
      <c r="J46" s="15">
        <v>0.8</v>
      </c>
      <c r="K46" s="15">
        <v>0.1</v>
      </c>
      <c r="L46" s="3" t="s">
        <v>113</v>
      </c>
      <c r="M46" s="3"/>
      <c r="N46" s="3" t="s">
        <v>356</v>
      </c>
      <c r="O46" s="3"/>
      <c r="P46" s="3"/>
      <c r="Q46" s="3" t="s">
        <v>356</v>
      </c>
      <c r="R46" s="3"/>
      <c r="S46" s="3" t="s">
        <v>356</v>
      </c>
      <c r="T46" s="3"/>
      <c r="U46" s="3"/>
      <c r="V46" s="76">
        <f>IF(UPPER(M46)="X",0.5,IF(UPPER(N46)="X",0.2,IF(UPPER(O46)="X",0.05,0)))</f>
        <v>0.2</v>
      </c>
      <c r="W46" s="3"/>
    </row>
    <row r="47" spans="1:23" x14ac:dyDescent="0.3">
      <c r="A47" s="3">
        <v>2</v>
      </c>
      <c r="B47" s="3" t="s">
        <v>203</v>
      </c>
      <c r="C47" s="14">
        <v>2</v>
      </c>
      <c r="D47" s="78">
        <v>8</v>
      </c>
      <c r="E47" s="78">
        <f>IFERROR(C47*D47,0)</f>
        <v>16</v>
      </c>
      <c r="F47" s="15">
        <v>4.5</v>
      </c>
      <c r="G47" s="15">
        <v>0</v>
      </c>
      <c r="H47" s="15">
        <v>4.5</v>
      </c>
      <c r="I47" s="15">
        <v>1</v>
      </c>
      <c r="J47" s="15">
        <v>0.8</v>
      </c>
      <c r="K47" s="15">
        <v>0.1</v>
      </c>
      <c r="L47" s="3" t="s">
        <v>113</v>
      </c>
      <c r="M47" s="3"/>
      <c r="N47" s="3" t="s">
        <v>356</v>
      </c>
      <c r="O47" s="3"/>
      <c r="P47" s="3"/>
      <c r="Q47" s="3" t="s">
        <v>356</v>
      </c>
      <c r="R47" s="3"/>
      <c r="S47" s="3" t="s">
        <v>356</v>
      </c>
      <c r="T47" s="3"/>
      <c r="U47" s="3"/>
      <c r="V47" s="76">
        <f>IF(UPPER(M47)="X",0.5,IF(UPPER(N47)="X",0.2,IF(UPPER(O47)="X",0.05,0)))</f>
        <v>0.2</v>
      </c>
      <c r="W47" s="3"/>
    </row>
    <row r="48" spans="1:23" x14ac:dyDescent="0.3">
      <c r="A48" s="3">
        <v>3</v>
      </c>
      <c r="B48" s="3" t="s">
        <v>204</v>
      </c>
      <c r="C48" s="14">
        <v>1</v>
      </c>
      <c r="D48" s="78">
        <v>6</v>
      </c>
      <c r="E48" s="78">
        <f>IFERROR(C48*D48,0)</f>
        <v>6</v>
      </c>
      <c r="F48" s="15">
        <v>5</v>
      </c>
      <c r="G48" s="15">
        <v>0</v>
      </c>
      <c r="H48" s="15">
        <v>4</v>
      </c>
      <c r="I48" s="15">
        <v>0.8</v>
      </c>
      <c r="J48" s="15">
        <v>0.6</v>
      </c>
      <c r="K48" s="15">
        <v>0.1</v>
      </c>
      <c r="L48" s="3" t="s">
        <v>113</v>
      </c>
      <c r="M48" s="3"/>
      <c r="N48" s="3" t="s">
        <v>356</v>
      </c>
      <c r="O48" s="3"/>
      <c r="P48" s="3"/>
      <c r="Q48" s="3" t="s">
        <v>356</v>
      </c>
      <c r="R48" s="3"/>
      <c r="S48" s="3" t="s">
        <v>356</v>
      </c>
      <c r="T48" s="3"/>
      <c r="U48" s="3"/>
      <c r="V48" s="76">
        <f>IF(UPPER(M48)="X",0.5,IF(UPPER(N48)="X",0.2,IF(UPPER(O48)="X",0.05,0)))</f>
        <v>0.2</v>
      </c>
      <c r="W48" s="3"/>
    </row>
    <row r="49" spans="1:23" x14ac:dyDescent="0.3">
      <c r="A49" s="3">
        <v>4</v>
      </c>
      <c r="B49" s="3" t="s">
        <v>205</v>
      </c>
      <c r="C49" s="14">
        <v>1</v>
      </c>
      <c r="D49" s="78">
        <v>5</v>
      </c>
      <c r="E49" s="78">
        <f>IFERROR(C49*D49,0)</f>
        <v>5</v>
      </c>
      <c r="F49" s="15">
        <v>5</v>
      </c>
      <c r="G49" s="15">
        <v>0</v>
      </c>
      <c r="H49" s="15">
        <v>4.5</v>
      </c>
      <c r="I49" s="15">
        <v>0.5</v>
      </c>
      <c r="J49" s="15">
        <v>0.4</v>
      </c>
      <c r="K49" s="15">
        <v>0.1</v>
      </c>
      <c r="L49" s="3" t="s">
        <v>113</v>
      </c>
      <c r="M49" s="3"/>
      <c r="N49" s="3"/>
      <c r="O49" s="3" t="s">
        <v>356</v>
      </c>
      <c r="P49" s="3"/>
      <c r="Q49" s="3" t="s">
        <v>356</v>
      </c>
      <c r="R49" s="3"/>
      <c r="S49" s="3" t="s">
        <v>356</v>
      </c>
      <c r="T49" s="3"/>
      <c r="U49" s="3"/>
      <c r="V49" s="76">
        <f>IF(UPPER(M49)="X",0.5,IF(UPPER(N49)="X",0.2,IF(UPPER(O49)="X",0.05,0)))</f>
        <v>0.05</v>
      </c>
      <c r="W49" s="3"/>
    </row>
    <row r="50" spans="1:23" x14ac:dyDescent="0.3">
      <c r="A50" s="3">
        <v>5</v>
      </c>
      <c r="B50" s="3" t="s">
        <v>206</v>
      </c>
      <c r="C50" s="14">
        <v>1</v>
      </c>
      <c r="D50" s="78">
        <v>18</v>
      </c>
      <c r="E50" s="78">
        <f>IFERROR(C50*D50,0)</f>
        <v>18</v>
      </c>
      <c r="F50" s="15">
        <v>31</v>
      </c>
      <c r="G50" s="15">
        <v>0</v>
      </c>
      <c r="H50" s="15">
        <v>3</v>
      </c>
      <c r="I50" s="15">
        <v>1</v>
      </c>
      <c r="J50" s="15">
        <v>0.6</v>
      </c>
      <c r="K50" s="15">
        <v>0.4</v>
      </c>
      <c r="L50" s="3" t="s">
        <v>113</v>
      </c>
      <c r="M50" s="3"/>
      <c r="N50" s="3" t="s">
        <v>356</v>
      </c>
      <c r="O50" s="3"/>
      <c r="P50" s="3"/>
      <c r="Q50" s="3" t="s">
        <v>356</v>
      </c>
      <c r="R50" s="3"/>
      <c r="S50" s="3" t="s">
        <v>356</v>
      </c>
      <c r="T50" s="3"/>
      <c r="U50" s="3"/>
      <c r="V50" s="76">
        <f>IF(UPPER(M50)="X",0.5,IF(UPPER(N50)="X",0.2,IF(UPPER(O50)="X",0.05,0)))</f>
        <v>0.2</v>
      </c>
      <c r="W50" s="3" t="s">
        <v>207</v>
      </c>
    </row>
    <row r="56" spans="1:23" ht="15" thickBot="1" x14ac:dyDescent="0.35">
      <c r="A56" s="26"/>
      <c r="B56" s="26" t="s">
        <v>449</v>
      </c>
      <c r="C56" s="26"/>
      <c r="D56" s="26"/>
      <c r="E56" s="87">
        <f>SUM(E46:E50)</f>
        <v>61</v>
      </c>
      <c r="F56" s="28">
        <f>IFERROR(SUMPRODUCT(E46:E50,F46:F50)/E56,0)</f>
        <v>12.409836065573771</v>
      </c>
      <c r="G56" s="28">
        <f>IFERROR(SUMPRODUCT(E46:E50,G46:G50)/E56,0)</f>
        <v>0.26229508196721313</v>
      </c>
      <c r="H56" s="28">
        <f>IFERROR(SUMPRODUCT(E46:E50,H46:H50)/E56,0)</f>
        <v>4.0081967213114753</v>
      </c>
      <c r="I56" s="87">
        <f>SUMPRODUCT(E46:E50,V46:V50)</f>
        <v>11.450000000000001</v>
      </c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</row>
    <row r="57" spans="1:23" ht="15" thickTop="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1:23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1:23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1:23" ht="15" thickBot="1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1:23" ht="16.2" thickTop="1" x14ac:dyDescent="0.3">
      <c r="A61" s="90" t="s">
        <v>450</v>
      </c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</row>
    <row r="62" spans="1:23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1:23" x14ac:dyDescent="0.3">
      <c r="A63" s="83"/>
      <c r="B63" s="18" t="s">
        <v>464</v>
      </c>
      <c r="C63" s="18"/>
      <c r="D63" s="18" t="s">
        <v>329</v>
      </c>
      <c r="E63" s="18" t="s">
        <v>92</v>
      </c>
      <c r="F63" s="18" t="s">
        <v>93</v>
      </c>
      <c r="G63" s="18" t="s">
        <v>94</v>
      </c>
      <c r="H63" s="18" t="s">
        <v>84</v>
      </c>
      <c r="I63" s="18" t="s">
        <v>85</v>
      </c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</row>
    <row r="64" spans="1:23" x14ac:dyDescent="0.3">
      <c r="A64" s="43"/>
      <c r="B64" s="43"/>
      <c r="C64" s="43"/>
      <c r="D64" s="85">
        <f>E77</f>
        <v>90</v>
      </c>
      <c r="E64" s="86">
        <f>F77</f>
        <v>4.8666666666666663</v>
      </c>
      <c r="F64" s="86">
        <f>G77</f>
        <v>0</v>
      </c>
      <c r="G64" s="86">
        <f>H77</f>
        <v>3.6666666666666665</v>
      </c>
      <c r="H64" s="85">
        <f>I77</f>
        <v>31.8</v>
      </c>
      <c r="I64" s="85">
        <f>I77</f>
        <v>31.8</v>
      </c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</row>
    <row r="65" spans="1:23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92" t="s">
        <v>111</v>
      </c>
      <c r="N65" s="92"/>
      <c r="O65" s="92"/>
      <c r="P65" s="92" t="s">
        <v>471</v>
      </c>
      <c r="Q65" s="92"/>
      <c r="R65" s="92" t="s">
        <v>112</v>
      </c>
      <c r="S65" s="92"/>
      <c r="T65" s="92"/>
      <c r="U65" s="92"/>
      <c r="V65" s="3"/>
      <c r="W65" s="3"/>
    </row>
    <row r="66" spans="1:23" x14ac:dyDescent="0.3">
      <c r="A66" s="84" t="s">
        <v>106</v>
      </c>
      <c r="B66" s="84" t="s">
        <v>107</v>
      </c>
      <c r="C66" s="84" t="s">
        <v>2</v>
      </c>
      <c r="D66" s="84" t="s">
        <v>72</v>
      </c>
      <c r="E66" s="84" t="s">
        <v>73</v>
      </c>
      <c r="F66" s="84" t="s">
        <v>92</v>
      </c>
      <c r="G66" s="84" t="s">
        <v>93</v>
      </c>
      <c r="H66" s="84" t="s">
        <v>94</v>
      </c>
      <c r="I66" s="84" t="s">
        <v>108</v>
      </c>
      <c r="J66" s="84" t="s">
        <v>109</v>
      </c>
      <c r="K66" s="84" t="s">
        <v>110</v>
      </c>
      <c r="L66" s="84" t="s">
        <v>95</v>
      </c>
      <c r="M66" s="84" t="s">
        <v>128</v>
      </c>
      <c r="N66" s="84" t="s">
        <v>349</v>
      </c>
      <c r="O66" s="84" t="s">
        <v>172</v>
      </c>
      <c r="P66" s="84" t="s">
        <v>350</v>
      </c>
      <c r="Q66" s="84" t="s">
        <v>129</v>
      </c>
      <c r="R66" s="84" t="s">
        <v>351</v>
      </c>
      <c r="S66" s="84" t="s">
        <v>352</v>
      </c>
      <c r="T66" s="84" t="s">
        <v>353</v>
      </c>
      <c r="U66" s="84" t="s">
        <v>354</v>
      </c>
      <c r="V66" s="84" t="s">
        <v>355</v>
      </c>
      <c r="W66" s="84" t="s">
        <v>3</v>
      </c>
    </row>
    <row r="67" spans="1:23" x14ac:dyDescent="0.3">
      <c r="A67" s="3">
        <v>1</v>
      </c>
      <c r="B67" s="3" t="s">
        <v>224</v>
      </c>
      <c r="C67" s="14">
        <v>2</v>
      </c>
      <c r="D67" s="78">
        <v>4</v>
      </c>
      <c r="E67" s="78">
        <f>IFERROR(C67*D67,0)</f>
        <v>8</v>
      </c>
      <c r="F67" s="15">
        <v>4</v>
      </c>
      <c r="G67" s="15">
        <v>0</v>
      </c>
      <c r="H67" s="15">
        <v>5</v>
      </c>
      <c r="I67" s="15">
        <v>0.4</v>
      </c>
      <c r="J67" s="15">
        <v>0.3</v>
      </c>
      <c r="K67" s="15">
        <v>0.15</v>
      </c>
      <c r="L67" s="3" t="s">
        <v>113</v>
      </c>
      <c r="M67" s="3"/>
      <c r="N67" s="3" t="s">
        <v>356</v>
      </c>
      <c r="O67" s="3"/>
      <c r="P67" s="3"/>
      <c r="Q67" s="3" t="s">
        <v>356</v>
      </c>
      <c r="R67" s="3"/>
      <c r="S67" s="3" t="s">
        <v>356</v>
      </c>
      <c r="T67" s="3"/>
      <c r="U67" s="3"/>
      <c r="V67" s="76">
        <f>IF(UPPER(M67)="X",0.5,IF(UPPER(N67)="X",0.2,IF(UPPER(O67)="X",0.05,0)))</f>
        <v>0.2</v>
      </c>
      <c r="W67" s="3"/>
    </row>
    <row r="68" spans="1:23" x14ac:dyDescent="0.3">
      <c r="A68" s="3">
        <v>2</v>
      </c>
      <c r="B68" s="3" t="s">
        <v>225</v>
      </c>
      <c r="C68" s="14">
        <v>2</v>
      </c>
      <c r="D68" s="78">
        <v>12</v>
      </c>
      <c r="E68" s="78">
        <f>IFERROR(C68*D68,0)</f>
        <v>24</v>
      </c>
      <c r="F68" s="15">
        <v>7</v>
      </c>
      <c r="G68" s="15">
        <v>0</v>
      </c>
      <c r="H68" s="15">
        <v>3</v>
      </c>
      <c r="I68" s="15">
        <v>0.6</v>
      </c>
      <c r="J68" s="15">
        <v>0.4</v>
      </c>
      <c r="K68" s="15">
        <v>0.3</v>
      </c>
      <c r="L68" s="3" t="s">
        <v>113</v>
      </c>
      <c r="M68" s="3"/>
      <c r="N68" s="3" t="s">
        <v>356</v>
      </c>
      <c r="O68" s="3"/>
      <c r="P68" s="3"/>
      <c r="Q68" s="3" t="s">
        <v>356</v>
      </c>
      <c r="R68" s="3"/>
      <c r="S68" s="3" t="s">
        <v>356</v>
      </c>
      <c r="T68" s="3"/>
      <c r="U68" s="3"/>
      <c r="V68" s="76">
        <f>IF(UPPER(M68)="X",0.5,IF(UPPER(N68)="X",0.2,IF(UPPER(O68)="X",0.05,0)))</f>
        <v>0.2</v>
      </c>
      <c r="W68" s="3" t="s">
        <v>226</v>
      </c>
    </row>
    <row r="69" spans="1:23" x14ac:dyDescent="0.3">
      <c r="A69" s="3">
        <v>3</v>
      </c>
      <c r="B69" s="3" t="s">
        <v>227</v>
      </c>
      <c r="C69" s="14">
        <v>2</v>
      </c>
      <c r="D69" s="78">
        <v>6</v>
      </c>
      <c r="E69" s="78">
        <f>IFERROR(C69*D69,0)</f>
        <v>12</v>
      </c>
      <c r="F69" s="15">
        <v>5</v>
      </c>
      <c r="G69" s="15">
        <v>0</v>
      </c>
      <c r="H69" s="15">
        <v>4</v>
      </c>
      <c r="I69" s="15">
        <v>0.5</v>
      </c>
      <c r="J69" s="15">
        <v>0.3</v>
      </c>
      <c r="K69" s="15">
        <v>0.2</v>
      </c>
      <c r="L69" s="3" t="s">
        <v>113</v>
      </c>
      <c r="M69" s="3"/>
      <c r="N69" s="3" t="s">
        <v>356</v>
      </c>
      <c r="O69" s="3"/>
      <c r="P69" s="3"/>
      <c r="Q69" s="3" t="s">
        <v>356</v>
      </c>
      <c r="R69" s="3"/>
      <c r="S69" s="3" t="s">
        <v>356</v>
      </c>
      <c r="T69" s="3"/>
      <c r="U69" s="3"/>
      <c r="V69" s="76">
        <f>IF(UPPER(M69)="X",0.5,IF(UPPER(N69)="X",0.2,IF(UPPER(O69)="X",0.05,0)))</f>
        <v>0.2</v>
      </c>
      <c r="W69" s="3"/>
    </row>
    <row r="70" spans="1:23" x14ac:dyDescent="0.3">
      <c r="A70" s="3">
        <v>4</v>
      </c>
      <c r="B70" s="3" t="s">
        <v>228</v>
      </c>
      <c r="C70" s="14">
        <v>1</v>
      </c>
      <c r="D70" s="78">
        <v>28</v>
      </c>
      <c r="E70" s="78">
        <f>IFERROR(C70*D70,0)</f>
        <v>28</v>
      </c>
      <c r="F70" s="15">
        <v>2.5</v>
      </c>
      <c r="G70" s="15">
        <v>0</v>
      </c>
      <c r="H70" s="15">
        <v>3.5</v>
      </c>
      <c r="I70" s="15">
        <v>1.2</v>
      </c>
      <c r="J70" s="15">
        <v>1.2</v>
      </c>
      <c r="K70" s="15">
        <v>0.8</v>
      </c>
      <c r="L70" s="3" t="s">
        <v>113</v>
      </c>
      <c r="M70" s="3" t="s">
        <v>356</v>
      </c>
      <c r="N70" s="3"/>
      <c r="O70" s="3"/>
      <c r="P70" s="3"/>
      <c r="Q70" s="3" t="s">
        <v>356</v>
      </c>
      <c r="R70" s="3" t="s">
        <v>356</v>
      </c>
      <c r="S70" s="3"/>
      <c r="T70" s="3"/>
      <c r="U70" s="3"/>
      <c r="V70" s="76">
        <f>IF(UPPER(M70)="X",0.5,IF(UPPER(N70)="X",0.2,IF(UPPER(O70)="X",0.05,0)))</f>
        <v>0.5</v>
      </c>
      <c r="W70" s="3" t="s">
        <v>229</v>
      </c>
    </row>
    <row r="71" spans="1:23" x14ac:dyDescent="0.3">
      <c r="A71" s="3">
        <v>5</v>
      </c>
      <c r="B71" s="3" t="s">
        <v>230</v>
      </c>
      <c r="C71" s="14">
        <v>1</v>
      </c>
      <c r="D71" s="78">
        <v>18</v>
      </c>
      <c r="E71" s="78">
        <f>IFERROR(C71*D71,0)</f>
        <v>18</v>
      </c>
      <c r="F71" s="15">
        <v>6</v>
      </c>
      <c r="G71" s="15">
        <v>0</v>
      </c>
      <c r="H71" s="15">
        <v>4</v>
      </c>
      <c r="I71" s="15">
        <v>0.8</v>
      </c>
      <c r="J71" s="15">
        <v>0.6</v>
      </c>
      <c r="K71" s="15">
        <v>0.3</v>
      </c>
      <c r="L71" s="3" t="s">
        <v>113</v>
      </c>
      <c r="M71" s="3" t="s">
        <v>356</v>
      </c>
      <c r="N71" s="3"/>
      <c r="O71" s="3"/>
      <c r="P71" s="3"/>
      <c r="Q71" s="3" t="s">
        <v>356</v>
      </c>
      <c r="R71" s="3" t="s">
        <v>356</v>
      </c>
      <c r="S71" s="3"/>
      <c r="T71" s="3"/>
      <c r="U71" s="3"/>
      <c r="V71" s="76">
        <f>IF(UPPER(M71)="X",0.5,IF(UPPER(N71)="X",0.2,IF(UPPER(O71)="X",0.05,0)))</f>
        <v>0.5</v>
      </c>
      <c r="W71" s="3"/>
    </row>
    <row r="77" spans="1:23" ht="15" thickBot="1" x14ac:dyDescent="0.35">
      <c r="A77" s="26"/>
      <c r="B77" s="26" t="s">
        <v>451</v>
      </c>
      <c r="C77" s="26"/>
      <c r="D77" s="26"/>
      <c r="E77" s="87">
        <f>SUM(E67:E71)</f>
        <v>90</v>
      </c>
      <c r="F77" s="28">
        <f>IFERROR(SUMPRODUCT(E67:E71,F67:F71)/E77,0)</f>
        <v>4.8666666666666663</v>
      </c>
      <c r="G77" s="28">
        <f>IFERROR(SUMPRODUCT(E67:E71,G67:G71)/E77,0)</f>
        <v>0</v>
      </c>
      <c r="H77" s="28">
        <f>IFERROR(SUMPRODUCT(E67:E71,H67:H71)/E77,0)</f>
        <v>3.6666666666666665</v>
      </c>
      <c r="I77" s="87">
        <f>SUMPRODUCT(E67:E71,V67:V71)</f>
        <v>31.8</v>
      </c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</row>
    <row r="78" spans="1:23" ht="15" thickTop="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</row>
  </sheetData>
  <mergeCells count="17">
    <mergeCell ref="M65:O65"/>
    <mergeCell ref="P65:Q65"/>
    <mergeCell ref="R65:U65"/>
    <mergeCell ref="A1:W1"/>
    <mergeCell ref="A3:W3"/>
    <mergeCell ref="A21:W21"/>
    <mergeCell ref="A40:W40"/>
    <mergeCell ref="A61:W61"/>
    <mergeCell ref="M7:O7"/>
    <mergeCell ref="P7:Q7"/>
    <mergeCell ref="R7:U7"/>
    <mergeCell ref="M25:O25"/>
    <mergeCell ref="P25:Q25"/>
    <mergeCell ref="R25:U25"/>
    <mergeCell ref="M44:O44"/>
    <mergeCell ref="P44:Q44"/>
    <mergeCell ref="R44:U4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630CA-CDB8-4AB6-ABB5-14C9B593900D}">
  <sheetPr codeName="Sheet50"/>
  <dimension ref="A1:W130"/>
  <sheetViews>
    <sheetView topLeftCell="A61" workbookViewId="0">
      <selection activeCell="A66" sqref="A66:XFD88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21" width="6.44140625" customWidth="1"/>
    <col min="22" max="22" width="10.21875" customWidth="1"/>
    <col min="23" max="23" width="46.33203125" customWidth="1"/>
  </cols>
  <sheetData>
    <row r="1" spans="1:23" ht="21" x14ac:dyDescent="0.4">
      <c r="A1" s="88" t="s">
        <v>322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23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t="16.2" thickTop="1" x14ac:dyDescent="0.3">
      <c r="A3" s="90" t="s">
        <v>465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</row>
    <row r="4" spans="1:23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x14ac:dyDescent="0.3">
      <c r="A5" s="83"/>
      <c r="B5" s="18" t="s">
        <v>464</v>
      </c>
      <c r="C5" s="18"/>
      <c r="D5" s="18" t="s">
        <v>329</v>
      </c>
      <c r="E5" s="18" t="s">
        <v>92</v>
      </c>
      <c r="F5" s="18" t="s">
        <v>93</v>
      </c>
      <c r="G5" s="18" t="s">
        <v>94</v>
      </c>
      <c r="H5" s="18" t="s">
        <v>84</v>
      </c>
      <c r="I5" s="18" t="s">
        <v>85</v>
      </c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x14ac:dyDescent="0.3">
      <c r="A6" s="43"/>
      <c r="B6" s="43"/>
      <c r="C6" s="43"/>
      <c r="D6" s="85">
        <f>E70</f>
        <v>914</v>
      </c>
      <c r="E6" s="86">
        <f>F70</f>
        <v>25.969365426695841</v>
      </c>
      <c r="F6" s="86">
        <f>G70</f>
        <v>4.5951859956236324E-2</v>
      </c>
      <c r="G6" s="86">
        <f>H70</f>
        <v>3</v>
      </c>
      <c r="H6" s="85">
        <f>I70</f>
        <v>457</v>
      </c>
      <c r="I6" s="85">
        <f>I70</f>
        <v>457</v>
      </c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</row>
    <row r="7" spans="1:23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92" t="s">
        <v>111</v>
      </c>
      <c r="N7" s="92"/>
      <c r="O7" s="92"/>
      <c r="P7" s="92" t="s">
        <v>471</v>
      </c>
      <c r="Q7" s="92"/>
      <c r="R7" s="92" t="s">
        <v>112</v>
      </c>
      <c r="S7" s="92"/>
      <c r="T7" s="92"/>
      <c r="U7" s="92"/>
      <c r="V7" s="3"/>
      <c r="W7" s="3"/>
    </row>
    <row r="8" spans="1:23" x14ac:dyDescent="0.3">
      <c r="A8" s="84" t="s">
        <v>106</v>
      </c>
      <c r="B8" s="84" t="s">
        <v>107</v>
      </c>
      <c r="C8" s="84" t="s">
        <v>2</v>
      </c>
      <c r="D8" s="84" t="s">
        <v>72</v>
      </c>
      <c r="E8" s="84" t="s">
        <v>73</v>
      </c>
      <c r="F8" s="84" t="s">
        <v>92</v>
      </c>
      <c r="G8" s="84" t="s">
        <v>93</v>
      </c>
      <c r="H8" s="84" t="s">
        <v>94</v>
      </c>
      <c r="I8" s="84" t="s">
        <v>108</v>
      </c>
      <c r="J8" s="84" t="s">
        <v>109</v>
      </c>
      <c r="K8" s="84" t="s">
        <v>110</v>
      </c>
      <c r="L8" s="84" t="s">
        <v>95</v>
      </c>
      <c r="M8" s="84" t="s">
        <v>128</v>
      </c>
      <c r="N8" s="84" t="s">
        <v>349</v>
      </c>
      <c r="O8" s="84" t="s">
        <v>172</v>
      </c>
      <c r="P8" s="84" t="s">
        <v>350</v>
      </c>
      <c r="Q8" s="84" t="s">
        <v>129</v>
      </c>
      <c r="R8" s="84" t="s">
        <v>351</v>
      </c>
      <c r="S8" s="84" t="s">
        <v>352</v>
      </c>
      <c r="T8" s="84" t="s">
        <v>353</v>
      </c>
      <c r="U8" s="84" t="s">
        <v>354</v>
      </c>
      <c r="V8" s="84" t="s">
        <v>355</v>
      </c>
      <c r="W8" s="84" t="s">
        <v>3</v>
      </c>
    </row>
    <row r="9" spans="1:23" x14ac:dyDescent="0.3">
      <c r="A9" s="3">
        <v>1</v>
      </c>
      <c r="B9" s="3" t="s">
        <v>292</v>
      </c>
      <c r="C9" s="14">
        <v>1</v>
      </c>
      <c r="D9" s="78">
        <v>65</v>
      </c>
      <c r="E9" s="78">
        <f>IFERROR(C9*D9,0)</f>
        <v>65</v>
      </c>
      <c r="F9" s="15">
        <v>22</v>
      </c>
      <c r="G9" s="15">
        <v>3</v>
      </c>
      <c r="H9" s="15">
        <v>3</v>
      </c>
      <c r="I9" s="15">
        <v>6</v>
      </c>
      <c r="J9" s="15">
        <v>1.5</v>
      </c>
      <c r="K9" s="15">
        <v>1.5</v>
      </c>
      <c r="L9" s="3" t="s">
        <v>119</v>
      </c>
      <c r="M9" s="3" t="s">
        <v>356</v>
      </c>
      <c r="N9" s="3"/>
      <c r="O9" s="3"/>
      <c r="P9" s="3"/>
      <c r="Q9" s="3" t="s">
        <v>356</v>
      </c>
      <c r="R9" s="3"/>
      <c r="S9" s="3"/>
      <c r="T9" s="3"/>
      <c r="U9" s="3"/>
      <c r="V9" s="76">
        <f>IF(UPPER(M9)="X",0.5,IF(UPPER(N9)="X",0.2,IF(UPPER(O9)="X",0.05,0)))</f>
        <v>0.5</v>
      </c>
      <c r="W9" s="3" t="s">
        <v>293</v>
      </c>
    </row>
    <row r="10" spans="1:23" x14ac:dyDescent="0.3">
      <c r="A10" s="3">
        <v>2</v>
      </c>
      <c r="B10" s="3" t="s">
        <v>294</v>
      </c>
      <c r="C10" s="14">
        <v>1</v>
      </c>
      <c r="D10" s="78">
        <v>65</v>
      </c>
      <c r="E10" s="78">
        <f>IFERROR(C10*D10,0)</f>
        <v>65</v>
      </c>
      <c r="F10" s="15">
        <v>22</v>
      </c>
      <c r="G10" s="15">
        <v>-3</v>
      </c>
      <c r="H10" s="15">
        <v>3</v>
      </c>
      <c r="I10" s="15">
        <v>6</v>
      </c>
      <c r="J10" s="15">
        <v>1.5</v>
      </c>
      <c r="K10" s="15">
        <v>1.5</v>
      </c>
      <c r="L10" s="3" t="s">
        <v>119</v>
      </c>
      <c r="M10" s="3" t="s">
        <v>356</v>
      </c>
      <c r="N10" s="3"/>
      <c r="O10" s="3"/>
      <c r="P10" s="3"/>
      <c r="Q10" s="3" t="s">
        <v>356</v>
      </c>
      <c r="R10" s="3"/>
      <c r="S10" s="3"/>
      <c r="T10" s="3"/>
      <c r="U10" s="3"/>
      <c r="V10" s="76">
        <f>IF(UPPER(M10)="X",0.5,IF(UPPER(N10)="X",0.2,IF(UPPER(O10)="X",0.05,0)))</f>
        <v>0.5</v>
      </c>
      <c r="W10" s="3" t="s">
        <v>293</v>
      </c>
    </row>
    <row r="11" spans="1:23" x14ac:dyDescent="0.3">
      <c r="A11" s="3">
        <v>3</v>
      </c>
      <c r="B11" s="3" t="s">
        <v>472</v>
      </c>
      <c r="C11" s="14">
        <v>1</v>
      </c>
      <c r="D11" s="78">
        <v>55</v>
      </c>
      <c r="E11" s="78">
        <f>IFERROR(C11*D11,0)</f>
        <v>55</v>
      </c>
      <c r="F11" s="15">
        <v>26</v>
      </c>
      <c r="G11" s="15">
        <v>3</v>
      </c>
      <c r="H11" s="15">
        <v>3</v>
      </c>
      <c r="I11" s="15">
        <v>0.8</v>
      </c>
      <c r="J11" s="15">
        <v>2</v>
      </c>
      <c r="K11" s="15">
        <v>2</v>
      </c>
      <c r="L11" s="3" t="s">
        <v>119</v>
      </c>
      <c r="M11" s="3" t="s">
        <v>356</v>
      </c>
      <c r="N11" s="3"/>
      <c r="O11" s="3"/>
      <c r="P11" s="3"/>
      <c r="Q11" s="3" t="s">
        <v>356</v>
      </c>
      <c r="R11" s="3"/>
      <c r="S11" s="3"/>
      <c r="T11" s="3"/>
      <c r="U11" s="3"/>
      <c r="V11" s="76">
        <f>IF(UPPER(M11)="X",0.5,IF(UPPER(N11)="X",0.2,IF(UPPER(O11)="X",0.05,0)))</f>
        <v>0.5</v>
      </c>
      <c r="W11" s="3" t="s">
        <v>473</v>
      </c>
    </row>
    <row r="12" spans="1:23" x14ac:dyDescent="0.3">
      <c r="A12" s="3">
        <v>4</v>
      </c>
      <c r="B12" s="3" t="s">
        <v>474</v>
      </c>
      <c r="C12" s="14">
        <v>1</v>
      </c>
      <c r="D12" s="78">
        <v>55</v>
      </c>
      <c r="E12" s="78">
        <f>IFERROR(C12*D12,0)</f>
        <v>55</v>
      </c>
      <c r="F12" s="15">
        <v>26</v>
      </c>
      <c r="G12" s="15">
        <v>-3</v>
      </c>
      <c r="H12" s="15">
        <v>3</v>
      </c>
      <c r="I12" s="15">
        <v>0.8</v>
      </c>
      <c r="J12" s="15">
        <v>2</v>
      </c>
      <c r="K12" s="15">
        <v>2</v>
      </c>
      <c r="L12" s="3" t="s">
        <v>119</v>
      </c>
      <c r="M12" s="3" t="s">
        <v>356</v>
      </c>
      <c r="N12" s="3"/>
      <c r="O12" s="3"/>
      <c r="P12" s="3"/>
      <c r="Q12" s="3" t="s">
        <v>356</v>
      </c>
      <c r="R12" s="3"/>
      <c r="S12" s="3"/>
      <c r="T12" s="3"/>
      <c r="U12" s="3"/>
      <c r="V12" s="76">
        <f>IF(UPPER(M12)="X",0.5,IF(UPPER(N12)="X",0.2,IF(UPPER(O12)="X",0.05,0)))</f>
        <v>0.5</v>
      </c>
      <c r="W12" s="3" t="s">
        <v>473</v>
      </c>
    </row>
    <row r="13" spans="1:23" x14ac:dyDescent="0.3">
      <c r="A13" s="3">
        <v>5</v>
      </c>
      <c r="B13" s="3" t="s">
        <v>475</v>
      </c>
      <c r="C13" s="14">
        <v>1</v>
      </c>
      <c r="D13" s="78">
        <v>55</v>
      </c>
      <c r="E13" s="78">
        <f>IFERROR(C13*D13,0)</f>
        <v>55</v>
      </c>
      <c r="F13" s="15">
        <v>27</v>
      </c>
      <c r="G13" s="15">
        <v>3</v>
      </c>
      <c r="H13" s="15">
        <v>3</v>
      </c>
      <c r="I13" s="15">
        <v>0.8</v>
      </c>
      <c r="J13" s="15">
        <v>2</v>
      </c>
      <c r="K13" s="15">
        <v>2</v>
      </c>
      <c r="L13" s="3" t="s">
        <v>119</v>
      </c>
      <c r="M13" s="3" t="s">
        <v>356</v>
      </c>
      <c r="N13" s="3"/>
      <c r="O13" s="3"/>
      <c r="P13" s="3"/>
      <c r="Q13" s="3" t="s">
        <v>356</v>
      </c>
      <c r="R13" s="3"/>
      <c r="S13" s="3"/>
      <c r="T13" s="3"/>
      <c r="U13" s="3"/>
      <c r="V13" s="76">
        <f>IF(UPPER(M13)="X",0.5,IF(UPPER(N13)="X",0.2,IF(UPPER(O13)="X",0.05,0)))</f>
        <v>0.5</v>
      </c>
      <c r="W13" s="3" t="s">
        <v>476</v>
      </c>
    </row>
    <row r="14" spans="1:23" x14ac:dyDescent="0.3">
      <c r="A14" s="3">
        <v>6</v>
      </c>
      <c r="B14" s="3" t="s">
        <v>477</v>
      </c>
      <c r="C14" s="14">
        <v>1</v>
      </c>
      <c r="D14" s="78">
        <v>55</v>
      </c>
      <c r="E14" s="78">
        <f>IFERROR(C14*D14,0)</f>
        <v>55</v>
      </c>
      <c r="F14" s="15">
        <v>27</v>
      </c>
      <c r="G14" s="15">
        <v>-3</v>
      </c>
      <c r="H14" s="15">
        <v>3</v>
      </c>
      <c r="I14" s="15">
        <v>0.8</v>
      </c>
      <c r="J14" s="15">
        <v>2</v>
      </c>
      <c r="K14" s="15">
        <v>2</v>
      </c>
      <c r="L14" s="3" t="s">
        <v>119</v>
      </c>
      <c r="M14" s="3" t="s">
        <v>356</v>
      </c>
      <c r="N14" s="3"/>
      <c r="O14" s="3"/>
      <c r="P14" s="3"/>
      <c r="Q14" s="3" t="s">
        <v>356</v>
      </c>
      <c r="R14" s="3"/>
      <c r="S14" s="3"/>
      <c r="T14" s="3"/>
      <c r="U14" s="3"/>
      <c r="V14" s="76">
        <f>IF(UPPER(M14)="X",0.5,IF(UPPER(N14)="X",0.2,IF(UPPER(O14)="X",0.05,0)))</f>
        <v>0.5</v>
      </c>
      <c r="W14" s="3" t="s">
        <v>476</v>
      </c>
    </row>
    <row r="15" spans="1:23" x14ac:dyDescent="0.3">
      <c r="A15" s="3">
        <v>7</v>
      </c>
      <c r="B15" s="3" t="s">
        <v>478</v>
      </c>
      <c r="C15" s="14">
        <v>1</v>
      </c>
      <c r="D15" s="78">
        <v>18</v>
      </c>
      <c r="E15" s="78">
        <f>IFERROR(C15*D15,0)</f>
        <v>18</v>
      </c>
      <c r="F15" s="15">
        <v>25.5</v>
      </c>
      <c r="G15" s="15">
        <v>3</v>
      </c>
      <c r="H15" s="15">
        <v>3</v>
      </c>
      <c r="I15" s="15">
        <v>0.5</v>
      </c>
      <c r="J15" s="15">
        <v>1</v>
      </c>
      <c r="K15" s="15">
        <v>1</v>
      </c>
      <c r="L15" s="3" t="s">
        <v>119</v>
      </c>
      <c r="M15" s="3" t="s">
        <v>356</v>
      </c>
      <c r="N15" s="3"/>
      <c r="O15" s="3"/>
      <c r="P15" s="3"/>
      <c r="Q15" s="3" t="s">
        <v>356</v>
      </c>
      <c r="R15" s="3"/>
      <c r="S15" s="3"/>
      <c r="T15" s="3"/>
      <c r="U15" s="3"/>
      <c r="V15" s="76">
        <f>IF(UPPER(M15)="X",0.5,IF(UPPER(N15)="X",0.2,IF(UPPER(O15)="X",0.05,0)))</f>
        <v>0.5</v>
      </c>
      <c r="W15" s="3" t="s">
        <v>479</v>
      </c>
    </row>
    <row r="16" spans="1:23" x14ac:dyDescent="0.3">
      <c r="A16" s="3">
        <v>8</v>
      </c>
      <c r="B16" s="3" t="s">
        <v>480</v>
      </c>
      <c r="C16" s="14">
        <v>1</v>
      </c>
      <c r="D16" s="78">
        <v>18</v>
      </c>
      <c r="E16" s="78">
        <f>IFERROR(C16*D16,0)</f>
        <v>18</v>
      </c>
      <c r="F16" s="15">
        <v>25.5</v>
      </c>
      <c r="G16" s="15">
        <v>-3</v>
      </c>
      <c r="H16" s="15">
        <v>3</v>
      </c>
      <c r="I16" s="15">
        <v>0.5</v>
      </c>
      <c r="J16" s="15">
        <v>1</v>
      </c>
      <c r="K16" s="15">
        <v>1</v>
      </c>
      <c r="L16" s="3" t="s">
        <v>119</v>
      </c>
      <c r="M16" s="3" t="s">
        <v>356</v>
      </c>
      <c r="N16" s="3"/>
      <c r="O16" s="3"/>
      <c r="P16" s="3"/>
      <c r="Q16" s="3" t="s">
        <v>356</v>
      </c>
      <c r="R16" s="3"/>
      <c r="S16" s="3"/>
      <c r="T16" s="3"/>
      <c r="U16" s="3"/>
      <c r="V16" s="76">
        <f>IF(UPPER(M16)="X",0.5,IF(UPPER(N16)="X",0.2,IF(UPPER(O16)="X",0.05,0)))</f>
        <v>0.5</v>
      </c>
      <c r="W16" s="3" t="s">
        <v>479</v>
      </c>
    </row>
    <row r="17" spans="1:23" x14ac:dyDescent="0.3">
      <c r="A17" s="3">
        <v>9</v>
      </c>
      <c r="B17" s="3" t="s">
        <v>481</v>
      </c>
      <c r="C17" s="14">
        <v>1</v>
      </c>
      <c r="D17" s="78">
        <v>18</v>
      </c>
      <c r="E17" s="78">
        <f>IFERROR(C17*D17,0)</f>
        <v>18</v>
      </c>
      <c r="F17" s="15">
        <v>28</v>
      </c>
      <c r="G17" s="15">
        <v>3</v>
      </c>
      <c r="H17" s="15">
        <v>3</v>
      </c>
      <c r="I17" s="15">
        <v>0.5</v>
      </c>
      <c r="J17" s="15">
        <v>1</v>
      </c>
      <c r="K17" s="15">
        <v>1</v>
      </c>
      <c r="L17" s="3" t="s">
        <v>119</v>
      </c>
      <c r="M17" s="3" t="s">
        <v>356</v>
      </c>
      <c r="N17" s="3"/>
      <c r="O17" s="3"/>
      <c r="P17" s="3"/>
      <c r="Q17" s="3" t="s">
        <v>356</v>
      </c>
      <c r="R17" s="3"/>
      <c r="S17" s="3"/>
      <c r="T17" s="3"/>
      <c r="U17" s="3"/>
      <c r="V17" s="76">
        <f>IF(UPPER(M17)="X",0.5,IF(UPPER(N17)="X",0.2,IF(UPPER(O17)="X",0.05,0)))</f>
        <v>0.5</v>
      </c>
      <c r="W17" s="3" t="s">
        <v>482</v>
      </c>
    </row>
    <row r="18" spans="1:23" x14ac:dyDescent="0.3">
      <c r="A18" s="3">
        <v>10</v>
      </c>
      <c r="B18" s="3" t="s">
        <v>483</v>
      </c>
      <c r="C18" s="14">
        <v>1</v>
      </c>
      <c r="D18" s="78">
        <v>18</v>
      </c>
      <c r="E18" s="78">
        <f>IFERROR(C18*D18,0)</f>
        <v>18</v>
      </c>
      <c r="F18" s="15">
        <v>28</v>
      </c>
      <c r="G18" s="15">
        <v>-3</v>
      </c>
      <c r="H18" s="15">
        <v>3</v>
      </c>
      <c r="I18" s="15">
        <v>0.5</v>
      </c>
      <c r="J18" s="15">
        <v>1</v>
      </c>
      <c r="K18" s="15">
        <v>1</v>
      </c>
      <c r="L18" s="3" t="s">
        <v>119</v>
      </c>
      <c r="M18" s="3" t="s">
        <v>356</v>
      </c>
      <c r="N18" s="3"/>
      <c r="O18" s="3"/>
      <c r="P18" s="3"/>
      <c r="Q18" s="3" t="s">
        <v>356</v>
      </c>
      <c r="R18" s="3"/>
      <c r="S18" s="3"/>
      <c r="T18" s="3"/>
      <c r="U18" s="3"/>
      <c r="V18" s="76">
        <f>IF(UPPER(M18)="X",0.5,IF(UPPER(N18)="X",0.2,IF(UPPER(O18)="X",0.05,0)))</f>
        <v>0.5</v>
      </c>
      <c r="W18" s="3" t="s">
        <v>482</v>
      </c>
    </row>
    <row r="19" spans="1:23" x14ac:dyDescent="0.3">
      <c r="A19" s="3">
        <v>11</v>
      </c>
      <c r="B19" s="3" t="s">
        <v>484</v>
      </c>
      <c r="C19" s="14">
        <v>1</v>
      </c>
      <c r="D19" s="78">
        <v>22</v>
      </c>
      <c r="E19" s="78">
        <f>IFERROR(C19*D19,0)</f>
        <v>22</v>
      </c>
      <c r="F19" s="15">
        <v>26.5</v>
      </c>
      <c r="G19" s="15">
        <v>3</v>
      </c>
      <c r="H19" s="15">
        <v>3</v>
      </c>
      <c r="I19" s="15">
        <v>0.3</v>
      </c>
      <c r="J19" s="15">
        <v>2</v>
      </c>
      <c r="K19" s="15">
        <v>2</v>
      </c>
      <c r="L19" s="3" t="s">
        <v>119</v>
      </c>
      <c r="M19" s="3" t="s">
        <v>356</v>
      </c>
      <c r="N19" s="3"/>
      <c r="O19" s="3"/>
      <c r="P19" s="3"/>
      <c r="Q19" s="3" t="s">
        <v>356</v>
      </c>
      <c r="R19" s="3"/>
      <c r="S19" s="3"/>
      <c r="T19" s="3"/>
      <c r="U19" s="3"/>
      <c r="V19" s="76">
        <f>IF(UPPER(M19)="X",0.5,IF(UPPER(N19)="X",0.2,IF(UPPER(O19)="X",0.05,0)))</f>
        <v>0.5</v>
      </c>
      <c r="W19" s="3" t="s">
        <v>485</v>
      </c>
    </row>
    <row r="20" spans="1:23" x14ac:dyDescent="0.3">
      <c r="A20" s="3">
        <v>12</v>
      </c>
      <c r="B20" s="3" t="s">
        <v>486</v>
      </c>
      <c r="C20" s="14">
        <v>1</v>
      </c>
      <c r="D20" s="78">
        <v>22</v>
      </c>
      <c r="E20" s="78">
        <f>IFERROR(C20*D20,0)</f>
        <v>22</v>
      </c>
      <c r="F20" s="15">
        <v>26.5</v>
      </c>
      <c r="G20" s="15">
        <v>-3</v>
      </c>
      <c r="H20" s="15">
        <v>3</v>
      </c>
      <c r="I20" s="15">
        <v>0.3</v>
      </c>
      <c r="J20" s="15">
        <v>2</v>
      </c>
      <c r="K20" s="15">
        <v>2</v>
      </c>
      <c r="L20" s="3" t="s">
        <v>119</v>
      </c>
      <c r="M20" s="3" t="s">
        <v>356</v>
      </c>
      <c r="N20" s="3"/>
      <c r="O20" s="3"/>
      <c r="P20" s="3"/>
      <c r="Q20" s="3" t="s">
        <v>356</v>
      </c>
      <c r="R20" s="3"/>
      <c r="S20" s="3"/>
      <c r="T20" s="3"/>
      <c r="U20" s="3"/>
      <c r="V20" s="76">
        <f>IF(UPPER(M20)="X",0.5,IF(UPPER(N20)="X",0.2,IF(UPPER(O20)="X",0.05,0)))</f>
        <v>0.5</v>
      </c>
      <c r="W20" s="3" t="s">
        <v>485</v>
      </c>
    </row>
    <row r="21" spans="1:23" x14ac:dyDescent="0.3">
      <c r="A21" s="3">
        <v>13</v>
      </c>
      <c r="B21" s="3" t="s">
        <v>487</v>
      </c>
      <c r="C21" s="14">
        <v>1</v>
      </c>
      <c r="D21" s="78">
        <v>22</v>
      </c>
      <c r="E21" s="78">
        <f>IFERROR(C21*D21,0)</f>
        <v>22</v>
      </c>
      <c r="F21" s="15">
        <v>27.5</v>
      </c>
      <c r="G21" s="15">
        <v>3</v>
      </c>
      <c r="H21" s="15">
        <v>3</v>
      </c>
      <c r="I21" s="15">
        <v>0.3</v>
      </c>
      <c r="J21" s="15">
        <v>2</v>
      </c>
      <c r="K21" s="15">
        <v>2</v>
      </c>
      <c r="L21" s="3" t="s">
        <v>119</v>
      </c>
      <c r="M21" s="3" t="s">
        <v>356</v>
      </c>
      <c r="N21" s="3"/>
      <c r="O21" s="3"/>
      <c r="P21" s="3"/>
      <c r="Q21" s="3" t="s">
        <v>356</v>
      </c>
      <c r="R21" s="3"/>
      <c r="S21" s="3"/>
      <c r="T21" s="3"/>
      <c r="U21" s="3"/>
      <c r="V21" s="76">
        <f>IF(UPPER(M21)="X",0.5,IF(UPPER(N21)="X",0.2,IF(UPPER(O21)="X",0.05,0)))</f>
        <v>0.5</v>
      </c>
      <c r="W21" s="3" t="s">
        <v>488</v>
      </c>
    </row>
    <row r="22" spans="1:23" x14ac:dyDescent="0.3">
      <c r="A22" s="3">
        <v>14</v>
      </c>
      <c r="B22" s="3" t="s">
        <v>489</v>
      </c>
      <c r="C22" s="14">
        <v>1</v>
      </c>
      <c r="D22" s="78">
        <v>22</v>
      </c>
      <c r="E22" s="78">
        <f>IFERROR(C22*D22,0)</f>
        <v>22</v>
      </c>
      <c r="F22" s="15">
        <v>27.5</v>
      </c>
      <c r="G22" s="15">
        <v>-3</v>
      </c>
      <c r="H22" s="15">
        <v>3</v>
      </c>
      <c r="I22" s="15">
        <v>0.3</v>
      </c>
      <c r="J22" s="15">
        <v>2</v>
      </c>
      <c r="K22" s="15">
        <v>2</v>
      </c>
      <c r="L22" s="3" t="s">
        <v>119</v>
      </c>
      <c r="M22" s="3" t="s">
        <v>356</v>
      </c>
      <c r="N22" s="3"/>
      <c r="O22" s="3"/>
      <c r="P22" s="3"/>
      <c r="Q22" s="3" t="s">
        <v>356</v>
      </c>
      <c r="R22" s="3"/>
      <c r="S22" s="3"/>
      <c r="T22" s="3"/>
      <c r="U22" s="3"/>
      <c r="V22" s="76">
        <f>IF(UPPER(M22)="X",0.5,IF(UPPER(N22)="X",0.2,IF(UPPER(O22)="X",0.05,0)))</f>
        <v>0.5</v>
      </c>
      <c r="W22" s="3" t="s">
        <v>488</v>
      </c>
    </row>
    <row r="23" spans="1:23" x14ac:dyDescent="0.3">
      <c r="A23" s="3">
        <v>15</v>
      </c>
      <c r="B23" s="3" t="s">
        <v>490</v>
      </c>
      <c r="C23" s="14">
        <v>1</v>
      </c>
      <c r="D23" s="78">
        <v>45</v>
      </c>
      <c r="E23" s="78">
        <f>IFERROR(C23*D23,0)</f>
        <v>45</v>
      </c>
      <c r="F23" s="15">
        <v>27</v>
      </c>
      <c r="G23" s="15">
        <v>3</v>
      </c>
      <c r="H23" s="15">
        <v>3</v>
      </c>
      <c r="I23" s="15">
        <v>2</v>
      </c>
      <c r="J23" s="15">
        <v>2.2000000000000002</v>
      </c>
      <c r="K23" s="15">
        <v>2.2000000000000002</v>
      </c>
      <c r="L23" s="3" t="s">
        <v>119</v>
      </c>
      <c r="M23" s="3" t="s">
        <v>356</v>
      </c>
      <c r="N23" s="3"/>
      <c r="O23" s="3"/>
      <c r="P23" s="3"/>
      <c r="Q23" s="3" t="s">
        <v>356</v>
      </c>
      <c r="R23" s="3"/>
      <c r="S23" s="3"/>
      <c r="T23" s="3"/>
      <c r="U23" s="3"/>
      <c r="V23" s="76">
        <f>IF(UPPER(M23)="X",0.5,IF(UPPER(N23)="X",0.2,IF(UPPER(O23)="X",0.05,0)))</f>
        <v>0.5</v>
      </c>
      <c r="W23" s="3" t="s">
        <v>491</v>
      </c>
    </row>
    <row r="24" spans="1:23" x14ac:dyDescent="0.3">
      <c r="A24" s="3">
        <v>16</v>
      </c>
      <c r="B24" s="3" t="s">
        <v>492</v>
      </c>
      <c r="C24" s="14">
        <v>1</v>
      </c>
      <c r="D24" s="78">
        <v>45</v>
      </c>
      <c r="E24" s="78">
        <f>IFERROR(C24*D24,0)</f>
        <v>45</v>
      </c>
      <c r="F24" s="15">
        <v>27</v>
      </c>
      <c r="G24" s="15">
        <v>-3</v>
      </c>
      <c r="H24" s="15">
        <v>3</v>
      </c>
      <c r="I24" s="15">
        <v>2</v>
      </c>
      <c r="J24" s="15">
        <v>2.2000000000000002</v>
      </c>
      <c r="K24" s="15">
        <v>2.2000000000000002</v>
      </c>
      <c r="L24" s="3" t="s">
        <v>119</v>
      </c>
      <c r="M24" s="3" t="s">
        <v>356</v>
      </c>
      <c r="N24" s="3"/>
      <c r="O24" s="3"/>
      <c r="P24" s="3"/>
      <c r="Q24" s="3" t="s">
        <v>356</v>
      </c>
      <c r="R24" s="3"/>
      <c r="S24" s="3"/>
      <c r="T24" s="3"/>
      <c r="U24" s="3"/>
      <c r="V24" s="76">
        <f>IF(UPPER(M24)="X",0.5,IF(UPPER(N24)="X",0.2,IF(UPPER(O24)="X",0.05,0)))</f>
        <v>0.5</v>
      </c>
      <c r="W24" s="3" t="s">
        <v>491</v>
      </c>
    </row>
    <row r="25" spans="1:23" x14ac:dyDescent="0.3">
      <c r="A25" s="3">
        <v>17</v>
      </c>
      <c r="B25" s="3" t="s">
        <v>493</v>
      </c>
      <c r="C25" s="14">
        <v>1</v>
      </c>
      <c r="D25" s="78">
        <v>75</v>
      </c>
      <c r="E25" s="78">
        <f>IFERROR(C25*D25,0)</f>
        <v>75</v>
      </c>
      <c r="F25" s="15">
        <v>26</v>
      </c>
      <c r="G25" s="15">
        <v>3</v>
      </c>
      <c r="H25" s="15">
        <v>3</v>
      </c>
      <c r="I25" s="15">
        <v>0.7</v>
      </c>
      <c r="J25" s="15">
        <v>1.4</v>
      </c>
      <c r="K25" s="15">
        <v>1.4</v>
      </c>
      <c r="L25" s="3" t="s">
        <v>119</v>
      </c>
      <c r="M25" s="3" t="s">
        <v>356</v>
      </c>
      <c r="N25" s="3"/>
      <c r="O25" s="3"/>
      <c r="P25" s="3"/>
      <c r="Q25" s="3" t="s">
        <v>356</v>
      </c>
      <c r="R25" s="3"/>
      <c r="S25" s="3"/>
      <c r="T25" s="3"/>
      <c r="U25" s="3"/>
      <c r="V25" s="76">
        <f>IF(UPPER(M25)="X",0.5,IF(UPPER(N25)="X",0.2,IF(UPPER(O25)="X",0.05,0)))</f>
        <v>0.5</v>
      </c>
      <c r="W25" s="3" t="s">
        <v>494</v>
      </c>
    </row>
    <row r="26" spans="1:23" x14ac:dyDescent="0.3">
      <c r="A26" s="3">
        <v>18</v>
      </c>
      <c r="B26" s="3" t="s">
        <v>495</v>
      </c>
      <c r="C26" s="14">
        <v>1</v>
      </c>
      <c r="D26" s="78">
        <v>75</v>
      </c>
      <c r="E26" s="78">
        <f>IFERROR(C26*D26,0)</f>
        <v>75</v>
      </c>
      <c r="F26" s="15">
        <v>26</v>
      </c>
      <c r="G26" s="15">
        <v>-3</v>
      </c>
      <c r="H26" s="15">
        <v>3</v>
      </c>
      <c r="I26" s="15">
        <v>0.7</v>
      </c>
      <c r="J26" s="15">
        <v>1.4</v>
      </c>
      <c r="K26" s="15">
        <v>1.4</v>
      </c>
      <c r="L26" s="3" t="s">
        <v>119</v>
      </c>
      <c r="M26" s="3" t="s">
        <v>356</v>
      </c>
      <c r="N26" s="3"/>
      <c r="O26" s="3"/>
      <c r="P26" s="3"/>
      <c r="Q26" s="3" t="s">
        <v>356</v>
      </c>
      <c r="R26" s="3"/>
      <c r="S26" s="3"/>
      <c r="T26" s="3"/>
      <c r="U26" s="3"/>
      <c r="V26" s="76">
        <f>IF(UPPER(M26)="X",0.5,IF(UPPER(N26)="X",0.2,IF(UPPER(O26)="X",0.05,0)))</f>
        <v>0.5</v>
      </c>
      <c r="W26" s="3" t="s">
        <v>494</v>
      </c>
    </row>
    <row r="27" spans="1:23" x14ac:dyDescent="0.3">
      <c r="A27" s="3">
        <v>19</v>
      </c>
      <c r="B27" s="3" t="s">
        <v>496</v>
      </c>
      <c r="C27" s="14">
        <v>1</v>
      </c>
      <c r="D27" s="78">
        <v>75</v>
      </c>
      <c r="E27" s="78">
        <f>IFERROR(C27*D27,0)</f>
        <v>75</v>
      </c>
      <c r="F27" s="15">
        <v>27</v>
      </c>
      <c r="G27" s="15">
        <v>3</v>
      </c>
      <c r="H27" s="15">
        <v>3</v>
      </c>
      <c r="I27" s="15">
        <v>0.7</v>
      </c>
      <c r="J27" s="15">
        <v>1.4</v>
      </c>
      <c r="K27" s="15">
        <v>1.4</v>
      </c>
      <c r="L27" s="3" t="s">
        <v>119</v>
      </c>
      <c r="M27" s="3" t="s">
        <v>356</v>
      </c>
      <c r="N27" s="3"/>
      <c r="O27" s="3"/>
      <c r="P27" s="3"/>
      <c r="Q27" s="3" t="s">
        <v>356</v>
      </c>
      <c r="R27" s="3"/>
      <c r="S27" s="3"/>
      <c r="T27" s="3"/>
      <c r="U27" s="3"/>
      <c r="V27" s="76">
        <f>IF(UPPER(M27)="X",0.5,IF(UPPER(N27)="X",0.2,IF(UPPER(O27)="X",0.05,0)))</f>
        <v>0.5</v>
      </c>
      <c r="W27" s="3" t="s">
        <v>497</v>
      </c>
    </row>
    <row r="28" spans="1:23" x14ac:dyDescent="0.3">
      <c r="A28" s="3">
        <v>20</v>
      </c>
      <c r="B28" s="3" t="s">
        <v>498</v>
      </c>
      <c r="C28" s="14">
        <v>1</v>
      </c>
      <c r="D28" s="78">
        <v>75</v>
      </c>
      <c r="E28" s="78">
        <f>IFERROR(C28*D28,0)</f>
        <v>75</v>
      </c>
      <c r="F28" s="15">
        <v>27</v>
      </c>
      <c r="G28" s="15">
        <v>-3</v>
      </c>
      <c r="H28" s="15">
        <v>3</v>
      </c>
      <c r="I28" s="15">
        <v>0.7</v>
      </c>
      <c r="J28" s="15">
        <v>1.4</v>
      </c>
      <c r="K28" s="15">
        <v>1.4</v>
      </c>
      <c r="L28" s="3" t="s">
        <v>119</v>
      </c>
      <c r="M28" s="3" t="s">
        <v>356</v>
      </c>
      <c r="N28" s="3"/>
      <c r="O28" s="3"/>
      <c r="P28" s="3"/>
      <c r="Q28" s="3" t="s">
        <v>356</v>
      </c>
      <c r="R28" s="3"/>
      <c r="S28" s="3"/>
      <c r="T28" s="3"/>
      <c r="U28" s="3"/>
      <c r="V28" s="76">
        <f>IF(UPPER(M28)="X",0.5,IF(UPPER(N28)="X",0.2,IF(UPPER(O28)="X",0.05,0)))</f>
        <v>0.5</v>
      </c>
      <c r="W28" s="3" t="s">
        <v>497</v>
      </c>
    </row>
    <row r="29" spans="1:23" x14ac:dyDescent="0.3">
      <c r="A29" s="3">
        <v>21</v>
      </c>
      <c r="B29" s="3" t="s">
        <v>499</v>
      </c>
      <c r="C29" s="14">
        <v>1</v>
      </c>
      <c r="D29" s="78">
        <v>14</v>
      </c>
      <c r="E29" s="78">
        <f>IFERROR(C29*D29,0)</f>
        <v>14</v>
      </c>
      <c r="F29" s="15">
        <v>26</v>
      </c>
      <c r="G29" s="15">
        <v>3</v>
      </c>
      <c r="H29" s="15">
        <v>3</v>
      </c>
      <c r="I29" s="15">
        <v>0.5</v>
      </c>
      <c r="J29" s="15">
        <v>1.5</v>
      </c>
      <c r="K29" s="15">
        <v>1.5</v>
      </c>
      <c r="L29" s="3" t="s">
        <v>119</v>
      </c>
      <c r="M29" s="3" t="s">
        <v>356</v>
      </c>
      <c r="N29" s="3"/>
      <c r="O29" s="3"/>
      <c r="P29" s="3"/>
      <c r="Q29" s="3" t="s">
        <v>356</v>
      </c>
      <c r="R29" s="3"/>
      <c r="S29" s="3"/>
      <c r="T29" s="3"/>
      <c r="U29" s="3"/>
      <c r="V29" s="76">
        <f>IF(UPPER(M29)="X",0.5,IF(UPPER(N29)="X",0.2,IF(UPPER(O29)="X",0.05,0)))</f>
        <v>0.5</v>
      </c>
      <c r="W29" s="3"/>
    </row>
    <row r="30" spans="1:23" x14ac:dyDescent="0.3">
      <c r="A30" s="3">
        <v>22</v>
      </c>
      <c r="B30" s="3" t="s">
        <v>500</v>
      </c>
      <c r="C30" s="14">
        <v>1</v>
      </c>
      <c r="D30" s="78">
        <v>14</v>
      </c>
      <c r="E30" s="78">
        <f>IFERROR(C30*D30,0)</f>
        <v>14</v>
      </c>
      <c r="F30" s="15">
        <v>26</v>
      </c>
      <c r="G30" s="15">
        <v>-3</v>
      </c>
      <c r="H30" s="15">
        <v>3</v>
      </c>
      <c r="I30" s="15">
        <v>0.5</v>
      </c>
      <c r="J30" s="15">
        <v>1.5</v>
      </c>
      <c r="K30" s="15">
        <v>1.5</v>
      </c>
      <c r="L30" s="3" t="s">
        <v>119</v>
      </c>
      <c r="M30" s="3" t="s">
        <v>356</v>
      </c>
      <c r="N30" s="3"/>
      <c r="O30" s="3"/>
      <c r="P30" s="3"/>
      <c r="Q30" s="3" t="s">
        <v>356</v>
      </c>
      <c r="R30" s="3"/>
      <c r="S30" s="3"/>
      <c r="T30" s="3"/>
      <c r="U30" s="3"/>
      <c r="V30" s="76">
        <f>IF(UPPER(M30)="X",0.5,IF(UPPER(N30)="X",0.2,IF(UPPER(O30)="X",0.05,0)))</f>
        <v>0.5</v>
      </c>
      <c r="W30" s="3"/>
    </row>
    <row r="31" spans="1:23" x14ac:dyDescent="0.3">
      <c r="A31" s="3">
        <v>23</v>
      </c>
      <c r="B31" s="3" t="s">
        <v>501</v>
      </c>
      <c r="C31" s="14">
        <v>1</v>
      </c>
      <c r="D31" s="78">
        <v>14</v>
      </c>
      <c r="E31" s="78">
        <f>IFERROR(C31*D31,0)</f>
        <v>14</v>
      </c>
      <c r="F31" s="15">
        <v>27</v>
      </c>
      <c r="G31" s="15">
        <v>3</v>
      </c>
      <c r="H31" s="15">
        <v>3</v>
      </c>
      <c r="I31" s="15">
        <v>0.5</v>
      </c>
      <c r="J31" s="15">
        <v>1.5</v>
      </c>
      <c r="K31" s="15">
        <v>1.5</v>
      </c>
      <c r="L31" s="3" t="s">
        <v>119</v>
      </c>
      <c r="M31" s="3" t="s">
        <v>356</v>
      </c>
      <c r="N31" s="3"/>
      <c r="O31" s="3"/>
      <c r="P31" s="3"/>
      <c r="Q31" s="3" t="s">
        <v>356</v>
      </c>
      <c r="R31" s="3"/>
      <c r="S31" s="3"/>
      <c r="T31" s="3"/>
      <c r="U31" s="3"/>
      <c r="V31" s="76">
        <f>IF(UPPER(M31)="X",0.5,IF(UPPER(N31)="X",0.2,IF(UPPER(O31)="X",0.05,0)))</f>
        <v>0.5</v>
      </c>
      <c r="W31" s="3"/>
    </row>
    <row r="32" spans="1:23" x14ac:dyDescent="0.3">
      <c r="A32" s="3">
        <v>24</v>
      </c>
      <c r="B32" s="3" t="s">
        <v>502</v>
      </c>
      <c r="C32" s="14">
        <v>1</v>
      </c>
      <c r="D32" s="78">
        <v>14</v>
      </c>
      <c r="E32" s="78">
        <f>IFERROR(C32*D32,0)</f>
        <v>14</v>
      </c>
      <c r="F32" s="15">
        <v>27</v>
      </c>
      <c r="G32" s="15">
        <v>-3</v>
      </c>
      <c r="H32" s="15">
        <v>3</v>
      </c>
      <c r="I32" s="15">
        <v>0.5</v>
      </c>
      <c r="J32" s="15">
        <v>1.5</v>
      </c>
      <c r="K32" s="15">
        <v>1.5</v>
      </c>
      <c r="L32" s="3" t="s">
        <v>119</v>
      </c>
      <c r="M32" s="3" t="s">
        <v>356</v>
      </c>
      <c r="N32" s="3"/>
      <c r="O32" s="3"/>
      <c r="P32" s="3"/>
      <c r="Q32" s="3" t="s">
        <v>356</v>
      </c>
      <c r="R32" s="3"/>
      <c r="S32" s="3"/>
      <c r="T32" s="3"/>
      <c r="U32" s="3"/>
      <c r="V32" s="76">
        <f>IF(UPPER(M32)="X",0.5,IF(UPPER(N32)="X",0.2,IF(UPPER(O32)="X",0.05,0)))</f>
        <v>0.5</v>
      </c>
      <c r="W32" s="3"/>
    </row>
    <row r="33" spans="1:23" x14ac:dyDescent="0.3">
      <c r="A33" s="3">
        <v>25</v>
      </c>
      <c r="B33" s="3" t="s">
        <v>503</v>
      </c>
      <c r="C33" s="14">
        <v>1</v>
      </c>
      <c r="D33" s="78">
        <v>28</v>
      </c>
      <c r="E33" s="78">
        <f>IFERROR(C33*D33,0)</f>
        <v>28</v>
      </c>
      <c r="F33" s="15">
        <v>24</v>
      </c>
      <c r="G33" s="15">
        <v>3</v>
      </c>
      <c r="H33" s="15">
        <v>3.5</v>
      </c>
      <c r="I33" s="15">
        <v>1</v>
      </c>
      <c r="J33" s="15">
        <v>1.2</v>
      </c>
      <c r="K33" s="15">
        <v>0.6</v>
      </c>
      <c r="L33" s="3" t="s">
        <v>119</v>
      </c>
      <c r="M33" s="3" t="s">
        <v>356</v>
      </c>
      <c r="N33" s="3"/>
      <c r="O33" s="3"/>
      <c r="P33" s="3"/>
      <c r="Q33" s="3" t="s">
        <v>356</v>
      </c>
      <c r="R33" s="3"/>
      <c r="S33" s="3"/>
      <c r="T33" s="3"/>
      <c r="U33" s="3"/>
      <c r="V33" s="76">
        <f>IF(UPPER(M33)="X",0.5,IF(UPPER(N33)="X",0.2,IF(UPPER(O33)="X",0.05,0)))</f>
        <v>0.5</v>
      </c>
      <c r="W33" s="3" t="s">
        <v>504</v>
      </c>
    </row>
    <row r="34" spans="1:23" x14ac:dyDescent="0.3">
      <c r="A34" s="3">
        <v>26</v>
      </c>
      <c r="B34" s="3" t="s">
        <v>505</v>
      </c>
      <c r="C34" s="14">
        <v>1</v>
      </c>
      <c r="D34" s="78">
        <v>28</v>
      </c>
      <c r="E34" s="78">
        <f>IFERROR(C34*D34,0)</f>
        <v>28</v>
      </c>
      <c r="F34" s="15">
        <v>24</v>
      </c>
      <c r="G34" s="15">
        <v>-3</v>
      </c>
      <c r="H34" s="15">
        <v>3.5</v>
      </c>
      <c r="I34" s="15">
        <v>1</v>
      </c>
      <c r="J34" s="15">
        <v>1.2</v>
      </c>
      <c r="K34" s="15">
        <v>0.6</v>
      </c>
      <c r="L34" s="3" t="s">
        <v>119</v>
      </c>
      <c r="M34" s="3" t="s">
        <v>356</v>
      </c>
      <c r="N34" s="3"/>
      <c r="O34" s="3"/>
      <c r="P34" s="3"/>
      <c r="Q34" s="3" t="s">
        <v>356</v>
      </c>
      <c r="R34" s="3"/>
      <c r="S34" s="3"/>
      <c r="T34" s="3"/>
      <c r="U34" s="3"/>
      <c r="V34" s="76">
        <f>IF(UPPER(M34)="X",0.5,IF(UPPER(N34)="X",0.2,IF(UPPER(O34)="X",0.05,0)))</f>
        <v>0.5</v>
      </c>
      <c r="W34" s="3" t="s">
        <v>504</v>
      </c>
    </row>
    <row r="35" spans="1:23" x14ac:dyDescent="0.3">
      <c r="A35" s="3">
        <v>27</v>
      </c>
      <c r="B35" s="3" t="s">
        <v>506</v>
      </c>
      <c r="C35" s="14">
        <v>1</v>
      </c>
      <c r="D35" s="78">
        <v>28</v>
      </c>
      <c r="E35" s="78">
        <f>IFERROR(C35*D35,0)</f>
        <v>28</v>
      </c>
      <c r="F35" s="15">
        <v>24</v>
      </c>
      <c r="G35" s="15">
        <v>3</v>
      </c>
      <c r="H35" s="15">
        <v>3.5</v>
      </c>
      <c r="I35" s="15">
        <v>1</v>
      </c>
      <c r="J35" s="15">
        <v>1.2</v>
      </c>
      <c r="K35" s="15">
        <v>0.6</v>
      </c>
      <c r="L35" s="3" t="s">
        <v>119</v>
      </c>
      <c r="M35" s="3" t="s">
        <v>356</v>
      </c>
      <c r="N35" s="3"/>
      <c r="O35" s="3"/>
      <c r="P35" s="3"/>
      <c r="Q35" s="3" t="s">
        <v>356</v>
      </c>
      <c r="R35" s="3"/>
      <c r="S35" s="3"/>
      <c r="T35" s="3"/>
      <c r="U35" s="3"/>
      <c r="V35" s="76">
        <f>IF(UPPER(M35)="X",0.5,IF(UPPER(N35)="X",0.2,IF(UPPER(O35)="X",0.05,0)))</f>
        <v>0.5</v>
      </c>
      <c r="W35" s="3" t="s">
        <v>507</v>
      </c>
    </row>
    <row r="36" spans="1:23" x14ac:dyDescent="0.3">
      <c r="A36" s="3">
        <v>28</v>
      </c>
      <c r="B36" s="3" t="s">
        <v>508</v>
      </c>
      <c r="C36" s="14">
        <v>1</v>
      </c>
      <c r="D36" s="78">
        <v>28</v>
      </c>
      <c r="E36" s="78">
        <f>IFERROR(C36*D36,0)</f>
        <v>28</v>
      </c>
      <c r="F36" s="15">
        <v>24</v>
      </c>
      <c r="G36" s="15">
        <v>-3</v>
      </c>
      <c r="H36" s="15">
        <v>3.5</v>
      </c>
      <c r="I36" s="15">
        <v>1</v>
      </c>
      <c r="J36" s="15">
        <v>1.2</v>
      </c>
      <c r="K36" s="15">
        <v>0.6</v>
      </c>
      <c r="L36" s="3" t="s">
        <v>119</v>
      </c>
      <c r="M36" s="3" t="s">
        <v>356</v>
      </c>
      <c r="N36" s="3"/>
      <c r="O36" s="3"/>
      <c r="P36" s="3"/>
      <c r="Q36" s="3" t="s">
        <v>356</v>
      </c>
      <c r="R36" s="3"/>
      <c r="S36" s="3"/>
      <c r="T36" s="3"/>
      <c r="U36" s="3"/>
      <c r="V36" s="76">
        <f>IF(UPPER(M36)="X",0.5,IF(UPPER(N36)="X",0.2,IF(UPPER(O36)="X",0.05,0)))</f>
        <v>0.5</v>
      </c>
      <c r="W36" s="3" t="s">
        <v>507</v>
      </c>
    </row>
    <row r="37" spans="1:23" x14ac:dyDescent="0.3">
      <c r="A37" s="3">
        <v>29</v>
      </c>
      <c r="B37" s="3" t="s">
        <v>509</v>
      </c>
      <c r="C37" s="14">
        <v>1</v>
      </c>
      <c r="D37" s="78">
        <v>55</v>
      </c>
      <c r="E37" s="78">
        <f>IFERROR(C37*D37,0)</f>
        <v>55</v>
      </c>
      <c r="F37" s="15">
        <v>30</v>
      </c>
      <c r="G37" s="15">
        <v>3</v>
      </c>
      <c r="H37" s="15">
        <v>3</v>
      </c>
      <c r="I37" s="15">
        <v>1.5</v>
      </c>
      <c r="J37" s="15">
        <v>1.8</v>
      </c>
      <c r="K37" s="15">
        <v>1.8</v>
      </c>
      <c r="L37" s="3" t="s">
        <v>119</v>
      </c>
      <c r="M37" s="3" t="s">
        <v>356</v>
      </c>
      <c r="N37" s="3"/>
      <c r="O37" s="3"/>
      <c r="P37" s="3"/>
      <c r="Q37" s="3" t="s">
        <v>356</v>
      </c>
      <c r="R37" s="3"/>
      <c r="S37" s="3"/>
      <c r="T37" s="3"/>
      <c r="U37" s="3"/>
      <c r="V37" s="76">
        <f>IF(UPPER(M37)="X",0.5,IF(UPPER(N37)="X",0.2,IF(UPPER(O37)="X",0.05,0)))</f>
        <v>0.5</v>
      </c>
      <c r="W37" s="3" t="s">
        <v>295</v>
      </c>
    </row>
    <row r="38" spans="1:23" x14ac:dyDescent="0.3">
      <c r="A38" s="3">
        <v>30</v>
      </c>
      <c r="B38" s="3" t="s">
        <v>510</v>
      </c>
      <c r="C38" s="14">
        <v>1</v>
      </c>
      <c r="D38" s="78">
        <v>55</v>
      </c>
      <c r="E38" s="78">
        <f>IFERROR(C38*D38,0)</f>
        <v>55</v>
      </c>
      <c r="F38" s="15">
        <v>30</v>
      </c>
      <c r="G38" s="15">
        <v>-3</v>
      </c>
      <c r="H38" s="15">
        <v>3</v>
      </c>
      <c r="I38" s="15">
        <v>1.5</v>
      </c>
      <c r="J38" s="15">
        <v>1.8</v>
      </c>
      <c r="K38" s="15">
        <v>1.8</v>
      </c>
      <c r="L38" s="3" t="s">
        <v>119</v>
      </c>
      <c r="M38" s="3" t="s">
        <v>356</v>
      </c>
      <c r="N38" s="3"/>
      <c r="O38" s="3"/>
      <c r="P38" s="3"/>
      <c r="Q38" s="3" t="s">
        <v>356</v>
      </c>
      <c r="R38" s="3"/>
      <c r="S38" s="3"/>
      <c r="T38" s="3"/>
      <c r="U38" s="3"/>
      <c r="V38" s="76">
        <f>IF(UPPER(M38)="X",0.5,IF(UPPER(N38)="X",0.2,IF(UPPER(O38)="X",0.05,0)))</f>
        <v>0.5</v>
      </c>
      <c r="W38" s="3" t="s">
        <v>295</v>
      </c>
    </row>
    <row r="39" spans="1:23" x14ac:dyDescent="0.3">
      <c r="A39" s="3">
        <v>31</v>
      </c>
      <c r="B39" s="3" t="s">
        <v>511</v>
      </c>
      <c r="C39" s="14">
        <v>1</v>
      </c>
      <c r="D39" s="78">
        <v>12</v>
      </c>
      <c r="E39" s="78">
        <f>IFERROR(C39*D39,0)</f>
        <v>12</v>
      </c>
      <c r="F39" s="15">
        <v>30.5</v>
      </c>
      <c r="G39" s="15">
        <v>3</v>
      </c>
      <c r="H39" s="15">
        <v>3</v>
      </c>
      <c r="I39" s="15">
        <v>0.5</v>
      </c>
      <c r="J39" s="15">
        <v>1.6</v>
      </c>
      <c r="K39" s="15">
        <v>1.6</v>
      </c>
      <c r="L39" s="3" t="s">
        <v>119</v>
      </c>
      <c r="M39" s="3" t="s">
        <v>356</v>
      </c>
      <c r="N39" s="3"/>
      <c r="O39" s="3"/>
      <c r="P39" s="3"/>
      <c r="Q39" s="3" t="s">
        <v>356</v>
      </c>
      <c r="R39" s="3"/>
      <c r="S39" s="3"/>
      <c r="T39" s="3"/>
      <c r="U39" s="3"/>
      <c r="V39" s="76">
        <f>IF(UPPER(M39)="X",0.5,IF(UPPER(N39)="X",0.2,IF(UPPER(O39)="X",0.05,0)))</f>
        <v>0.5</v>
      </c>
      <c r="W39" s="3"/>
    </row>
    <row r="40" spans="1:23" x14ac:dyDescent="0.3">
      <c r="A40" s="3">
        <v>32</v>
      </c>
      <c r="B40" s="3" t="s">
        <v>512</v>
      </c>
      <c r="C40" s="14">
        <v>1</v>
      </c>
      <c r="D40" s="78">
        <v>12</v>
      </c>
      <c r="E40" s="78">
        <f>IFERROR(C40*D40,0)</f>
        <v>12</v>
      </c>
      <c r="F40" s="15">
        <v>30.5</v>
      </c>
      <c r="G40" s="15">
        <v>-3</v>
      </c>
      <c r="H40" s="15">
        <v>3</v>
      </c>
      <c r="I40" s="15">
        <v>0.5</v>
      </c>
      <c r="J40" s="15">
        <v>1.6</v>
      </c>
      <c r="K40" s="15">
        <v>1.6</v>
      </c>
      <c r="L40" s="3" t="s">
        <v>119</v>
      </c>
      <c r="M40" s="3" t="s">
        <v>356</v>
      </c>
      <c r="N40" s="3"/>
      <c r="O40" s="3"/>
      <c r="P40" s="3"/>
      <c r="Q40" s="3" t="s">
        <v>356</v>
      </c>
      <c r="R40" s="3"/>
      <c r="S40" s="3"/>
      <c r="T40" s="3"/>
      <c r="U40" s="3"/>
      <c r="V40" s="76">
        <f>IF(UPPER(M40)="X",0.5,IF(UPPER(N40)="X",0.2,IF(UPPER(O40)="X",0.05,0)))</f>
        <v>0.5</v>
      </c>
      <c r="W40" s="3"/>
    </row>
    <row r="41" spans="1:23" x14ac:dyDescent="0.3">
      <c r="A41" s="3">
        <v>33</v>
      </c>
      <c r="B41" s="3" t="s">
        <v>513</v>
      </c>
      <c r="C41" s="14">
        <v>1</v>
      </c>
      <c r="D41" s="78">
        <v>25</v>
      </c>
      <c r="E41" s="78">
        <f>IFERROR(C41*D41,0)</f>
        <v>25</v>
      </c>
      <c r="F41" s="15">
        <v>31</v>
      </c>
      <c r="G41" s="15">
        <v>3</v>
      </c>
      <c r="H41" s="15">
        <v>3</v>
      </c>
      <c r="I41" s="15">
        <v>0.5</v>
      </c>
      <c r="J41" s="15">
        <v>1.6</v>
      </c>
      <c r="K41" s="15">
        <v>1.6</v>
      </c>
      <c r="L41" s="3" t="s">
        <v>119</v>
      </c>
      <c r="M41" s="3" t="s">
        <v>356</v>
      </c>
      <c r="N41" s="3"/>
      <c r="O41" s="3"/>
      <c r="P41" s="3"/>
      <c r="Q41" s="3" t="s">
        <v>356</v>
      </c>
      <c r="R41" s="3"/>
      <c r="S41" s="3"/>
      <c r="T41" s="3"/>
      <c r="U41" s="3"/>
      <c r="V41" s="76">
        <f>IF(UPPER(M41)="X",0.5,IF(UPPER(N41)="X",0.2,IF(UPPER(O41)="X",0.05,0)))</f>
        <v>0.5</v>
      </c>
      <c r="W41" s="3" t="s">
        <v>514</v>
      </c>
    </row>
    <row r="42" spans="1:23" x14ac:dyDescent="0.3">
      <c r="A42" s="3">
        <v>34</v>
      </c>
      <c r="B42" s="3" t="s">
        <v>515</v>
      </c>
      <c r="C42" s="14">
        <v>1</v>
      </c>
      <c r="D42" s="78">
        <v>25</v>
      </c>
      <c r="E42" s="78">
        <f>IFERROR(C42*D42,0)</f>
        <v>25</v>
      </c>
      <c r="F42" s="15">
        <v>31</v>
      </c>
      <c r="G42" s="15">
        <v>-3</v>
      </c>
      <c r="H42" s="15">
        <v>3</v>
      </c>
      <c r="I42" s="15">
        <v>0.5</v>
      </c>
      <c r="J42" s="15">
        <v>1.6</v>
      </c>
      <c r="K42" s="15">
        <v>1.6</v>
      </c>
      <c r="L42" s="3" t="s">
        <v>119</v>
      </c>
      <c r="M42" s="3" t="s">
        <v>356</v>
      </c>
      <c r="N42" s="3"/>
      <c r="O42" s="3"/>
      <c r="P42" s="3"/>
      <c r="Q42" s="3" t="s">
        <v>356</v>
      </c>
      <c r="R42" s="3"/>
      <c r="S42" s="3"/>
      <c r="T42" s="3"/>
      <c r="U42" s="3"/>
      <c r="V42" s="76">
        <f>IF(UPPER(M42)="X",0.5,IF(UPPER(N42)="X",0.2,IF(UPPER(O42)="X",0.05,0)))</f>
        <v>0.5</v>
      </c>
      <c r="W42" s="3" t="s">
        <v>514</v>
      </c>
    </row>
    <row r="43" spans="1:23" x14ac:dyDescent="0.3">
      <c r="A43" s="3">
        <v>35</v>
      </c>
      <c r="B43" s="3" t="s">
        <v>516</v>
      </c>
      <c r="C43" s="14">
        <v>1</v>
      </c>
      <c r="D43" s="78">
        <v>32</v>
      </c>
      <c r="E43" s="78">
        <f>IFERROR(C43*D43,0)</f>
        <v>32</v>
      </c>
      <c r="F43" s="15">
        <v>32</v>
      </c>
      <c r="G43" s="15">
        <v>3</v>
      </c>
      <c r="H43" s="15">
        <v>3</v>
      </c>
      <c r="I43" s="15">
        <v>2</v>
      </c>
      <c r="J43" s="15">
        <v>1.5</v>
      </c>
      <c r="K43" s="15">
        <v>1.5</v>
      </c>
      <c r="L43" s="3" t="s">
        <v>119</v>
      </c>
      <c r="M43" s="3" t="s">
        <v>356</v>
      </c>
      <c r="N43" s="3"/>
      <c r="O43" s="3"/>
      <c r="P43" s="3"/>
      <c r="Q43" s="3" t="s">
        <v>356</v>
      </c>
      <c r="R43" s="3"/>
      <c r="S43" s="3"/>
      <c r="T43" s="3"/>
      <c r="U43" s="3"/>
      <c r="V43" s="76">
        <f>IF(UPPER(M43)="X",0.5,IF(UPPER(N43)="X",0.2,IF(UPPER(O43)="X",0.05,0)))</f>
        <v>0.5</v>
      </c>
      <c r="W43" s="3"/>
    </row>
    <row r="44" spans="1:23" x14ac:dyDescent="0.3">
      <c r="A44" s="3">
        <v>36</v>
      </c>
      <c r="B44" s="3" t="s">
        <v>517</v>
      </c>
      <c r="C44" s="14">
        <v>1</v>
      </c>
      <c r="D44" s="78">
        <v>32</v>
      </c>
      <c r="E44" s="78">
        <f>IFERROR(C44*D44,0)</f>
        <v>32</v>
      </c>
      <c r="F44" s="15">
        <v>32</v>
      </c>
      <c r="G44" s="15">
        <v>-3</v>
      </c>
      <c r="H44" s="15">
        <v>3</v>
      </c>
      <c r="I44" s="15">
        <v>2</v>
      </c>
      <c r="J44" s="15">
        <v>1.5</v>
      </c>
      <c r="K44" s="15">
        <v>1.5</v>
      </c>
      <c r="L44" s="3" t="s">
        <v>119</v>
      </c>
      <c r="M44" s="3" t="s">
        <v>356</v>
      </c>
      <c r="N44" s="3"/>
      <c r="O44" s="3"/>
      <c r="P44" s="3"/>
      <c r="Q44" s="3" t="s">
        <v>356</v>
      </c>
      <c r="R44" s="3"/>
      <c r="S44" s="3"/>
      <c r="T44" s="3"/>
      <c r="U44" s="3"/>
      <c r="V44" s="76">
        <f>IF(UPPER(M44)="X",0.5,IF(UPPER(N44)="X",0.2,IF(UPPER(O44)="X",0.05,0)))</f>
        <v>0.5</v>
      </c>
      <c r="W44" s="3"/>
    </row>
    <row r="45" spans="1:23" x14ac:dyDescent="0.3">
      <c r="A45" s="3">
        <v>37</v>
      </c>
      <c r="B45" s="3" t="s">
        <v>518</v>
      </c>
      <c r="C45" s="14">
        <v>1</v>
      </c>
      <c r="D45" s="78">
        <v>35</v>
      </c>
      <c r="E45" s="78">
        <f>IFERROR(C45*D45,0)</f>
        <v>35</v>
      </c>
      <c r="F45" s="15">
        <v>33</v>
      </c>
      <c r="G45" s="15">
        <v>3</v>
      </c>
      <c r="H45" s="15">
        <v>3</v>
      </c>
      <c r="I45" s="15">
        <v>1.5</v>
      </c>
      <c r="J45" s="15">
        <v>1.5</v>
      </c>
      <c r="K45" s="15">
        <v>1.5</v>
      </c>
      <c r="L45" s="3" t="s">
        <v>119</v>
      </c>
      <c r="M45" s="3" t="s">
        <v>356</v>
      </c>
      <c r="N45" s="3"/>
      <c r="O45" s="3"/>
      <c r="P45" s="3"/>
      <c r="Q45" s="3" t="s">
        <v>356</v>
      </c>
      <c r="R45" s="3"/>
      <c r="S45" s="3"/>
      <c r="T45" s="3"/>
      <c r="U45" s="3"/>
      <c r="V45" s="76">
        <f>IF(UPPER(M45)="X",0.5,IF(UPPER(N45)="X",0.2,IF(UPPER(O45)="X",0.05,0)))</f>
        <v>0.5</v>
      </c>
      <c r="W45" s="3" t="s">
        <v>519</v>
      </c>
    </row>
    <row r="46" spans="1:23" x14ac:dyDescent="0.3">
      <c r="A46" s="3">
        <v>38</v>
      </c>
      <c r="B46" s="3" t="s">
        <v>520</v>
      </c>
      <c r="C46" s="14">
        <v>1</v>
      </c>
      <c r="D46" s="78">
        <v>35</v>
      </c>
      <c r="E46" s="78">
        <f>IFERROR(C46*D46,0)</f>
        <v>35</v>
      </c>
      <c r="F46" s="15">
        <v>33</v>
      </c>
      <c r="G46" s="15">
        <v>-3</v>
      </c>
      <c r="H46" s="15">
        <v>3</v>
      </c>
      <c r="I46" s="15">
        <v>1.5</v>
      </c>
      <c r="J46" s="15">
        <v>1.5</v>
      </c>
      <c r="K46" s="15">
        <v>1.5</v>
      </c>
      <c r="L46" s="3" t="s">
        <v>119</v>
      </c>
      <c r="M46" s="3" t="s">
        <v>356</v>
      </c>
      <c r="N46" s="3"/>
      <c r="O46" s="3"/>
      <c r="P46" s="3"/>
      <c r="Q46" s="3" t="s">
        <v>356</v>
      </c>
      <c r="R46" s="3"/>
      <c r="S46" s="3"/>
      <c r="T46" s="3"/>
      <c r="U46" s="3"/>
      <c r="V46" s="76">
        <f>IF(UPPER(M46)="X",0.5,IF(UPPER(N46)="X",0.2,IF(UPPER(O46)="X",0.05,0)))</f>
        <v>0.5</v>
      </c>
      <c r="W46" s="3" t="s">
        <v>519</v>
      </c>
    </row>
    <row r="47" spans="1:23" x14ac:dyDescent="0.3">
      <c r="A47" s="3">
        <v>39</v>
      </c>
      <c r="B47" s="3" t="s">
        <v>521</v>
      </c>
      <c r="C47" s="14">
        <v>1</v>
      </c>
      <c r="D47" s="78">
        <v>14</v>
      </c>
      <c r="E47" s="78">
        <f>IFERROR(C47*D47,0)</f>
        <v>14</v>
      </c>
      <c r="F47" s="15">
        <v>32.5</v>
      </c>
      <c r="G47" s="15">
        <v>3</v>
      </c>
      <c r="H47" s="15">
        <v>3</v>
      </c>
      <c r="I47" s="15">
        <v>0.4</v>
      </c>
      <c r="J47" s="15">
        <v>0.8</v>
      </c>
      <c r="K47" s="15">
        <v>0.8</v>
      </c>
      <c r="L47" s="3" t="s">
        <v>119</v>
      </c>
      <c r="M47" s="3" t="s">
        <v>356</v>
      </c>
      <c r="N47" s="3"/>
      <c r="O47" s="3"/>
      <c r="P47" s="3"/>
      <c r="Q47" s="3" t="s">
        <v>356</v>
      </c>
      <c r="R47" s="3"/>
      <c r="S47" s="3"/>
      <c r="T47" s="3"/>
      <c r="U47" s="3"/>
      <c r="V47" s="76">
        <f>IF(UPPER(M47)="X",0.5,IF(UPPER(N47)="X",0.2,IF(UPPER(O47)="X",0.05,0)))</f>
        <v>0.5</v>
      </c>
      <c r="W47" s="3"/>
    </row>
    <row r="48" spans="1:23" x14ac:dyDescent="0.3">
      <c r="A48" s="3">
        <v>40</v>
      </c>
      <c r="B48" s="3" t="s">
        <v>522</v>
      </c>
      <c r="C48" s="14">
        <v>1</v>
      </c>
      <c r="D48" s="78">
        <v>14</v>
      </c>
      <c r="E48" s="78">
        <f>IFERROR(C48*D48,0)</f>
        <v>14</v>
      </c>
      <c r="F48" s="15">
        <v>32.5</v>
      </c>
      <c r="G48" s="15">
        <v>-3</v>
      </c>
      <c r="H48" s="15">
        <v>3</v>
      </c>
      <c r="I48" s="15">
        <v>0.4</v>
      </c>
      <c r="J48" s="15">
        <v>0.8</v>
      </c>
      <c r="K48" s="15">
        <v>0.8</v>
      </c>
      <c r="L48" s="3" t="s">
        <v>119</v>
      </c>
      <c r="M48" s="3" t="s">
        <v>356</v>
      </c>
      <c r="N48" s="3"/>
      <c r="O48" s="3"/>
      <c r="P48" s="3"/>
      <c r="Q48" s="3" t="s">
        <v>356</v>
      </c>
      <c r="R48" s="3"/>
      <c r="S48" s="3"/>
      <c r="T48" s="3"/>
      <c r="U48" s="3"/>
      <c r="V48" s="76">
        <f>IF(UPPER(M48)="X",0.5,IF(UPPER(N48)="X",0.2,IF(UPPER(O48)="X",0.05,0)))</f>
        <v>0.5</v>
      </c>
      <c r="W48" s="3"/>
    </row>
    <row r="49" spans="1:23" x14ac:dyDescent="0.3">
      <c r="A49" s="3">
        <v>41</v>
      </c>
      <c r="B49" s="3" t="s">
        <v>523</v>
      </c>
      <c r="C49" s="14">
        <v>1</v>
      </c>
      <c r="D49" s="78">
        <v>220</v>
      </c>
      <c r="E49" s="78">
        <f>IFERROR(C49*D49,0)</f>
        <v>220</v>
      </c>
      <c r="F49" s="15">
        <v>27</v>
      </c>
      <c r="G49" s="15">
        <v>0</v>
      </c>
      <c r="H49" s="15">
        <v>4</v>
      </c>
      <c r="I49" s="15">
        <v>3</v>
      </c>
      <c r="J49" s="15">
        <v>2</v>
      </c>
      <c r="K49" s="15">
        <v>2</v>
      </c>
      <c r="L49" s="3" t="s">
        <v>119</v>
      </c>
      <c r="M49" s="3" t="s">
        <v>356</v>
      </c>
      <c r="N49" s="3"/>
      <c r="O49" s="3"/>
      <c r="P49" s="3"/>
      <c r="Q49" s="3" t="s">
        <v>356</v>
      </c>
      <c r="R49" s="3"/>
      <c r="S49" s="3"/>
      <c r="T49" s="3"/>
      <c r="U49" s="3"/>
      <c r="V49" s="76">
        <f>IF(UPPER(M49)="X",0.5,IF(UPPER(N49)="X",0.2,IF(UPPER(O49)="X",0.05,0)))</f>
        <v>0.5</v>
      </c>
      <c r="W49" s="3" t="s">
        <v>524</v>
      </c>
    </row>
    <row r="50" spans="1:23" x14ac:dyDescent="0.3">
      <c r="A50" s="3">
        <v>42</v>
      </c>
      <c r="B50" s="3" t="s">
        <v>525</v>
      </c>
      <c r="C50" s="14">
        <v>1</v>
      </c>
      <c r="D50" s="78">
        <v>35</v>
      </c>
      <c r="E50" s="78">
        <f>IFERROR(C50*D50,0)</f>
        <v>35</v>
      </c>
      <c r="F50" s="15">
        <v>27</v>
      </c>
      <c r="G50" s="15">
        <v>0</v>
      </c>
      <c r="H50" s="15">
        <v>4</v>
      </c>
      <c r="I50" s="15">
        <v>1.5</v>
      </c>
      <c r="J50" s="15">
        <v>1.5</v>
      </c>
      <c r="K50" s="15">
        <v>1</v>
      </c>
      <c r="L50" s="3" t="s">
        <v>119</v>
      </c>
      <c r="M50" s="3" t="s">
        <v>356</v>
      </c>
      <c r="N50" s="3"/>
      <c r="O50" s="3"/>
      <c r="P50" s="3"/>
      <c r="Q50" s="3" t="s">
        <v>356</v>
      </c>
      <c r="R50" s="3"/>
      <c r="S50" s="3"/>
      <c r="T50" s="3"/>
      <c r="U50" s="3"/>
      <c r="V50" s="76">
        <f>IF(UPPER(M50)="X",0.5,IF(UPPER(N50)="X",0.2,IF(UPPER(O50)="X",0.05,0)))</f>
        <v>0.5</v>
      </c>
      <c r="W50" s="3"/>
    </row>
    <row r="51" spans="1:23" x14ac:dyDescent="0.3">
      <c r="A51" s="3">
        <v>43</v>
      </c>
      <c r="B51" s="3" t="s">
        <v>526</v>
      </c>
      <c r="C51" s="14">
        <v>1</v>
      </c>
      <c r="D51" s="78">
        <v>18</v>
      </c>
      <c r="E51" s="78">
        <f>IFERROR(C51*D51,0)</f>
        <v>18</v>
      </c>
      <c r="F51" s="15">
        <v>26</v>
      </c>
      <c r="G51" s="15">
        <v>0</v>
      </c>
      <c r="H51" s="15">
        <v>4</v>
      </c>
      <c r="I51" s="15">
        <v>5</v>
      </c>
      <c r="J51" s="15">
        <v>0.5</v>
      </c>
      <c r="K51" s="15">
        <v>0.5</v>
      </c>
      <c r="L51" s="3" t="s">
        <v>119</v>
      </c>
      <c r="M51" s="3" t="s">
        <v>356</v>
      </c>
      <c r="N51" s="3"/>
      <c r="O51" s="3"/>
      <c r="P51" s="3"/>
      <c r="Q51" s="3" t="s">
        <v>356</v>
      </c>
      <c r="R51" s="3"/>
      <c r="S51" s="3"/>
      <c r="T51" s="3"/>
      <c r="U51" s="3"/>
      <c r="V51" s="76">
        <f>IF(UPPER(M51)="X",0.5,IF(UPPER(N51)="X",0.2,IF(UPPER(O51)="X",0.05,0)))</f>
        <v>0.5</v>
      </c>
      <c r="W51" s="3" t="s">
        <v>527</v>
      </c>
    </row>
    <row r="52" spans="1:23" x14ac:dyDescent="0.3">
      <c r="A52" s="3">
        <v>44</v>
      </c>
      <c r="B52" s="3" t="s">
        <v>528</v>
      </c>
      <c r="C52" s="14">
        <v>1</v>
      </c>
      <c r="D52" s="78">
        <v>90</v>
      </c>
      <c r="E52" s="78">
        <f>IFERROR(C52*D52,0)</f>
        <v>90</v>
      </c>
      <c r="F52" s="15">
        <v>24</v>
      </c>
      <c r="G52" s="15">
        <v>1</v>
      </c>
      <c r="H52" s="15">
        <v>4</v>
      </c>
      <c r="I52" s="15">
        <v>1.2</v>
      </c>
      <c r="J52" s="15">
        <v>1.4</v>
      </c>
      <c r="K52" s="15">
        <v>1.4</v>
      </c>
      <c r="L52" s="3" t="s">
        <v>119</v>
      </c>
      <c r="M52" s="3" t="s">
        <v>356</v>
      </c>
      <c r="N52" s="3"/>
      <c r="O52" s="3"/>
      <c r="P52" s="3"/>
      <c r="Q52" s="3" t="s">
        <v>356</v>
      </c>
      <c r="R52" s="3"/>
      <c r="S52" s="3"/>
      <c r="T52" s="3"/>
      <c r="U52" s="3"/>
      <c r="V52" s="76">
        <f>IF(UPPER(M52)="X",0.5,IF(UPPER(N52)="X",0.2,IF(UPPER(O52)="X",0.05,0)))</f>
        <v>0.5</v>
      </c>
      <c r="W52" s="3" t="s">
        <v>529</v>
      </c>
    </row>
    <row r="53" spans="1:23" x14ac:dyDescent="0.3">
      <c r="A53" s="3">
        <v>45</v>
      </c>
      <c r="B53" s="3" t="s">
        <v>530</v>
      </c>
      <c r="C53" s="14">
        <v>1</v>
      </c>
      <c r="D53" s="78">
        <v>90</v>
      </c>
      <c r="E53" s="78">
        <f>IFERROR(C53*D53,0)</f>
        <v>90</v>
      </c>
      <c r="F53" s="15">
        <v>24</v>
      </c>
      <c r="G53" s="15">
        <v>-1</v>
      </c>
      <c r="H53" s="15">
        <v>4</v>
      </c>
      <c r="I53" s="15">
        <v>1.2</v>
      </c>
      <c r="J53" s="15">
        <v>1.4</v>
      </c>
      <c r="K53" s="15">
        <v>1.4</v>
      </c>
      <c r="L53" s="3" t="s">
        <v>119</v>
      </c>
      <c r="M53" s="3" t="s">
        <v>356</v>
      </c>
      <c r="N53" s="3"/>
      <c r="O53" s="3"/>
      <c r="P53" s="3"/>
      <c r="Q53" s="3" t="s">
        <v>356</v>
      </c>
      <c r="R53" s="3"/>
      <c r="S53" s="3"/>
      <c r="T53" s="3"/>
      <c r="U53" s="3"/>
      <c r="V53" s="76">
        <f>IF(UPPER(M53)="X",0.5,IF(UPPER(N53)="X",0.2,IF(UPPER(O53)="X",0.05,0)))</f>
        <v>0.5</v>
      </c>
      <c r="W53" s="3" t="s">
        <v>531</v>
      </c>
    </row>
    <row r="54" spans="1:23" x14ac:dyDescent="0.3">
      <c r="A54" s="3">
        <v>46</v>
      </c>
      <c r="B54" s="3" t="s">
        <v>532</v>
      </c>
      <c r="C54" s="14">
        <v>1</v>
      </c>
      <c r="D54" s="78">
        <v>90</v>
      </c>
      <c r="E54" s="78">
        <f>IFERROR(C54*D54,0)</f>
        <v>90</v>
      </c>
      <c r="F54" s="15">
        <v>29</v>
      </c>
      <c r="G54" s="15">
        <v>1</v>
      </c>
      <c r="H54" s="15">
        <v>4</v>
      </c>
      <c r="I54" s="15">
        <v>1.2</v>
      </c>
      <c r="J54" s="15">
        <v>1.4</v>
      </c>
      <c r="K54" s="15">
        <v>1.4</v>
      </c>
      <c r="L54" s="3" t="s">
        <v>119</v>
      </c>
      <c r="M54" s="3" t="s">
        <v>356</v>
      </c>
      <c r="N54" s="3"/>
      <c r="O54" s="3"/>
      <c r="P54" s="3"/>
      <c r="Q54" s="3" t="s">
        <v>356</v>
      </c>
      <c r="R54" s="3"/>
      <c r="S54" s="3"/>
      <c r="T54" s="3"/>
      <c r="U54" s="3"/>
      <c r="V54" s="76">
        <f>IF(UPPER(M54)="X",0.5,IF(UPPER(N54)="X",0.2,IF(UPPER(O54)="X",0.05,0)))</f>
        <v>0.5</v>
      </c>
      <c r="W54" s="3" t="s">
        <v>533</v>
      </c>
    </row>
    <row r="55" spans="1:23" x14ac:dyDescent="0.3">
      <c r="A55" s="3">
        <v>47</v>
      </c>
      <c r="B55" s="3" t="s">
        <v>534</v>
      </c>
      <c r="C55" s="14">
        <v>1</v>
      </c>
      <c r="D55" s="78">
        <v>90</v>
      </c>
      <c r="E55" s="78">
        <f>IFERROR(C55*D55,0)</f>
        <v>90</v>
      </c>
      <c r="F55" s="15">
        <v>29</v>
      </c>
      <c r="G55" s="15">
        <v>-1</v>
      </c>
      <c r="H55" s="15">
        <v>4</v>
      </c>
      <c r="I55" s="15">
        <v>1.2</v>
      </c>
      <c r="J55" s="15">
        <v>1.4</v>
      </c>
      <c r="K55" s="15">
        <v>1.4</v>
      </c>
      <c r="L55" s="3" t="s">
        <v>119</v>
      </c>
      <c r="M55" s="3" t="s">
        <v>356</v>
      </c>
      <c r="N55" s="3"/>
      <c r="O55" s="3"/>
      <c r="P55" s="3"/>
      <c r="Q55" s="3" t="s">
        <v>356</v>
      </c>
      <c r="R55" s="3"/>
      <c r="S55" s="3"/>
      <c r="T55" s="3"/>
      <c r="U55" s="3"/>
      <c r="V55" s="76">
        <f>IF(UPPER(M55)="X",0.5,IF(UPPER(N55)="X",0.2,IF(UPPER(O55)="X",0.05,0)))</f>
        <v>0.5</v>
      </c>
      <c r="W55" s="3" t="s">
        <v>535</v>
      </c>
    </row>
    <row r="56" spans="1:23" x14ac:dyDescent="0.3">
      <c r="A56" s="3">
        <v>48</v>
      </c>
      <c r="B56" s="3" t="s">
        <v>536</v>
      </c>
      <c r="C56" s="14">
        <v>1</v>
      </c>
      <c r="D56" s="78">
        <v>16</v>
      </c>
      <c r="E56" s="78">
        <f>IFERROR(C56*D56,0)</f>
        <v>16</v>
      </c>
      <c r="F56" s="15">
        <v>24</v>
      </c>
      <c r="G56" s="15">
        <v>1</v>
      </c>
      <c r="H56" s="15">
        <v>4</v>
      </c>
      <c r="I56" s="15">
        <v>0.5</v>
      </c>
      <c r="J56" s="15">
        <v>1.2</v>
      </c>
      <c r="K56" s="15">
        <v>1</v>
      </c>
      <c r="L56" s="3" t="s">
        <v>119</v>
      </c>
      <c r="M56" s="3" t="s">
        <v>356</v>
      </c>
      <c r="N56" s="3"/>
      <c r="O56" s="3"/>
      <c r="P56" s="3"/>
      <c r="Q56" s="3" t="s">
        <v>356</v>
      </c>
      <c r="R56" s="3"/>
      <c r="S56" s="3"/>
      <c r="T56" s="3"/>
      <c r="U56" s="3"/>
      <c r="V56" s="76">
        <f>IF(UPPER(M56)="X",0.5,IF(UPPER(N56)="X",0.2,IF(UPPER(O56)="X",0.05,0)))</f>
        <v>0.5</v>
      </c>
      <c r="W56" s="3"/>
    </row>
    <row r="57" spans="1:23" x14ac:dyDescent="0.3">
      <c r="A57" s="3">
        <v>49</v>
      </c>
      <c r="B57" s="3" t="s">
        <v>537</v>
      </c>
      <c r="C57" s="14">
        <v>1</v>
      </c>
      <c r="D57" s="78">
        <v>16</v>
      </c>
      <c r="E57" s="78">
        <f>IFERROR(C57*D57,0)</f>
        <v>16</v>
      </c>
      <c r="F57" s="15">
        <v>24</v>
      </c>
      <c r="G57" s="15">
        <v>-1</v>
      </c>
      <c r="H57" s="15">
        <v>4</v>
      </c>
      <c r="I57" s="15">
        <v>0.5</v>
      </c>
      <c r="J57" s="15">
        <v>1.2</v>
      </c>
      <c r="K57" s="15">
        <v>1</v>
      </c>
      <c r="L57" s="3" t="s">
        <v>119</v>
      </c>
      <c r="M57" s="3" t="s">
        <v>356</v>
      </c>
      <c r="N57" s="3"/>
      <c r="O57" s="3"/>
      <c r="P57" s="3"/>
      <c r="Q57" s="3" t="s">
        <v>356</v>
      </c>
      <c r="R57" s="3"/>
      <c r="S57" s="3"/>
      <c r="T57" s="3"/>
      <c r="U57" s="3"/>
      <c r="V57" s="76">
        <f>IF(UPPER(M57)="X",0.5,IF(UPPER(N57)="X",0.2,IF(UPPER(O57)="X",0.05,0)))</f>
        <v>0.5</v>
      </c>
      <c r="W57" s="3"/>
    </row>
    <row r="58" spans="1:23" x14ac:dyDescent="0.3">
      <c r="A58" s="3">
        <v>50</v>
      </c>
      <c r="B58" s="3" t="s">
        <v>538</v>
      </c>
      <c r="C58" s="14">
        <v>1</v>
      </c>
      <c r="D58" s="78">
        <v>16</v>
      </c>
      <c r="E58" s="78">
        <f>IFERROR(C58*D58,0)</f>
        <v>16</v>
      </c>
      <c r="F58" s="15">
        <v>29</v>
      </c>
      <c r="G58" s="15">
        <v>1</v>
      </c>
      <c r="H58" s="15">
        <v>4</v>
      </c>
      <c r="I58" s="15">
        <v>0.5</v>
      </c>
      <c r="J58" s="15">
        <v>1.2</v>
      </c>
      <c r="K58" s="15">
        <v>1</v>
      </c>
      <c r="L58" s="3" t="s">
        <v>119</v>
      </c>
      <c r="M58" s="3" t="s">
        <v>356</v>
      </c>
      <c r="N58" s="3"/>
      <c r="O58" s="3"/>
      <c r="P58" s="3"/>
      <c r="Q58" s="3" t="s">
        <v>356</v>
      </c>
      <c r="R58" s="3"/>
      <c r="S58" s="3"/>
      <c r="T58" s="3"/>
      <c r="U58" s="3"/>
      <c r="V58" s="76">
        <f>IF(UPPER(M58)="X",0.5,IF(UPPER(N58)="X",0.2,IF(UPPER(O58)="X",0.05,0)))</f>
        <v>0.5</v>
      </c>
      <c r="W58" s="3"/>
    </row>
    <row r="59" spans="1:23" x14ac:dyDescent="0.3">
      <c r="A59" s="3">
        <v>51</v>
      </c>
      <c r="B59" s="3" t="s">
        <v>539</v>
      </c>
      <c r="C59" s="14">
        <v>1</v>
      </c>
      <c r="D59" s="78">
        <v>16</v>
      </c>
      <c r="E59" s="78">
        <f>IFERROR(C59*D59,0)</f>
        <v>16</v>
      </c>
      <c r="F59" s="15">
        <v>29</v>
      </c>
      <c r="G59" s="15">
        <v>-1</v>
      </c>
      <c r="H59" s="15">
        <v>4</v>
      </c>
      <c r="I59" s="15">
        <v>0.5</v>
      </c>
      <c r="J59" s="15">
        <v>1.2</v>
      </c>
      <c r="K59" s="15">
        <v>1</v>
      </c>
      <c r="L59" s="3" t="s">
        <v>119</v>
      </c>
      <c r="M59" s="3" t="s">
        <v>356</v>
      </c>
      <c r="N59" s="3"/>
      <c r="O59" s="3"/>
      <c r="P59" s="3"/>
      <c r="Q59" s="3" t="s">
        <v>356</v>
      </c>
      <c r="R59" s="3"/>
      <c r="S59" s="3"/>
      <c r="T59" s="3"/>
      <c r="U59" s="3"/>
      <c r="V59" s="76">
        <f>IF(UPPER(M59)="X",0.5,IF(UPPER(N59)="X",0.2,IF(UPPER(O59)="X",0.05,0)))</f>
        <v>0.5</v>
      </c>
      <c r="W59" s="3"/>
    </row>
    <row r="60" spans="1:23" x14ac:dyDescent="0.3">
      <c r="A60" s="3">
        <v>52</v>
      </c>
      <c r="B60" s="3" t="s">
        <v>540</v>
      </c>
      <c r="C60" s="14">
        <v>1</v>
      </c>
      <c r="D60" s="78">
        <v>32</v>
      </c>
      <c r="E60" s="78">
        <f>IFERROR(C60*D60,0)</f>
        <v>32</v>
      </c>
      <c r="F60" s="15">
        <v>22</v>
      </c>
      <c r="G60" s="15">
        <v>1</v>
      </c>
      <c r="H60" s="15">
        <v>3.5</v>
      </c>
      <c r="I60" s="15">
        <v>1</v>
      </c>
      <c r="J60" s="15">
        <v>1.2</v>
      </c>
      <c r="K60" s="15">
        <v>0.6</v>
      </c>
      <c r="L60" s="3" t="s">
        <v>119</v>
      </c>
      <c r="M60" s="3" t="s">
        <v>356</v>
      </c>
      <c r="N60" s="3"/>
      <c r="O60" s="3"/>
      <c r="P60" s="3"/>
      <c r="Q60" s="3" t="s">
        <v>356</v>
      </c>
      <c r="R60" s="3"/>
      <c r="S60" s="3"/>
      <c r="T60" s="3"/>
      <c r="U60" s="3"/>
      <c r="V60" s="76">
        <f>IF(UPPER(M60)="X",0.5,IF(UPPER(N60)="X",0.2,IF(UPPER(O60)="X",0.05,0)))</f>
        <v>0.5</v>
      </c>
      <c r="W60" s="3" t="s">
        <v>541</v>
      </c>
    </row>
    <row r="61" spans="1:23" x14ac:dyDescent="0.3">
      <c r="A61" s="3">
        <v>53</v>
      </c>
      <c r="B61" s="3" t="s">
        <v>542</v>
      </c>
      <c r="C61" s="14">
        <v>1</v>
      </c>
      <c r="D61" s="78">
        <v>32</v>
      </c>
      <c r="E61" s="78">
        <f>IFERROR(C61*D61,0)</f>
        <v>32</v>
      </c>
      <c r="F61" s="15">
        <v>22</v>
      </c>
      <c r="G61" s="15">
        <v>-1</v>
      </c>
      <c r="H61" s="15">
        <v>3.5</v>
      </c>
      <c r="I61" s="15">
        <v>1</v>
      </c>
      <c r="J61" s="15">
        <v>1.2</v>
      </c>
      <c r="K61" s="15">
        <v>0.6</v>
      </c>
      <c r="L61" s="3" t="s">
        <v>119</v>
      </c>
      <c r="M61" s="3" t="s">
        <v>356</v>
      </c>
      <c r="N61" s="3"/>
      <c r="O61" s="3"/>
      <c r="P61" s="3"/>
      <c r="Q61" s="3" t="s">
        <v>356</v>
      </c>
      <c r="R61" s="3"/>
      <c r="S61" s="3"/>
      <c r="T61" s="3"/>
      <c r="U61" s="3"/>
      <c r="V61" s="76">
        <f>IF(UPPER(M61)="X",0.5,IF(UPPER(N61)="X",0.2,IF(UPPER(O61)="X",0.05,0)))</f>
        <v>0.5</v>
      </c>
      <c r="W61" s="3" t="s">
        <v>543</v>
      </c>
    </row>
    <row r="62" spans="1:23" x14ac:dyDescent="0.3">
      <c r="A62" s="3">
        <v>54</v>
      </c>
      <c r="B62" s="3" t="s">
        <v>544</v>
      </c>
      <c r="C62" s="14">
        <v>1</v>
      </c>
      <c r="D62" s="78">
        <v>32</v>
      </c>
      <c r="E62" s="78">
        <f>IFERROR(C62*D62,0)</f>
        <v>32</v>
      </c>
      <c r="F62" s="15">
        <v>22</v>
      </c>
      <c r="G62" s="15">
        <v>1</v>
      </c>
      <c r="H62" s="15">
        <v>3</v>
      </c>
      <c r="I62" s="15">
        <v>1</v>
      </c>
      <c r="J62" s="15">
        <v>1.2</v>
      </c>
      <c r="K62" s="15">
        <v>0.6</v>
      </c>
      <c r="L62" s="3" t="s">
        <v>119</v>
      </c>
      <c r="M62" s="3" t="s">
        <v>356</v>
      </c>
      <c r="N62" s="3"/>
      <c r="O62" s="3"/>
      <c r="P62" s="3"/>
      <c r="Q62" s="3" t="s">
        <v>356</v>
      </c>
      <c r="R62" s="3"/>
      <c r="S62" s="3"/>
      <c r="T62" s="3"/>
      <c r="U62" s="3"/>
      <c r="V62" s="76">
        <f>IF(UPPER(M62)="X",0.5,IF(UPPER(N62)="X",0.2,IF(UPPER(O62)="X",0.05,0)))</f>
        <v>0.5</v>
      </c>
      <c r="W62" s="3" t="s">
        <v>545</v>
      </c>
    </row>
    <row r="63" spans="1:23" x14ac:dyDescent="0.3">
      <c r="A63" s="3">
        <v>55</v>
      </c>
      <c r="B63" s="3" t="s">
        <v>546</v>
      </c>
      <c r="C63" s="14">
        <v>1</v>
      </c>
      <c r="D63" s="78">
        <v>32</v>
      </c>
      <c r="E63" s="78">
        <f>IFERROR(C63*D63,0)</f>
        <v>32</v>
      </c>
      <c r="F63" s="15">
        <v>22</v>
      </c>
      <c r="G63" s="15">
        <v>-1</v>
      </c>
      <c r="H63" s="15">
        <v>3</v>
      </c>
      <c r="I63" s="15">
        <v>1</v>
      </c>
      <c r="J63" s="15">
        <v>1.2</v>
      </c>
      <c r="K63" s="15">
        <v>0.6</v>
      </c>
      <c r="L63" s="3" t="s">
        <v>119</v>
      </c>
      <c r="M63" s="3" t="s">
        <v>356</v>
      </c>
      <c r="N63" s="3"/>
      <c r="O63" s="3"/>
      <c r="P63" s="3"/>
      <c r="Q63" s="3" t="s">
        <v>356</v>
      </c>
      <c r="R63" s="3"/>
      <c r="S63" s="3"/>
      <c r="T63" s="3"/>
      <c r="U63" s="3"/>
      <c r="V63" s="76">
        <f>IF(UPPER(M63)="X",0.5,IF(UPPER(N63)="X",0.2,IF(UPPER(O63)="X",0.05,0)))</f>
        <v>0.5</v>
      </c>
      <c r="W63" s="3" t="s">
        <v>547</v>
      </c>
    </row>
    <row r="64" spans="1:23" x14ac:dyDescent="0.3">
      <c r="A64" s="3"/>
      <c r="B64" s="3"/>
      <c r="C64" s="14"/>
      <c r="D64" s="78"/>
      <c r="E64" s="78"/>
      <c r="F64" s="15"/>
      <c r="G64" s="15"/>
      <c r="H64" s="15"/>
      <c r="I64" s="15"/>
      <c r="J64" s="15"/>
      <c r="K64" s="15"/>
      <c r="L64" s="3"/>
      <c r="M64" s="3"/>
      <c r="N64" s="3"/>
      <c r="O64" s="3"/>
      <c r="P64" s="3"/>
      <c r="Q64" s="3"/>
      <c r="R64" s="3"/>
      <c r="S64" s="3"/>
      <c r="T64" s="3"/>
      <c r="U64" s="3"/>
      <c r="V64" s="76"/>
      <c r="W64" s="3"/>
    </row>
    <row r="65" spans="1:23" x14ac:dyDescent="0.3">
      <c r="A65" s="3"/>
      <c r="B65" s="3"/>
      <c r="C65" s="14"/>
      <c r="D65" s="78"/>
      <c r="E65" s="78"/>
      <c r="F65" s="15"/>
      <c r="G65" s="15"/>
      <c r="H65" s="15"/>
      <c r="I65" s="15"/>
      <c r="J65" s="15"/>
      <c r="K65" s="15"/>
      <c r="L65" s="3"/>
      <c r="M65" s="3"/>
      <c r="N65" s="3"/>
      <c r="O65" s="3"/>
      <c r="P65" s="3"/>
      <c r="Q65" s="3"/>
      <c r="R65" s="3"/>
      <c r="S65" s="3"/>
      <c r="T65" s="3"/>
      <c r="U65" s="3"/>
      <c r="V65" s="76"/>
      <c r="W65" s="3"/>
    </row>
    <row r="70" spans="1:23" ht="15" thickBot="1" x14ac:dyDescent="0.35">
      <c r="A70" s="26"/>
      <c r="B70" s="26" t="s">
        <v>452</v>
      </c>
      <c r="C70" s="26"/>
      <c r="D70" s="26"/>
      <c r="E70" s="87">
        <f>SUM(E9:E29)</f>
        <v>914</v>
      </c>
      <c r="F70" s="28">
        <f>IFERROR(SUMPRODUCT(E9:E29,F9:F29)/E70,0)</f>
        <v>25.969365426695841</v>
      </c>
      <c r="G70" s="28">
        <f>IFERROR(SUMPRODUCT(E9:E29,G9:G29)/E70,0)</f>
        <v>4.5951859956236324E-2</v>
      </c>
      <c r="H70" s="28">
        <f>IFERROR(SUMPRODUCT(E9:E29,H9:H29)/E70,0)</f>
        <v>3</v>
      </c>
      <c r="I70" s="87">
        <f>SUMPRODUCT(E9:E29,V9:V29)</f>
        <v>457</v>
      </c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</row>
    <row r="71" spans="1:23" ht="15" thickTop="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</row>
    <row r="72" spans="1:23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</row>
    <row r="73" spans="1:23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</row>
    <row r="74" spans="1:23" ht="15" thickBot="1" x14ac:dyDescent="0.3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1:23" ht="16.2" thickTop="1" x14ac:dyDescent="0.3">
      <c r="A75" s="90" t="s">
        <v>453</v>
      </c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</row>
    <row r="76" spans="1:23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</row>
    <row r="77" spans="1:23" x14ac:dyDescent="0.3">
      <c r="A77" s="83"/>
      <c r="B77" s="18" t="s">
        <v>464</v>
      </c>
      <c r="C77" s="18"/>
      <c r="D77" s="18" t="s">
        <v>329</v>
      </c>
      <c r="E77" s="18" t="s">
        <v>92</v>
      </c>
      <c r="F77" s="18" t="s">
        <v>93</v>
      </c>
      <c r="G77" s="18" t="s">
        <v>94</v>
      </c>
      <c r="H77" s="18" t="s">
        <v>84</v>
      </c>
      <c r="I77" s="18" t="s">
        <v>85</v>
      </c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</row>
    <row r="78" spans="1:23" x14ac:dyDescent="0.3">
      <c r="A78" s="43"/>
      <c r="B78" s="43"/>
      <c r="C78" s="43"/>
      <c r="D78" s="85">
        <f>E91</f>
        <v>75</v>
      </c>
      <c r="E78" s="86">
        <f>F91</f>
        <v>27.84</v>
      </c>
      <c r="F78" s="86">
        <f>G91</f>
        <v>1.6</v>
      </c>
      <c r="G78" s="86">
        <f>H91</f>
        <v>3.2933333333333334</v>
      </c>
      <c r="H78" s="85">
        <f>I91</f>
        <v>37.5</v>
      </c>
      <c r="I78" s="85">
        <f>I91</f>
        <v>37.5</v>
      </c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</row>
    <row r="79" spans="1:23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92" t="s">
        <v>111</v>
      </c>
      <c r="N79" s="92"/>
      <c r="O79" s="92"/>
      <c r="P79" s="92" t="s">
        <v>471</v>
      </c>
      <c r="Q79" s="92"/>
      <c r="R79" s="92" t="s">
        <v>112</v>
      </c>
      <c r="S79" s="92"/>
      <c r="T79" s="92"/>
      <c r="U79" s="92"/>
      <c r="V79" s="3"/>
      <c r="W79" s="3"/>
    </row>
    <row r="80" spans="1:23" x14ac:dyDescent="0.3">
      <c r="A80" s="84" t="s">
        <v>106</v>
      </c>
      <c r="B80" s="84" t="s">
        <v>107</v>
      </c>
      <c r="C80" s="84" t="s">
        <v>2</v>
      </c>
      <c r="D80" s="84" t="s">
        <v>72</v>
      </c>
      <c r="E80" s="84" t="s">
        <v>73</v>
      </c>
      <c r="F80" s="84" t="s">
        <v>92</v>
      </c>
      <c r="G80" s="84" t="s">
        <v>93</v>
      </c>
      <c r="H80" s="84" t="s">
        <v>94</v>
      </c>
      <c r="I80" s="84" t="s">
        <v>108</v>
      </c>
      <c r="J80" s="84" t="s">
        <v>109</v>
      </c>
      <c r="K80" s="84" t="s">
        <v>110</v>
      </c>
      <c r="L80" s="84" t="s">
        <v>95</v>
      </c>
      <c r="M80" s="84" t="s">
        <v>128</v>
      </c>
      <c r="N80" s="84" t="s">
        <v>349</v>
      </c>
      <c r="O80" s="84" t="s">
        <v>172</v>
      </c>
      <c r="P80" s="84" t="s">
        <v>350</v>
      </c>
      <c r="Q80" s="84" t="s">
        <v>129</v>
      </c>
      <c r="R80" s="84" t="s">
        <v>351</v>
      </c>
      <c r="S80" s="84" t="s">
        <v>352</v>
      </c>
      <c r="T80" s="84" t="s">
        <v>353</v>
      </c>
      <c r="U80" s="84" t="s">
        <v>354</v>
      </c>
      <c r="V80" s="84" t="s">
        <v>355</v>
      </c>
      <c r="W80" s="84" t="s">
        <v>3</v>
      </c>
    </row>
    <row r="81" spans="1:23" x14ac:dyDescent="0.3">
      <c r="A81" s="3">
        <v>1</v>
      </c>
      <c r="B81" s="3" t="s">
        <v>296</v>
      </c>
      <c r="C81" s="14">
        <v>2</v>
      </c>
      <c r="D81" s="78">
        <v>12</v>
      </c>
      <c r="E81" s="78">
        <f>IFERROR(C81*D81,0)</f>
        <v>24</v>
      </c>
      <c r="F81" s="15">
        <v>28</v>
      </c>
      <c r="G81" s="15">
        <v>3</v>
      </c>
      <c r="H81" s="15">
        <v>3.5</v>
      </c>
      <c r="I81" s="15">
        <v>0.6</v>
      </c>
      <c r="J81" s="15">
        <v>0.5</v>
      </c>
      <c r="K81" s="15">
        <v>0.3</v>
      </c>
      <c r="L81" s="3" t="s">
        <v>119</v>
      </c>
      <c r="M81" s="3" t="s">
        <v>356</v>
      </c>
      <c r="N81" s="3"/>
      <c r="O81" s="3"/>
      <c r="P81" s="3"/>
      <c r="Q81" s="3" t="s">
        <v>356</v>
      </c>
      <c r="R81" s="3" t="s">
        <v>356</v>
      </c>
      <c r="S81" s="3"/>
      <c r="T81" s="3"/>
      <c r="U81" s="3"/>
      <c r="V81" s="76">
        <f>IF(UPPER(M81)="X",0.5,IF(UPPER(N81)="X",0.2,IF(UPPER(O81)="X",0.05,0)))</f>
        <v>0.5</v>
      </c>
      <c r="W81" s="3"/>
    </row>
    <row r="82" spans="1:23" x14ac:dyDescent="0.3">
      <c r="A82" s="3">
        <v>2</v>
      </c>
      <c r="B82" s="3" t="s">
        <v>297</v>
      </c>
      <c r="C82" s="14">
        <v>1</v>
      </c>
      <c r="D82" s="78">
        <v>12</v>
      </c>
      <c r="E82" s="78">
        <f>IFERROR(C82*D82,0)</f>
        <v>12</v>
      </c>
      <c r="F82" s="15">
        <v>27</v>
      </c>
      <c r="G82" s="15">
        <v>0</v>
      </c>
      <c r="H82" s="15">
        <v>3.5</v>
      </c>
      <c r="I82" s="15">
        <v>0.6</v>
      </c>
      <c r="J82" s="15">
        <v>0.5</v>
      </c>
      <c r="K82" s="15">
        <v>0.3</v>
      </c>
      <c r="L82" s="3" t="s">
        <v>119</v>
      </c>
      <c r="M82" s="3" t="s">
        <v>356</v>
      </c>
      <c r="N82" s="3"/>
      <c r="O82" s="3"/>
      <c r="P82" s="3"/>
      <c r="Q82" s="3" t="s">
        <v>356</v>
      </c>
      <c r="R82" s="3" t="s">
        <v>356</v>
      </c>
      <c r="S82" s="3"/>
      <c r="T82" s="3"/>
      <c r="U82" s="3"/>
      <c r="V82" s="76">
        <f>IF(UPPER(M82)="X",0.5,IF(UPPER(N82)="X",0.2,IF(UPPER(O82)="X",0.05,0)))</f>
        <v>0.5</v>
      </c>
      <c r="W82" s="3"/>
    </row>
    <row r="83" spans="1:23" x14ac:dyDescent="0.3">
      <c r="A83" s="3">
        <v>3</v>
      </c>
      <c r="B83" s="3" t="s">
        <v>298</v>
      </c>
      <c r="C83" s="14">
        <v>1</v>
      </c>
      <c r="D83" s="78">
        <v>8</v>
      </c>
      <c r="E83" s="78">
        <f>IFERROR(C83*D83,0)</f>
        <v>8</v>
      </c>
      <c r="F83" s="15">
        <v>26</v>
      </c>
      <c r="G83" s="15">
        <v>0</v>
      </c>
      <c r="H83" s="15">
        <v>3.5</v>
      </c>
      <c r="I83" s="15">
        <v>0.5</v>
      </c>
      <c r="J83" s="15">
        <v>0.4</v>
      </c>
      <c r="K83" s="15">
        <v>0.3</v>
      </c>
      <c r="L83" s="3" t="s">
        <v>119</v>
      </c>
      <c r="M83" s="3" t="s">
        <v>356</v>
      </c>
      <c r="N83" s="3"/>
      <c r="O83" s="3"/>
      <c r="P83" s="3"/>
      <c r="Q83" s="3" t="s">
        <v>356</v>
      </c>
      <c r="R83" s="3" t="s">
        <v>356</v>
      </c>
      <c r="S83" s="3"/>
      <c r="T83" s="3"/>
      <c r="U83" s="3"/>
      <c r="V83" s="76">
        <f>IF(UPPER(M83)="X",0.5,IF(UPPER(N83)="X",0.2,IF(UPPER(O83)="X",0.05,0)))</f>
        <v>0.5</v>
      </c>
      <c r="W83" s="3"/>
    </row>
    <row r="84" spans="1:23" x14ac:dyDescent="0.3">
      <c r="A84" s="3">
        <v>4</v>
      </c>
      <c r="B84" s="3" t="s">
        <v>299</v>
      </c>
      <c r="C84" s="14">
        <v>2</v>
      </c>
      <c r="D84" s="78">
        <v>8</v>
      </c>
      <c r="E84" s="78">
        <f>IFERROR(C84*D84,0)</f>
        <v>16</v>
      </c>
      <c r="F84" s="15">
        <v>29</v>
      </c>
      <c r="G84" s="15">
        <v>3</v>
      </c>
      <c r="H84" s="15">
        <v>3</v>
      </c>
      <c r="I84" s="15">
        <v>0.5</v>
      </c>
      <c r="J84" s="15">
        <v>0.4</v>
      </c>
      <c r="K84" s="15">
        <v>0.3</v>
      </c>
      <c r="L84" s="3" t="s">
        <v>119</v>
      </c>
      <c r="M84" s="3" t="s">
        <v>356</v>
      </c>
      <c r="N84" s="3"/>
      <c r="O84" s="3"/>
      <c r="P84" s="3"/>
      <c r="Q84" s="3" t="s">
        <v>356</v>
      </c>
      <c r="R84" s="3" t="s">
        <v>356</v>
      </c>
      <c r="S84" s="3"/>
      <c r="T84" s="3"/>
      <c r="U84" s="3"/>
      <c r="V84" s="76">
        <f>IF(UPPER(M84)="X",0.5,IF(UPPER(N84)="X",0.2,IF(UPPER(O84)="X",0.05,0)))</f>
        <v>0.5</v>
      </c>
      <c r="W84" s="3" t="s">
        <v>300</v>
      </c>
    </row>
    <row r="85" spans="1:23" x14ac:dyDescent="0.3">
      <c r="A85" s="3">
        <v>5</v>
      </c>
      <c r="B85" s="3" t="s">
        <v>301</v>
      </c>
      <c r="C85" s="14">
        <v>1</v>
      </c>
      <c r="D85" s="78">
        <v>15</v>
      </c>
      <c r="E85" s="78">
        <f>IFERROR(C85*D85,0)</f>
        <v>15</v>
      </c>
      <c r="F85" s="15">
        <v>28</v>
      </c>
      <c r="G85" s="15">
        <v>0</v>
      </c>
      <c r="H85" s="15">
        <v>3</v>
      </c>
      <c r="I85" s="15">
        <v>8</v>
      </c>
      <c r="J85" s="15">
        <v>0.2</v>
      </c>
      <c r="K85" s="15">
        <v>0.2</v>
      </c>
      <c r="L85" s="3" t="s">
        <v>119</v>
      </c>
      <c r="M85" s="3" t="s">
        <v>356</v>
      </c>
      <c r="N85" s="3"/>
      <c r="O85" s="3"/>
      <c r="P85" s="3"/>
      <c r="Q85" s="3" t="s">
        <v>356</v>
      </c>
      <c r="R85" s="3" t="s">
        <v>356</v>
      </c>
      <c r="S85" s="3"/>
      <c r="T85" s="3"/>
      <c r="U85" s="3"/>
      <c r="V85" s="76">
        <f>IF(UPPER(M85)="X",0.5,IF(UPPER(N85)="X",0.2,IF(UPPER(O85)="X",0.05,0)))</f>
        <v>0.5</v>
      </c>
      <c r="W85" s="3"/>
    </row>
    <row r="91" spans="1:23" ht="15" thickBot="1" x14ac:dyDescent="0.35">
      <c r="A91" s="26"/>
      <c r="B91" s="26" t="s">
        <v>454</v>
      </c>
      <c r="C91" s="26"/>
      <c r="D91" s="26"/>
      <c r="E91" s="87">
        <f>SUM(E81:E85)</f>
        <v>75</v>
      </c>
      <c r="F91" s="28">
        <f>IFERROR(SUMPRODUCT(E81:E85,F81:F85)/E91,0)</f>
        <v>27.84</v>
      </c>
      <c r="G91" s="28">
        <f>IFERROR(SUMPRODUCT(E81:E85,G81:G85)/E91,0)</f>
        <v>1.6</v>
      </c>
      <c r="H91" s="28">
        <f>IFERROR(SUMPRODUCT(E81:E85,H81:H85)/E91,0)</f>
        <v>3.2933333333333334</v>
      </c>
      <c r="I91" s="87">
        <f>SUMPRODUCT(E81:E85,V81:V85)</f>
        <v>37.5</v>
      </c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</row>
    <row r="92" spans="1:23" ht="15" thickTop="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1:23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</row>
    <row r="94" spans="1:23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</row>
    <row r="95" spans="1:23" ht="15" thickBot="1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</row>
    <row r="96" spans="1:23" ht="16.2" thickTop="1" x14ac:dyDescent="0.3">
      <c r="A96" s="90" t="s">
        <v>455</v>
      </c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</row>
    <row r="97" spans="1:23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</row>
    <row r="98" spans="1:23" x14ac:dyDescent="0.3">
      <c r="A98" s="83"/>
      <c r="B98" s="18" t="s">
        <v>464</v>
      </c>
      <c r="C98" s="18"/>
      <c r="D98" s="18" t="s">
        <v>329</v>
      </c>
      <c r="E98" s="18" t="s">
        <v>92</v>
      </c>
      <c r="F98" s="18" t="s">
        <v>93</v>
      </c>
      <c r="G98" s="18" t="s">
        <v>94</v>
      </c>
      <c r="H98" s="18" t="s">
        <v>84</v>
      </c>
      <c r="I98" s="18" t="s">
        <v>85</v>
      </c>
      <c r="J98" s="83"/>
      <c r="K98" s="83"/>
      <c r="L98" s="83"/>
      <c r="M98" s="83"/>
      <c r="N98" s="83"/>
      <c r="O98" s="83"/>
      <c r="P98" s="83"/>
      <c r="Q98" s="83"/>
      <c r="R98" s="83"/>
      <c r="S98" s="83"/>
      <c r="T98" s="83"/>
      <c r="U98" s="83"/>
      <c r="V98" s="83"/>
      <c r="W98" s="83"/>
    </row>
    <row r="99" spans="1:23" x14ac:dyDescent="0.3">
      <c r="A99" s="43"/>
      <c r="B99" s="43"/>
      <c r="C99" s="43"/>
      <c r="D99" s="85">
        <f>E110</f>
        <v>62</v>
      </c>
      <c r="E99" s="86">
        <f>F110</f>
        <v>20</v>
      </c>
      <c r="F99" s="86">
        <f>G110</f>
        <v>0</v>
      </c>
      <c r="G99" s="86">
        <f>H110</f>
        <v>3.5806451612903225</v>
      </c>
      <c r="H99" s="85">
        <f>I110</f>
        <v>31</v>
      </c>
      <c r="I99" s="85">
        <f>I110</f>
        <v>31</v>
      </c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</row>
    <row r="100" spans="1:23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92" t="s">
        <v>111</v>
      </c>
      <c r="N100" s="92"/>
      <c r="O100" s="92"/>
      <c r="P100" s="92" t="s">
        <v>471</v>
      </c>
      <c r="Q100" s="92"/>
      <c r="R100" s="92" t="s">
        <v>112</v>
      </c>
      <c r="S100" s="92"/>
      <c r="T100" s="92"/>
      <c r="U100" s="92"/>
      <c r="V100" s="3"/>
      <c r="W100" s="3"/>
    </row>
    <row r="101" spans="1:23" x14ac:dyDescent="0.3">
      <c r="A101" s="84" t="s">
        <v>106</v>
      </c>
      <c r="B101" s="84" t="s">
        <v>107</v>
      </c>
      <c r="C101" s="84" t="s">
        <v>2</v>
      </c>
      <c r="D101" s="84" t="s">
        <v>72</v>
      </c>
      <c r="E101" s="84" t="s">
        <v>73</v>
      </c>
      <c r="F101" s="84" t="s">
        <v>92</v>
      </c>
      <c r="G101" s="84" t="s">
        <v>93</v>
      </c>
      <c r="H101" s="84" t="s">
        <v>94</v>
      </c>
      <c r="I101" s="84" t="s">
        <v>108</v>
      </c>
      <c r="J101" s="84" t="s">
        <v>109</v>
      </c>
      <c r="K101" s="84" t="s">
        <v>110</v>
      </c>
      <c r="L101" s="84" t="s">
        <v>95</v>
      </c>
      <c r="M101" s="84" t="s">
        <v>128</v>
      </c>
      <c r="N101" s="84" t="s">
        <v>349</v>
      </c>
      <c r="O101" s="84" t="s">
        <v>172</v>
      </c>
      <c r="P101" s="84" t="s">
        <v>350</v>
      </c>
      <c r="Q101" s="84" t="s">
        <v>129</v>
      </c>
      <c r="R101" s="84" t="s">
        <v>351</v>
      </c>
      <c r="S101" s="84" t="s">
        <v>352</v>
      </c>
      <c r="T101" s="84" t="s">
        <v>353</v>
      </c>
      <c r="U101" s="84" t="s">
        <v>354</v>
      </c>
      <c r="V101" s="84" t="s">
        <v>355</v>
      </c>
      <c r="W101" s="84" t="s">
        <v>3</v>
      </c>
    </row>
    <row r="102" spans="1:23" x14ac:dyDescent="0.3">
      <c r="A102" s="3">
        <v>1</v>
      </c>
      <c r="B102" s="3" t="s">
        <v>302</v>
      </c>
      <c r="C102" s="14">
        <v>1</v>
      </c>
      <c r="D102" s="78">
        <v>22</v>
      </c>
      <c r="E102" s="78">
        <f>IFERROR(C102*D102,0)</f>
        <v>22</v>
      </c>
      <c r="F102" s="15">
        <v>20</v>
      </c>
      <c r="G102" s="15">
        <v>3</v>
      </c>
      <c r="H102" s="15">
        <v>3</v>
      </c>
      <c r="I102" s="15">
        <v>1</v>
      </c>
      <c r="J102" s="15">
        <v>1.8</v>
      </c>
      <c r="K102" s="15">
        <v>1.8</v>
      </c>
      <c r="L102" s="3" t="s">
        <v>119</v>
      </c>
      <c r="M102" s="3" t="s">
        <v>356</v>
      </c>
      <c r="N102" s="3"/>
      <c r="O102" s="3"/>
      <c r="P102" s="3"/>
      <c r="Q102" s="3" t="s">
        <v>356</v>
      </c>
      <c r="R102" s="3" t="s">
        <v>356</v>
      </c>
      <c r="S102" s="3"/>
      <c r="T102" s="3"/>
      <c r="U102" s="3"/>
      <c r="V102" s="76">
        <f>IF(UPPER(M102)="X",0.5,IF(UPPER(N102)="X",0.2,IF(UPPER(O102)="X",0.05,0)))</f>
        <v>0.5</v>
      </c>
      <c r="W102" s="3"/>
    </row>
    <row r="103" spans="1:23" x14ac:dyDescent="0.3">
      <c r="A103" s="3">
        <v>2</v>
      </c>
      <c r="B103" s="3" t="s">
        <v>303</v>
      </c>
      <c r="C103" s="14">
        <v>1</v>
      </c>
      <c r="D103" s="78">
        <v>22</v>
      </c>
      <c r="E103" s="78">
        <f>IFERROR(C103*D103,0)</f>
        <v>22</v>
      </c>
      <c r="F103" s="15">
        <v>20</v>
      </c>
      <c r="G103" s="15">
        <v>-3</v>
      </c>
      <c r="H103" s="15">
        <v>3</v>
      </c>
      <c r="I103" s="15">
        <v>1</v>
      </c>
      <c r="J103" s="15">
        <v>1.8</v>
      </c>
      <c r="K103" s="15">
        <v>1.8</v>
      </c>
      <c r="L103" s="3" t="s">
        <v>119</v>
      </c>
      <c r="M103" s="3" t="s">
        <v>356</v>
      </c>
      <c r="N103" s="3"/>
      <c r="O103" s="3"/>
      <c r="P103" s="3"/>
      <c r="Q103" s="3" t="s">
        <v>356</v>
      </c>
      <c r="R103" s="3" t="s">
        <v>356</v>
      </c>
      <c r="S103" s="3"/>
      <c r="T103" s="3"/>
      <c r="U103" s="3"/>
      <c r="V103" s="76">
        <f>IF(UPPER(M103)="X",0.5,IF(UPPER(N103)="X",0.2,IF(UPPER(O103)="X",0.05,0)))</f>
        <v>0.5</v>
      </c>
      <c r="W103" s="3"/>
    </row>
    <row r="104" spans="1:23" x14ac:dyDescent="0.3">
      <c r="A104" s="3">
        <v>3</v>
      </c>
      <c r="B104" s="3" t="s">
        <v>304</v>
      </c>
      <c r="C104" s="14">
        <v>1</v>
      </c>
      <c r="D104" s="78">
        <v>18</v>
      </c>
      <c r="E104" s="78">
        <f>IFERROR(C104*D104,0)</f>
        <v>18</v>
      </c>
      <c r="F104" s="15">
        <v>20</v>
      </c>
      <c r="G104" s="15">
        <v>0</v>
      </c>
      <c r="H104" s="15">
        <v>5</v>
      </c>
      <c r="I104" s="15">
        <v>1</v>
      </c>
      <c r="J104" s="15">
        <v>1.5</v>
      </c>
      <c r="K104" s="15">
        <v>1.5</v>
      </c>
      <c r="L104" s="3" t="s">
        <v>119</v>
      </c>
      <c r="M104" s="3" t="s">
        <v>356</v>
      </c>
      <c r="N104" s="3"/>
      <c r="O104" s="3"/>
      <c r="P104" s="3"/>
      <c r="Q104" s="3" t="s">
        <v>356</v>
      </c>
      <c r="R104" s="3" t="s">
        <v>356</v>
      </c>
      <c r="S104" s="3"/>
      <c r="T104" s="3"/>
      <c r="U104" s="3"/>
      <c r="V104" s="76">
        <f>IF(UPPER(M104)="X",0.5,IF(UPPER(N104)="X",0.2,IF(UPPER(O104)="X",0.05,0)))</f>
        <v>0.5</v>
      </c>
      <c r="W104" s="3" t="s">
        <v>305</v>
      </c>
    </row>
    <row r="110" spans="1:23" ht="15" thickBot="1" x14ac:dyDescent="0.35">
      <c r="A110" s="26"/>
      <c r="B110" s="26" t="s">
        <v>456</v>
      </c>
      <c r="C110" s="26"/>
      <c r="D110" s="26"/>
      <c r="E110" s="87">
        <f>SUM(E102:E104)</f>
        <v>62</v>
      </c>
      <c r="F110" s="28">
        <f>IFERROR(SUMPRODUCT(E102:E104,F102:F104)/E110,0)</f>
        <v>20</v>
      </c>
      <c r="G110" s="28">
        <f>IFERROR(SUMPRODUCT(E102:E104,G102:G104)/E110,0)</f>
        <v>0</v>
      </c>
      <c r="H110" s="28">
        <f>IFERROR(SUMPRODUCT(E102:E104,H102:H104)/E110,0)</f>
        <v>3.5806451612903225</v>
      </c>
      <c r="I110" s="87">
        <f>SUMPRODUCT(E102:E104,V102:V104)</f>
        <v>31</v>
      </c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</row>
    <row r="111" spans="1:23" ht="15" thickTop="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</row>
    <row r="112" spans="1:23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</row>
    <row r="113" spans="1:23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</row>
    <row r="114" spans="1:23" ht="15" thickBot="1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</row>
    <row r="115" spans="1:23" ht="16.2" thickTop="1" x14ac:dyDescent="0.3">
      <c r="A115" s="90" t="s">
        <v>457</v>
      </c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</row>
    <row r="116" spans="1:23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</row>
    <row r="117" spans="1:23" x14ac:dyDescent="0.3">
      <c r="A117" s="83"/>
      <c r="B117" s="18" t="s">
        <v>464</v>
      </c>
      <c r="C117" s="18"/>
      <c r="D117" s="18" t="s">
        <v>329</v>
      </c>
      <c r="E117" s="18" t="s">
        <v>92</v>
      </c>
      <c r="F117" s="18" t="s">
        <v>93</v>
      </c>
      <c r="G117" s="18" t="s">
        <v>94</v>
      </c>
      <c r="H117" s="18" t="s">
        <v>84</v>
      </c>
      <c r="I117" s="18" t="s">
        <v>85</v>
      </c>
      <c r="J117" s="83"/>
      <c r="K117" s="83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</row>
    <row r="118" spans="1:23" x14ac:dyDescent="0.3">
      <c r="A118" s="43"/>
      <c r="B118" s="43"/>
      <c r="C118" s="43"/>
      <c r="D118" s="85">
        <f>E129</f>
        <v>26</v>
      </c>
      <c r="E118" s="86">
        <f>F129</f>
        <v>27.923076923076923</v>
      </c>
      <c r="F118" s="86">
        <f>G129</f>
        <v>0.92307692307692313</v>
      </c>
      <c r="G118" s="86">
        <f>H129</f>
        <v>3.3461538461538463</v>
      </c>
      <c r="H118" s="85">
        <f>I129</f>
        <v>13</v>
      </c>
      <c r="I118" s="85">
        <f>I129</f>
        <v>13</v>
      </c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</row>
    <row r="119" spans="1:23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92" t="s">
        <v>111</v>
      </c>
      <c r="N119" s="92"/>
      <c r="O119" s="92"/>
      <c r="P119" s="92" t="s">
        <v>471</v>
      </c>
      <c r="Q119" s="92"/>
      <c r="R119" s="92" t="s">
        <v>112</v>
      </c>
      <c r="S119" s="92"/>
      <c r="T119" s="92"/>
      <c r="U119" s="92"/>
      <c r="V119" s="3"/>
      <c r="W119" s="3"/>
    </row>
    <row r="120" spans="1:23" x14ac:dyDescent="0.3">
      <c r="A120" s="84" t="s">
        <v>106</v>
      </c>
      <c r="B120" s="84" t="s">
        <v>107</v>
      </c>
      <c r="C120" s="84" t="s">
        <v>2</v>
      </c>
      <c r="D120" s="84" t="s">
        <v>72</v>
      </c>
      <c r="E120" s="84" t="s">
        <v>73</v>
      </c>
      <c r="F120" s="84" t="s">
        <v>92</v>
      </c>
      <c r="G120" s="84" t="s">
        <v>93</v>
      </c>
      <c r="H120" s="84" t="s">
        <v>94</v>
      </c>
      <c r="I120" s="84" t="s">
        <v>108</v>
      </c>
      <c r="J120" s="84" t="s">
        <v>109</v>
      </c>
      <c r="K120" s="84" t="s">
        <v>110</v>
      </c>
      <c r="L120" s="84" t="s">
        <v>95</v>
      </c>
      <c r="M120" s="84" t="s">
        <v>128</v>
      </c>
      <c r="N120" s="84" t="s">
        <v>349</v>
      </c>
      <c r="O120" s="84" t="s">
        <v>172</v>
      </c>
      <c r="P120" s="84" t="s">
        <v>350</v>
      </c>
      <c r="Q120" s="84" t="s">
        <v>129</v>
      </c>
      <c r="R120" s="84" t="s">
        <v>351</v>
      </c>
      <c r="S120" s="84" t="s">
        <v>352</v>
      </c>
      <c r="T120" s="84" t="s">
        <v>353</v>
      </c>
      <c r="U120" s="84" t="s">
        <v>354</v>
      </c>
      <c r="V120" s="84" t="s">
        <v>355</v>
      </c>
      <c r="W120" s="84" t="s">
        <v>3</v>
      </c>
    </row>
    <row r="121" spans="1:23" x14ac:dyDescent="0.3">
      <c r="A121" s="3">
        <v>1</v>
      </c>
      <c r="B121" s="3" t="s">
        <v>306</v>
      </c>
      <c r="C121" s="14">
        <v>1</v>
      </c>
      <c r="D121" s="78">
        <v>14</v>
      </c>
      <c r="E121" s="78">
        <f>IFERROR(C121*D121,0)</f>
        <v>14</v>
      </c>
      <c r="F121" s="15">
        <v>27</v>
      </c>
      <c r="G121" s="15">
        <v>0</v>
      </c>
      <c r="H121" s="15">
        <v>3.5</v>
      </c>
      <c r="I121" s="15">
        <v>0.7</v>
      </c>
      <c r="J121" s="15">
        <v>0.5</v>
      </c>
      <c r="K121" s="15">
        <v>0.5</v>
      </c>
      <c r="L121" s="3" t="s">
        <v>119</v>
      </c>
      <c r="M121" s="3" t="s">
        <v>356</v>
      </c>
      <c r="N121" s="3"/>
      <c r="O121" s="3"/>
      <c r="P121" s="3"/>
      <c r="Q121" s="3" t="s">
        <v>356</v>
      </c>
      <c r="R121" s="3" t="s">
        <v>356</v>
      </c>
      <c r="S121" s="3"/>
      <c r="T121" s="3"/>
      <c r="U121" s="3"/>
      <c r="V121" s="76">
        <f>IF(UPPER(M121)="X",0.5,IF(UPPER(N121)="X",0.2,IF(UPPER(O121)="X",0.05,0)))</f>
        <v>0.5</v>
      </c>
      <c r="W121" s="3" t="s">
        <v>307</v>
      </c>
    </row>
    <row r="122" spans="1:23" x14ac:dyDescent="0.3">
      <c r="A122" s="3">
        <v>2</v>
      </c>
      <c r="B122" s="3" t="s">
        <v>308</v>
      </c>
      <c r="C122" s="14">
        <v>1</v>
      </c>
      <c r="D122" s="78">
        <v>4</v>
      </c>
      <c r="E122" s="78">
        <f>IFERROR(C122*D122,0)</f>
        <v>4</v>
      </c>
      <c r="F122" s="15">
        <v>27</v>
      </c>
      <c r="G122" s="15">
        <v>0</v>
      </c>
      <c r="H122" s="15">
        <v>3.5</v>
      </c>
      <c r="I122" s="15">
        <v>0.4</v>
      </c>
      <c r="J122" s="15">
        <v>0.3</v>
      </c>
      <c r="K122" s="15">
        <v>0.2</v>
      </c>
      <c r="L122" s="3" t="s">
        <v>119</v>
      </c>
      <c r="M122" s="3" t="s">
        <v>356</v>
      </c>
      <c r="N122" s="3"/>
      <c r="O122" s="3"/>
      <c r="P122" s="3"/>
      <c r="Q122" s="3" t="s">
        <v>356</v>
      </c>
      <c r="R122" s="3" t="s">
        <v>356</v>
      </c>
      <c r="S122" s="3"/>
      <c r="T122" s="3"/>
      <c r="U122" s="3"/>
      <c r="V122" s="76">
        <f>IF(UPPER(M122)="X",0.5,IF(UPPER(N122)="X",0.2,IF(UPPER(O122)="X",0.05,0)))</f>
        <v>0.5</v>
      </c>
      <c r="W122" s="3"/>
    </row>
    <row r="123" spans="1:23" x14ac:dyDescent="0.3">
      <c r="A123" s="3">
        <v>3</v>
      </c>
      <c r="B123" s="3" t="s">
        <v>309</v>
      </c>
      <c r="C123" s="14">
        <v>2</v>
      </c>
      <c r="D123" s="78">
        <v>4</v>
      </c>
      <c r="E123" s="78">
        <f>IFERROR(C123*D123,0)</f>
        <v>8</v>
      </c>
      <c r="F123" s="15">
        <v>30</v>
      </c>
      <c r="G123" s="15">
        <v>3</v>
      </c>
      <c r="H123" s="15">
        <v>3</v>
      </c>
      <c r="I123" s="15">
        <v>0.4</v>
      </c>
      <c r="J123" s="15">
        <v>0.3</v>
      </c>
      <c r="K123" s="15">
        <v>0.2</v>
      </c>
      <c r="L123" s="3" t="s">
        <v>119</v>
      </c>
      <c r="M123" s="3" t="s">
        <v>356</v>
      </c>
      <c r="N123" s="3"/>
      <c r="O123" s="3"/>
      <c r="P123" s="3"/>
      <c r="Q123" s="3" t="s">
        <v>356</v>
      </c>
      <c r="R123" s="3" t="s">
        <v>356</v>
      </c>
      <c r="S123" s="3"/>
      <c r="T123" s="3"/>
      <c r="U123" s="3"/>
      <c r="V123" s="76">
        <f>IF(UPPER(M123)="X",0.5,IF(UPPER(N123)="X",0.2,IF(UPPER(O123)="X",0.05,0)))</f>
        <v>0.5</v>
      </c>
      <c r="W123" s="3" t="s">
        <v>300</v>
      </c>
    </row>
    <row r="129" spans="1:23" ht="15" thickBot="1" x14ac:dyDescent="0.35">
      <c r="A129" s="26"/>
      <c r="B129" s="26" t="s">
        <v>458</v>
      </c>
      <c r="C129" s="26"/>
      <c r="D129" s="26"/>
      <c r="E129" s="87">
        <f>SUM(E121:E123)</f>
        <v>26</v>
      </c>
      <c r="F129" s="28">
        <f>IFERROR(SUMPRODUCT(E121:E123,F121:F123)/E129,0)</f>
        <v>27.923076923076923</v>
      </c>
      <c r="G129" s="28">
        <f>IFERROR(SUMPRODUCT(E121:E123,G121:G123)/E129,0)</f>
        <v>0.92307692307692313</v>
      </c>
      <c r="H129" s="28">
        <f>IFERROR(SUMPRODUCT(E121:E123,H121:H123)/E129,0)</f>
        <v>3.3461538461538463</v>
      </c>
      <c r="I129" s="87">
        <f>SUMPRODUCT(E121:E123,V121:V123)</f>
        <v>13</v>
      </c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</row>
    <row r="130" spans="1:23" ht="15" thickTop="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</row>
  </sheetData>
  <mergeCells count="17">
    <mergeCell ref="M119:O119"/>
    <mergeCell ref="P119:Q119"/>
    <mergeCell ref="R119:U119"/>
    <mergeCell ref="A1:W1"/>
    <mergeCell ref="A3:W3"/>
    <mergeCell ref="A75:W75"/>
    <mergeCell ref="A96:W96"/>
    <mergeCell ref="A115:W115"/>
    <mergeCell ref="M7:O7"/>
    <mergeCell ref="P7:Q7"/>
    <mergeCell ref="R7:U7"/>
    <mergeCell ref="M79:O79"/>
    <mergeCell ref="P79:Q79"/>
    <mergeCell ref="R79:U79"/>
    <mergeCell ref="M100:O100"/>
    <mergeCell ref="P100:Q100"/>
    <mergeCell ref="R100:U10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54120-F787-4EEA-B519-8CCFFBB39B34}">
  <sheetPr codeName="Sheet51"/>
  <dimension ref="A1:W42"/>
  <sheetViews>
    <sheetView workbookViewId="0">
      <selection activeCell="K23" sqref="K23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21" width="6.44140625" customWidth="1"/>
    <col min="22" max="22" width="10.21875" customWidth="1"/>
    <col min="23" max="23" width="46.33203125" customWidth="1"/>
  </cols>
  <sheetData>
    <row r="1" spans="1:23" ht="21" x14ac:dyDescent="0.4">
      <c r="A1" s="88" t="s">
        <v>324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23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t="16.2" thickTop="1" x14ac:dyDescent="0.3">
      <c r="A3" s="90" t="s">
        <v>459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</row>
    <row r="4" spans="1:23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x14ac:dyDescent="0.3">
      <c r="A5" s="83"/>
      <c r="B5" s="18" t="s">
        <v>464</v>
      </c>
      <c r="C5" s="18"/>
      <c r="D5" s="18" t="s">
        <v>329</v>
      </c>
      <c r="E5" s="18" t="s">
        <v>92</v>
      </c>
      <c r="F5" s="18" t="s">
        <v>93</v>
      </c>
      <c r="G5" s="18" t="s">
        <v>94</v>
      </c>
      <c r="H5" s="18" t="s">
        <v>84</v>
      </c>
      <c r="I5" s="18" t="s">
        <v>85</v>
      </c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x14ac:dyDescent="0.3">
      <c r="A6" s="43"/>
      <c r="B6" s="43"/>
      <c r="C6" s="43"/>
      <c r="D6" s="85">
        <f>E21</f>
        <v>695</v>
      </c>
      <c r="E6" s="86">
        <f>F21</f>
        <v>14.03956834532374</v>
      </c>
      <c r="F6" s="86">
        <f>G21</f>
        <v>0.63669064748201443</v>
      </c>
      <c r="G6" s="86">
        <f>H21</f>
        <v>3.0949640287769786</v>
      </c>
      <c r="H6" s="85">
        <f>I21</f>
        <v>259</v>
      </c>
      <c r="I6" s="85">
        <f>I21</f>
        <v>259</v>
      </c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</row>
    <row r="7" spans="1:23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92" t="s">
        <v>111</v>
      </c>
      <c r="N7" s="92"/>
      <c r="O7" s="92"/>
      <c r="P7" s="92" t="s">
        <v>471</v>
      </c>
      <c r="Q7" s="92"/>
      <c r="R7" s="92" t="s">
        <v>112</v>
      </c>
      <c r="S7" s="92"/>
      <c r="T7" s="92"/>
      <c r="U7" s="92"/>
      <c r="V7" s="3"/>
      <c r="W7" s="3"/>
    </row>
    <row r="8" spans="1:23" x14ac:dyDescent="0.3">
      <c r="A8" s="84" t="s">
        <v>106</v>
      </c>
      <c r="B8" s="84" t="s">
        <v>107</v>
      </c>
      <c r="C8" s="84" t="s">
        <v>2</v>
      </c>
      <c r="D8" s="84" t="s">
        <v>72</v>
      </c>
      <c r="E8" s="84" t="s">
        <v>73</v>
      </c>
      <c r="F8" s="84" t="s">
        <v>92</v>
      </c>
      <c r="G8" s="84" t="s">
        <v>93</v>
      </c>
      <c r="H8" s="84" t="s">
        <v>94</v>
      </c>
      <c r="I8" s="84" t="s">
        <v>108</v>
      </c>
      <c r="J8" s="84" t="s">
        <v>109</v>
      </c>
      <c r="K8" s="84" t="s">
        <v>110</v>
      </c>
      <c r="L8" s="84" t="s">
        <v>95</v>
      </c>
      <c r="M8" s="84" t="s">
        <v>128</v>
      </c>
      <c r="N8" s="84" t="s">
        <v>349</v>
      </c>
      <c r="O8" s="84" t="s">
        <v>172</v>
      </c>
      <c r="P8" s="84" t="s">
        <v>350</v>
      </c>
      <c r="Q8" s="84" t="s">
        <v>129</v>
      </c>
      <c r="R8" s="84" t="s">
        <v>351</v>
      </c>
      <c r="S8" s="84" t="s">
        <v>352</v>
      </c>
      <c r="T8" s="84" t="s">
        <v>353</v>
      </c>
      <c r="U8" s="84" t="s">
        <v>354</v>
      </c>
      <c r="V8" s="84" t="s">
        <v>355</v>
      </c>
      <c r="W8" s="84" t="s">
        <v>3</v>
      </c>
    </row>
    <row r="9" spans="1:23" x14ac:dyDescent="0.3">
      <c r="A9" s="3">
        <v>1</v>
      </c>
      <c r="B9" s="3" t="s">
        <v>156</v>
      </c>
      <c r="C9" s="14">
        <v>1</v>
      </c>
      <c r="D9" s="78">
        <v>45</v>
      </c>
      <c r="E9" s="78">
        <f t="shared" ref="E9:E15" si="0">IFERROR(C9*D9,0)</f>
        <v>45</v>
      </c>
      <c r="F9" s="15">
        <v>5</v>
      </c>
      <c r="G9" s="15">
        <v>0</v>
      </c>
      <c r="H9" s="15">
        <v>3</v>
      </c>
      <c r="I9" s="15">
        <v>3</v>
      </c>
      <c r="J9" s="15">
        <v>2</v>
      </c>
      <c r="K9" s="15">
        <v>4</v>
      </c>
      <c r="L9" s="3" t="s">
        <v>115</v>
      </c>
      <c r="M9" s="3"/>
      <c r="N9" s="3" t="s">
        <v>356</v>
      </c>
      <c r="O9" s="3"/>
      <c r="P9" s="3"/>
      <c r="Q9" s="3" t="s">
        <v>356</v>
      </c>
      <c r="R9" s="3"/>
      <c r="S9" s="3" t="s">
        <v>356</v>
      </c>
      <c r="T9" s="3"/>
      <c r="U9" s="3"/>
      <c r="V9" s="76">
        <f t="shared" ref="V9:V15" si="1">IF(UPPER(M9)="X",0.5,IF(UPPER(N9)="X",0.2,IF(UPPER(O9)="X",0.05,0)))</f>
        <v>0.2</v>
      </c>
      <c r="W9" s="3"/>
    </row>
    <row r="10" spans="1:23" x14ac:dyDescent="0.3">
      <c r="A10" s="3">
        <v>2</v>
      </c>
      <c r="B10" s="3" t="s">
        <v>157</v>
      </c>
      <c r="C10" s="14">
        <v>4</v>
      </c>
      <c r="D10" s="78">
        <v>50</v>
      </c>
      <c r="E10" s="78">
        <f t="shared" si="0"/>
        <v>200</v>
      </c>
      <c r="F10" s="15">
        <v>14</v>
      </c>
      <c r="G10" s="15">
        <v>1.8</v>
      </c>
      <c r="H10" s="15">
        <v>3</v>
      </c>
      <c r="I10" s="15">
        <v>3</v>
      </c>
      <c r="J10" s="15">
        <v>2</v>
      </c>
      <c r="K10" s="15">
        <v>4</v>
      </c>
      <c r="L10" s="3" t="s">
        <v>115</v>
      </c>
      <c r="M10" s="3"/>
      <c r="N10" s="3" t="s">
        <v>356</v>
      </c>
      <c r="O10" s="3"/>
      <c r="P10" s="3"/>
      <c r="Q10" s="3" t="s">
        <v>356</v>
      </c>
      <c r="R10" s="3"/>
      <c r="S10" s="3" t="s">
        <v>356</v>
      </c>
      <c r="T10" s="3"/>
      <c r="U10" s="3"/>
      <c r="V10" s="76">
        <f t="shared" si="1"/>
        <v>0.2</v>
      </c>
      <c r="W10" s="3" t="s">
        <v>158</v>
      </c>
    </row>
    <row r="11" spans="1:23" x14ac:dyDescent="0.3">
      <c r="A11" s="3">
        <v>3</v>
      </c>
      <c r="B11" s="3" t="s">
        <v>159</v>
      </c>
      <c r="C11" s="14">
        <v>1</v>
      </c>
      <c r="D11" s="78">
        <v>50</v>
      </c>
      <c r="E11" s="78">
        <f t="shared" si="0"/>
        <v>50</v>
      </c>
      <c r="F11" s="15">
        <v>20</v>
      </c>
      <c r="G11" s="15">
        <v>0</v>
      </c>
      <c r="H11" s="15">
        <v>3</v>
      </c>
      <c r="I11" s="15">
        <v>3</v>
      </c>
      <c r="J11" s="15">
        <v>2</v>
      </c>
      <c r="K11" s="15">
        <v>4</v>
      </c>
      <c r="L11" s="3" t="s">
        <v>115</v>
      </c>
      <c r="M11" s="3"/>
      <c r="N11" s="3" t="s">
        <v>356</v>
      </c>
      <c r="O11" s="3"/>
      <c r="P11" s="3"/>
      <c r="Q11" s="3" t="s">
        <v>356</v>
      </c>
      <c r="R11" s="3"/>
      <c r="S11" s="3" t="s">
        <v>356</v>
      </c>
      <c r="T11" s="3"/>
      <c r="U11" s="3"/>
      <c r="V11" s="76">
        <f t="shared" si="1"/>
        <v>0.2</v>
      </c>
      <c r="W11" s="3"/>
    </row>
    <row r="12" spans="1:23" x14ac:dyDescent="0.3">
      <c r="A12" s="3">
        <v>4</v>
      </c>
      <c r="B12" s="3" t="s">
        <v>160</v>
      </c>
      <c r="C12" s="14">
        <v>1</v>
      </c>
      <c r="D12" s="78">
        <v>180</v>
      </c>
      <c r="E12" s="78">
        <f t="shared" si="0"/>
        <v>180</v>
      </c>
      <c r="F12" s="15">
        <v>14</v>
      </c>
      <c r="G12" s="15">
        <v>0</v>
      </c>
      <c r="H12" s="15">
        <v>4</v>
      </c>
      <c r="I12" s="15">
        <v>18</v>
      </c>
      <c r="J12" s="15">
        <v>5</v>
      </c>
      <c r="K12" s="15">
        <v>1</v>
      </c>
      <c r="L12" s="3" t="s">
        <v>115</v>
      </c>
      <c r="M12" s="3" t="s">
        <v>356</v>
      </c>
      <c r="N12" s="3"/>
      <c r="O12" s="3"/>
      <c r="P12" s="3"/>
      <c r="Q12" s="3" t="s">
        <v>356</v>
      </c>
      <c r="R12" s="3" t="s">
        <v>356</v>
      </c>
      <c r="S12" s="3"/>
      <c r="T12" s="3"/>
      <c r="U12" s="3"/>
      <c r="V12" s="76">
        <f t="shared" si="1"/>
        <v>0.5</v>
      </c>
      <c r="W12" s="3"/>
    </row>
    <row r="13" spans="1:23" x14ac:dyDescent="0.3">
      <c r="A13" s="3">
        <v>5</v>
      </c>
      <c r="B13" s="3" t="s">
        <v>161</v>
      </c>
      <c r="C13" s="14">
        <v>1</v>
      </c>
      <c r="D13" s="78">
        <v>95</v>
      </c>
      <c r="E13" s="78">
        <f t="shared" si="0"/>
        <v>95</v>
      </c>
      <c r="F13" s="15">
        <v>14</v>
      </c>
      <c r="G13" s="15">
        <v>0</v>
      </c>
      <c r="H13" s="15">
        <v>1.8</v>
      </c>
      <c r="I13" s="15">
        <v>18</v>
      </c>
      <c r="J13" s="15">
        <v>5</v>
      </c>
      <c r="K13" s="15">
        <v>0.2</v>
      </c>
      <c r="L13" s="3" t="s">
        <v>115</v>
      </c>
      <c r="M13" s="3" t="s">
        <v>356</v>
      </c>
      <c r="N13" s="3"/>
      <c r="O13" s="3"/>
      <c r="P13" s="3"/>
      <c r="Q13" s="3" t="s">
        <v>356</v>
      </c>
      <c r="R13" s="3" t="s">
        <v>356</v>
      </c>
      <c r="S13" s="3"/>
      <c r="T13" s="3"/>
      <c r="U13" s="3"/>
      <c r="V13" s="76">
        <f t="shared" si="1"/>
        <v>0.5</v>
      </c>
      <c r="W13" s="3"/>
    </row>
    <row r="14" spans="1:23" x14ac:dyDescent="0.3">
      <c r="A14" s="3">
        <v>6</v>
      </c>
      <c r="B14" s="3" t="s">
        <v>162</v>
      </c>
      <c r="C14" s="14">
        <v>1</v>
      </c>
      <c r="D14" s="78">
        <v>70</v>
      </c>
      <c r="E14" s="78">
        <f t="shared" si="0"/>
        <v>70</v>
      </c>
      <c r="F14" s="15">
        <v>21</v>
      </c>
      <c r="G14" s="15">
        <v>0</v>
      </c>
      <c r="H14" s="15">
        <v>3</v>
      </c>
      <c r="I14" s="15">
        <v>3</v>
      </c>
      <c r="J14" s="15">
        <v>2.5</v>
      </c>
      <c r="K14" s="15">
        <v>5</v>
      </c>
      <c r="L14" s="3" t="s">
        <v>115</v>
      </c>
      <c r="M14" s="3" t="s">
        <v>356</v>
      </c>
      <c r="N14" s="3"/>
      <c r="O14" s="3"/>
      <c r="P14" s="3"/>
      <c r="Q14" s="3" t="s">
        <v>356</v>
      </c>
      <c r="R14" s="3" t="s">
        <v>356</v>
      </c>
      <c r="S14" s="3"/>
      <c r="T14" s="3"/>
      <c r="U14" s="3"/>
      <c r="V14" s="76">
        <f t="shared" si="1"/>
        <v>0.5</v>
      </c>
      <c r="W14" s="3" t="s">
        <v>163</v>
      </c>
    </row>
    <row r="15" spans="1:23" x14ac:dyDescent="0.3">
      <c r="A15" s="3">
        <v>7</v>
      </c>
      <c r="B15" s="3" t="s">
        <v>164</v>
      </c>
      <c r="C15" s="14">
        <v>1</v>
      </c>
      <c r="D15" s="78">
        <v>55</v>
      </c>
      <c r="E15" s="78">
        <f t="shared" si="0"/>
        <v>55</v>
      </c>
      <c r="F15" s="15">
        <v>7.5</v>
      </c>
      <c r="G15" s="15">
        <v>1.5</v>
      </c>
      <c r="H15" s="15">
        <v>3</v>
      </c>
      <c r="I15" s="15">
        <v>2</v>
      </c>
      <c r="J15" s="15">
        <v>1.5</v>
      </c>
      <c r="K15" s="15">
        <v>4</v>
      </c>
      <c r="L15" s="3" t="s">
        <v>115</v>
      </c>
      <c r="M15" s="3" t="s">
        <v>356</v>
      </c>
      <c r="N15" s="3"/>
      <c r="O15" s="3"/>
      <c r="P15" s="3"/>
      <c r="Q15" s="3" t="s">
        <v>356</v>
      </c>
      <c r="R15" s="3" t="s">
        <v>356</v>
      </c>
      <c r="S15" s="3"/>
      <c r="T15" s="3"/>
      <c r="U15" s="3"/>
      <c r="V15" s="76">
        <f t="shared" si="1"/>
        <v>0.5</v>
      </c>
      <c r="W15" s="3"/>
    </row>
    <row r="21" spans="1:23" ht="15" thickBot="1" x14ac:dyDescent="0.35">
      <c r="A21" s="26"/>
      <c r="B21" s="26" t="s">
        <v>460</v>
      </c>
      <c r="C21" s="26"/>
      <c r="D21" s="26"/>
      <c r="E21" s="87">
        <f>SUM(E9:E15)</f>
        <v>695</v>
      </c>
      <c r="F21" s="28">
        <f>IFERROR(SUMPRODUCT(E9:E15,F9:F15)/E21,0)</f>
        <v>14.03956834532374</v>
      </c>
      <c r="G21" s="28">
        <f>IFERROR(SUMPRODUCT(E9:E15,G9:G15)/E21,0)</f>
        <v>0.63669064748201443</v>
      </c>
      <c r="H21" s="28">
        <f>IFERROR(SUMPRODUCT(E9:E15,H9:H15)/E21,0)</f>
        <v>3.0949640287769786</v>
      </c>
      <c r="I21" s="87">
        <f>SUMPRODUCT(E9:E15,V9:V15)</f>
        <v>259</v>
      </c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</row>
    <row r="22" spans="1:23" ht="15" thickTop="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1:23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1:23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 ht="15" thickBot="1" x14ac:dyDescent="0.3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1:23" ht="16.2" thickTop="1" x14ac:dyDescent="0.3">
      <c r="A26" s="90" t="s">
        <v>461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</row>
    <row r="27" spans="1:23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</row>
    <row r="28" spans="1:23" x14ac:dyDescent="0.3">
      <c r="A28" s="83"/>
      <c r="B28" s="18" t="s">
        <v>464</v>
      </c>
      <c r="C28" s="18"/>
      <c r="D28" s="18" t="s">
        <v>329</v>
      </c>
      <c r="E28" s="18" t="s">
        <v>92</v>
      </c>
      <c r="F28" s="18" t="s">
        <v>93</v>
      </c>
      <c r="G28" s="18" t="s">
        <v>94</v>
      </c>
      <c r="H28" s="18" t="s">
        <v>84</v>
      </c>
      <c r="I28" s="18" t="s">
        <v>85</v>
      </c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</row>
    <row r="29" spans="1:23" x14ac:dyDescent="0.3">
      <c r="A29" s="43"/>
      <c r="B29" s="43"/>
      <c r="C29" s="43"/>
      <c r="D29" s="85">
        <f>E41</f>
        <v>60</v>
      </c>
      <c r="E29" s="86">
        <f>F41</f>
        <v>20.166666666666668</v>
      </c>
      <c r="F29" s="86">
        <f>G41</f>
        <v>2</v>
      </c>
      <c r="G29" s="86">
        <f>H41</f>
        <v>2.5833333333333335</v>
      </c>
      <c r="H29" s="85">
        <f>I41</f>
        <v>16.5</v>
      </c>
      <c r="I29" s="85">
        <f>I41</f>
        <v>16.5</v>
      </c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</row>
    <row r="30" spans="1:23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92" t="s">
        <v>111</v>
      </c>
      <c r="N30" s="92"/>
      <c r="O30" s="92"/>
      <c r="P30" s="92" t="s">
        <v>471</v>
      </c>
      <c r="Q30" s="92"/>
      <c r="R30" s="92" t="s">
        <v>112</v>
      </c>
      <c r="S30" s="92"/>
      <c r="T30" s="92"/>
      <c r="U30" s="92"/>
      <c r="V30" s="3"/>
      <c r="W30" s="3"/>
    </row>
    <row r="31" spans="1:23" x14ac:dyDescent="0.3">
      <c r="A31" s="84" t="s">
        <v>106</v>
      </c>
      <c r="B31" s="84" t="s">
        <v>107</v>
      </c>
      <c r="C31" s="84" t="s">
        <v>2</v>
      </c>
      <c r="D31" s="84" t="s">
        <v>72</v>
      </c>
      <c r="E31" s="84" t="s">
        <v>73</v>
      </c>
      <c r="F31" s="84" t="s">
        <v>92</v>
      </c>
      <c r="G31" s="84" t="s">
        <v>93</v>
      </c>
      <c r="H31" s="84" t="s">
        <v>94</v>
      </c>
      <c r="I31" s="84" t="s">
        <v>108</v>
      </c>
      <c r="J31" s="84" t="s">
        <v>109</v>
      </c>
      <c r="K31" s="84" t="s">
        <v>110</v>
      </c>
      <c r="L31" s="84" t="s">
        <v>95</v>
      </c>
      <c r="M31" s="84" t="s">
        <v>128</v>
      </c>
      <c r="N31" s="84" t="s">
        <v>349</v>
      </c>
      <c r="O31" s="84" t="s">
        <v>172</v>
      </c>
      <c r="P31" s="84" t="s">
        <v>350</v>
      </c>
      <c r="Q31" s="84" t="s">
        <v>129</v>
      </c>
      <c r="R31" s="84" t="s">
        <v>351</v>
      </c>
      <c r="S31" s="84" t="s">
        <v>352</v>
      </c>
      <c r="T31" s="84" t="s">
        <v>353</v>
      </c>
      <c r="U31" s="84" t="s">
        <v>354</v>
      </c>
      <c r="V31" s="84" t="s">
        <v>355</v>
      </c>
      <c r="W31" s="84" t="s">
        <v>3</v>
      </c>
    </row>
    <row r="32" spans="1:23" x14ac:dyDescent="0.3">
      <c r="A32" s="3">
        <v>1</v>
      </c>
      <c r="B32" s="3" t="s">
        <v>165</v>
      </c>
      <c r="C32" s="14">
        <v>2</v>
      </c>
      <c r="D32" s="78">
        <v>15</v>
      </c>
      <c r="E32" s="78">
        <f>IFERROR(C32*D32,0)</f>
        <v>30</v>
      </c>
      <c r="F32" s="15">
        <v>19</v>
      </c>
      <c r="G32" s="15">
        <v>4</v>
      </c>
      <c r="H32" s="15">
        <v>2</v>
      </c>
      <c r="I32" s="15">
        <v>0.8</v>
      </c>
      <c r="J32" s="15">
        <v>0.5</v>
      </c>
      <c r="K32" s="15">
        <v>0.5</v>
      </c>
      <c r="L32" s="3" t="s">
        <v>166</v>
      </c>
      <c r="M32" s="3"/>
      <c r="N32" s="3" t="s">
        <v>356</v>
      </c>
      <c r="O32" s="3"/>
      <c r="P32" s="3"/>
      <c r="Q32" s="3" t="s">
        <v>356</v>
      </c>
      <c r="R32" s="3"/>
      <c r="S32" s="3" t="s">
        <v>356</v>
      </c>
      <c r="T32" s="3"/>
      <c r="U32" s="3"/>
      <c r="V32" s="76">
        <f>IF(UPPER(M32)="X",0.5,IF(UPPER(N32)="X",0.2,IF(UPPER(O32)="X",0.05,0)))</f>
        <v>0.2</v>
      </c>
      <c r="W32" s="3" t="s">
        <v>167</v>
      </c>
    </row>
    <row r="33" spans="1:23" x14ac:dyDescent="0.3">
      <c r="A33" s="3">
        <v>2</v>
      </c>
      <c r="B33" s="3" t="s">
        <v>168</v>
      </c>
      <c r="C33" s="14">
        <v>1</v>
      </c>
      <c r="D33" s="78">
        <v>12</v>
      </c>
      <c r="E33" s="78">
        <f>IFERROR(C33*D33,0)</f>
        <v>12</v>
      </c>
      <c r="F33" s="15">
        <v>27</v>
      </c>
      <c r="G33" s="15">
        <v>0</v>
      </c>
      <c r="H33" s="15">
        <v>3</v>
      </c>
      <c r="I33" s="15">
        <v>0.7</v>
      </c>
      <c r="J33" s="15">
        <v>0.5</v>
      </c>
      <c r="K33" s="15">
        <v>0.5</v>
      </c>
      <c r="L33" s="3" t="s">
        <v>166</v>
      </c>
      <c r="M33" s="3" t="s">
        <v>356</v>
      </c>
      <c r="N33" s="3"/>
      <c r="O33" s="3"/>
      <c r="P33" s="3"/>
      <c r="Q33" s="3" t="s">
        <v>356</v>
      </c>
      <c r="R33" s="3" t="s">
        <v>356</v>
      </c>
      <c r="S33" s="3"/>
      <c r="T33" s="3"/>
      <c r="U33" s="3"/>
      <c r="V33" s="76">
        <f>IF(UPPER(M33)="X",0.5,IF(UPPER(N33)="X",0.2,IF(UPPER(O33)="X",0.05,0)))</f>
        <v>0.5</v>
      </c>
      <c r="W33" s="3"/>
    </row>
    <row r="34" spans="1:23" x14ac:dyDescent="0.3">
      <c r="A34" s="3">
        <v>3</v>
      </c>
      <c r="B34" s="3" t="s">
        <v>169</v>
      </c>
      <c r="C34" s="14">
        <v>1</v>
      </c>
      <c r="D34" s="78">
        <v>8</v>
      </c>
      <c r="E34" s="78">
        <f>IFERROR(C34*D34,0)</f>
        <v>8</v>
      </c>
      <c r="F34" s="15">
        <v>22</v>
      </c>
      <c r="G34" s="15">
        <v>0</v>
      </c>
      <c r="H34" s="15">
        <v>3</v>
      </c>
      <c r="I34" s="15">
        <v>12</v>
      </c>
      <c r="J34" s="15">
        <v>0.05</v>
      </c>
      <c r="K34" s="15">
        <v>0.05</v>
      </c>
      <c r="L34" s="3" t="s">
        <v>166</v>
      </c>
      <c r="M34" s="3" t="s">
        <v>356</v>
      </c>
      <c r="N34" s="3"/>
      <c r="O34" s="3"/>
      <c r="P34" s="3"/>
      <c r="Q34" s="3" t="s">
        <v>356</v>
      </c>
      <c r="R34" s="3" t="s">
        <v>356</v>
      </c>
      <c r="S34" s="3"/>
      <c r="T34" s="3"/>
      <c r="U34" s="3"/>
      <c r="V34" s="76">
        <f>IF(UPPER(M34)="X",0.5,IF(UPPER(N34)="X",0.2,IF(UPPER(O34)="X",0.05,0)))</f>
        <v>0.5</v>
      </c>
      <c r="W34" s="3" t="s">
        <v>170</v>
      </c>
    </row>
    <row r="35" spans="1:23" x14ac:dyDescent="0.3">
      <c r="A35" s="3">
        <v>4</v>
      </c>
      <c r="B35" s="3" t="s">
        <v>171</v>
      </c>
      <c r="C35" s="14">
        <v>2</v>
      </c>
      <c r="D35" s="78">
        <v>5</v>
      </c>
      <c r="E35" s="78">
        <f>IFERROR(C35*D35,0)</f>
        <v>10</v>
      </c>
      <c r="F35" s="15">
        <v>14</v>
      </c>
      <c r="G35" s="15">
        <v>0</v>
      </c>
      <c r="H35" s="15">
        <v>3.5</v>
      </c>
      <c r="I35" s="15">
        <v>0.5</v>
      </c>
      <c r="J35" s="15">
        <v>0.3</v>
      </c>
      <c r="K35" s="15">
        <v>0.3</v>
      </c>
      <c r="L35" s="3" t="s">
        <v>166</v>
      </c>
      <c r="M35" s="3"/>
      <c r="N35" s="3"/>
      <c r="O35" s="3" t="s">
        <v>356</v>
      </c>
      <c r="P35" s="3"/>
      <c r="Q35" s="3" t="s">
        <v>356</v>
      </c>
      <c r="R35" s="3"/>
      <c r="S35" s="3" t="s">
        <v>356</v>
      </c>
      <c r="T35" s="3"/>
      <c r="U35" s="3"/>
      <c r="V35" s="76">
        <f>IF(UPPER(M35)="X",0.5,IF(UPPER(N35)="X",0.2,IF(UPPER(O35)="X",0.05,0)))</f>
        <v>0.05</v>
      </c>
      <c r="W35" s="3"/>
    </row>
    <row r="41" spans="1:23" ht="15" thickBot="1" x14ac:dyDescent="0.35">
      <c r="A41" s="26"/>
      <c r="B41" s="26" t="s">
        <v>462</v>
      </c>
      <c r="C41" s="26"/>
      <c r="D41" s="26"/>
      <c r="E41" s="87">
        <f>SUM(E32:E35)</f>
        <v>60</v>
      </c>
      <c r="F41" s="28">
        <f>IFERROR(SUMPRODUCT(E32:E35,F32:F35)/E41,0)</f>
        <v>20.166666666666668</v>
      </c>
      <c r="G41" s="28">
        <f>IFERROR(SUMPRODUCT(E32:E35,G32:G35)/E41,0)</f>
        <v>2</v>
      </c>
      <c r="H41" s="28">
        <f>IFERROR(SUMPRODUCT(E32:E35,H32:H35)/E41,0)</f>
        <v>2.5833333333333335</v>
      </c>
      <c r="I41" s="87">
        <f>SUMPRODUCT(E32:E35,V32:V35)</f>
        <v>16.5</v>
      </c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</row>
    <row r="42" spans="1:23" ht="15" thickTop="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</sheetData>
  <mergeCells count="9">
    <mergeCell ref="M30:O30"/>
    <mergeCell ref="P30:Q30"/>
    <mergeCell ref="R30:U30"/>
    <mergeCell ref="A1:W1"/>
    <mergeCell ref="A3:W3"/>
    <mergeCell ref="A26:W26"/>
    <mergeCell ref="M7:O7"/>
    <mergeCell ref="P7:Q7"/>
    <mergeCell ref="R7:U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Roll Up</vt:lpstr>
      <vt:lpstr>Target</vt:lpstr>
      <vt:lpstr>Export</vt:lpstr>
      <vt:lpstr>Risk</vt:lpstr>
      <vt:lpstr>Structure</vt:lpstr>
      <vt:lpstr>Mechanical</vt:lpstr>
      <vt:lpstr>Electrical</vt:lpstr>
      <vt:lpstr>Avionics</vt:lpstr>
      <vt:lpstr>Powerplant</vt:lpstr>
      <vt:lpstr>Interior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Amos</dc:creator>
  <cp:lastModifiedBy>Alexander Amos</cp:lastModifiedBy>
  <dcterms:created xsi:type="dcterms:W3CDTF">2026-05-16T17:15:45Z</dcterms:created>
  <dcterms:modified xsi:type="dcterms:W3CDTF">2026-05-18T21:22:57Z</dcterms:modified>
</cp:coreProperties>
</file>