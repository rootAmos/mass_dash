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BFA61A74-F246-449B-9286-AB8F9C83D1BF}" xr6:coauthVersionLast="47" xr6:coauthVersionMax="47" xr10:uidLastSave="{00000000-0000-0000-0000-000000000000}"/>
  <bookViews>
    <workbookView xWindow="-108" yWindow="-108" windowWidth="23256" windowHeight="13896" firstSheet="11" activeTab="12" xr2:uid="{66D9863A-341A-4414-9E11-CCEB7DF8B0DA}"/>
  </bookViews>
  <sheets>
    <sheet name="Mass" sheetId="1" r:id="rId1"/>
    <sheet name="Target" sheetId="4" r:id="rId2"/>
    <sheet name="Export" sheetId="3" r:id="rId3"/>
    <sheet name="Risk" sheetId="6" r:id="rId4"/>
    <sheet name="Sheet1" sheetId="18" r:id="rId5"/>
    <sheet name="ATA 21-24 - AC-Elec" sheetId="10" r:id="rId6"/>
    <sheet name="ATA 25 - Furnishings" sheetId="11" r:id="rId7"/>
    <sheet name="ATA 27-29-32 - FltCtrl-Hyd-LG" sheetId="12" r:id="rId8"/>
    <sheet name="ATA 31 - Instruments" sheetId="13" r:id="rId9"/>
    <sheet name="ATA Avionics" sheetId="14" r:id="rId10"/>
    <sheet name="ATA 57 - Wings" sheetId="15" r:id="rId11"/>
    <sheet name="ATA 53-55 - Fus-Emp" sheetId="16" r:id="rId12"/>
    <sheet name="ATA 28-71-75 - Propulsion" sheetId="17" r:id="rId13"/>
  </sheets>
  <definedNames>
    <definedName name="A" localSheetId="10">'ATA 57 - Wings'!$C$20</definedName>
    <definedName name="A_i" localSheetId="12">'ATA 28-71-75 - Propulsion'!$C$34</definedName>
    <definedName name="A_vt" localSheetId="11">'ATA 53-55 - Fus-Emp'!$C$35</definedName>
    <definedName name="B_h" localSheetId="11">'ATA 53-55 - Fus-Emp'!$C$28</definedName>
    <definedName name="D_f" localSheetId="11">'ATA 53-55 - Fus-Emp'!$C$25</definedName>
    <definedName name="D_global">Sheet1!$C$14</definedName>
    <definedName name="E_bat_kWh" localSheetId="12">'ATA 28-71-75 - Propulsion'!$C$47</definedName>
    <definedName name="F_w" localSheetId="11">'ATA 53-55 - Fus-Emp'!$C$27</definedName>
    <definedName name="H_tHv" localSheetId="11">'ATA 53-55 - Fus-Emp'!$C$30</definedName>
    <definedName name="K_cb" localSheetId="7">'ATA 27-29-32 - FltCtrl-Hyd-LG'!$C$30</definedName>
    <definedName name="K_dw" localSheetId="10">'ATA 57 - Wings'!$C$15</definedName>
    <definedName name="K_dwf" localSheetId="11">'ATA 53-55 - Fus-Emp'!$C$21</definedName>
    <definedName name="K_tpg" localSheetId="7">'ATA 27-29-32 - FltCtrl-Hyd-LG'!$C$31</definedName>
    <definedName name="K_vs" localSheetId="10">'ATA 57 - Wings'!$C$16</definedName>
    <definedName name="K_vsh" localSheetId="7">'ATA 27-29-32 - FltCtrl-Hyd-LG'!$C$28</definedName>
    <definedName name="L_d" localSheetId="12">'ATA 28-71-75 - Propulsion'!$C$33</definedName>
    <definedName name="L_ec" localSheetId="5">'ATA 21-24 - AC-Elec'!$C$21</definedName>
    <definedName name="L_f" localSheetId="11">'ATA 53-55 - Fus-Emp'!$C$24</definedName>
    <definedName name="L_global">Sheet1!$C$13</definedName>
    <definedName name="L_m" localSheetId="7">'ATA 27-29-32 - FltCtrl-Hyd-LG'!$C$34</definedName>
    <definedName name="L_n" localSheetId="7">'ATA 27-29-32 - FltCtrl-Hyd-LG'!$C$35</definedName>
    <definedName name="L_t" localSheetId="11">'ATA 53-55 - Fus-Emp'!$C$33</definedName>
    <definedName name="lambda" localSheetId="10">'ATA 57 - Wings'!$C$22</definedName>
    <definedName name="lambda_vt" localSheetId="11">'ATA 53-55 - Fus-Emp'!$C$36</definedName>
    <definedName name="M_global">Sheet1!$C$9</definedName>
    <definedName name="M_LNG" localSheetId="12">'ATA 28-71-75 - Propulsion'!$C$45</definedName>
    <definedName name="M_max" localSheetId="7">'ATA 27-29-32 - FltCtrl-Hyd-LG'!$C$24</definedName>
    <definedName name="M_max" localSheetId="11">'ATA 53-55 - Fus-Emp'!$C$32</definedName>
    <definedName name="N_c" localSheetId="6">'ATA 25 - Furnishings'!$C$15</definedName>
    <definedName name="N_c" localSheetId="7">'ATA 27-29-32 - FltCtrl-Hyd-LG'!$C$27</definedName>
    <definedName name="N_c" localSheetId="8">'ATA 31 - Instruments'!$C$15</definedName>
    <definedName name="N_c_global">Sheet1!$C$16</definedName>
    <definedName name="N_en" localSheetId="12">'ATA 28-71-75 - Propulsion'!$C$32</definedName>
    <definedName name="N_en" localSheetId="8">'ATA 31 - Instruments'!$C$16</definedName>
    <definedName name="N_en_global">Sheet1!$C$10</definedName>
    <definedName name="N_f" localSheetId="7">'ATA 27-29-32 - FltCtrl-Hyd-LG'!$C$29</definedName>
    <definedName name="N_gen" localSheetId="5">'ATA 21-24 - AC-Elec'!$C$22</definedName>
    <definedName name="N_l" localSheetId="7">'ATA 27-29-32 - FltCtrl-Hyd-LG'!$C$33</definedName>
    <definedName name="N_l_global">Sheet1!$C$7</definedName>
    <definedName name="N_nw" localSheetId="7">'ATA 27-29-32 - FltCtrl-Hyd-LG'!$C$36</definedName>
    <definedName name="N_s" localSheetId="7">'ATA 27-29-32 - FltCtrl-Hyd-LG'!$C$26</definedName>
    <definedName name="N_t" localSheetId="12">'ATA 28-71-75 - Propulsion'!$C$43</definedName>
    <definedName name="N_z" localSheetId="11">'ATA 53-55 - Fus-Emp'!$C$23</definedName>
    <definedName name="N_z" localSheetId="10">'ATA 57 - Wings'!$C$18</definedName>
    <definedName name="N_z_global">Sheet1!$C$6</definedName>
    <definedName name="P_2" localSheetId="12">'ATA 28-71-75 - Propulsion'!$C$35</definedName>
    <definedName name="P_motor_kW" localSheetId="12">'ATA 28-71-75 - Propulsion'!$C$37</definedName>
    <definedName name="pct_22" localSheetId="9">'ATA Avionics'!$C$22</definedName>
    <definedName name="pct_23" localSheetId="9">'ATA Avionics'!$C$23</definedName>
    <definedName name="pct_34" localSheetId="9">'ATA Avionics'!$C$24</definedName>
    <definedName name="PD_motor" localSheetId="12">'ATA 28-71-75 - Propulsion'!$C$38</definedName>
    <definedName name="PD_PE" localSheetId="12">'ATA 28-71-75 - Propulsion'!$C$39</definedName>
    <definedName name="R_kva" localSheetId="5">'ATA 21-24 - AC-Elec'!$C$20</definedName>
    <definedName name="S_cs" localSheetId="7">'ATA 27-29-32 - FltCtrl-Hyd-LG'!$C$25</definedName>
    <definedName name="S_csw" localSheetId="10">'ATA 57 - Wings'!$C$24</definedName>
    <definedName name="S_ht" localSheetId="11">'ATA 53-55 - Fus-Emp'!$C$29</definedName>
    <definedName name="S_r_Svt" localSheetId="11">'ATA 53-55 - Fus-Emp'!$C$34</definedName>
    <definedName name="S_vt" localSheetId="11">'ATA 53-55 - Fus-Emp'!$C$31</definedName>
    <definedName name="S_w" localSheetId="10">'ATA 57 - Wings'!$C$19</definedName>
    <definedName name="SE_bat" localSheetId="12">'ATA 28-71-75 - Propulsion'!$C$48</definedName>
    <definedName name="Sweep_vt" localSheetId="11">'ATA 53-55 - Fus-Emp'!$C$37</definedName>
    <definedName name="Sweep_w" localSheetId="10">'ATA 57 - Wings'!$C$23</definedName>
    <definedName name="t_c" localSheetId="10">'ATA 57 - Wings'!$C$21</definedName>
    <definedName name="T_e" localSheetId="12">'ATA 28-71-75 - Propulsion'!$C$36</definedName>
    <definedName name="T_e_global">Sheet1!$C$12</definedName>
    <definedName name="T_global">Sheet1!$C$11</definedName>
    <definedName name="T_sfc" localSheetId="12">'ATA 28-71-75 - Propulsion'!$C$44</definedName>
    <definedName name="tank_frac" localSheetId="12">'ATA 28-71-75 - Propulsion'!$C$46</definedName>
    <definedName name="V_i_Vt" localSheetId="12">'ATA 28-71-75 - Propulsion'!$C$41</definedName>
    <definedName name="V_p_Vt" localSheetId="12">'ATA 28-71-75 - Propulsion'!$C$42</definedName>
    <definedName name="V_t" localSheetId="12">'ATA 28-71-75 - Propulsion'!$C$40</definedName>
    <definedName name="W_avionics" localSheetId="5">'ATA 21-24 - AC-Elec'!$C$19</definedName>
    <definedName name="W_dg" localSheetId="8">'ATA 31 - Instruments'!$C$17</definedName>
    <definedName name="W_dg" localSheetId="11">'ATA 53-55 - Fus-Emp'!$C$22</definedName>
    <definedName name="W_dg" localSheetId="10">'ATA 57 - Wings'!$C$17</definedName>
    <definedName name="W_dg_global">Sheet1!$C$5</definedName>
    <definedName name="W_f" localSheetId="11">'ATA 53-55 - Fus-Emp'!$C$26</definedName>
    <definedName name="W_global">Sheet1!$C$15</definedName>
    <definedName name="W_l" localSheetId="7">'ATA 27-29-32 - FltCtrl-Hyd-LG'!$C$32</definedName>
    <definedName name="W_l_global">Sheet1!$C$8</definedName>
    <definedName name="W_uav" localSheetId="5">'ATA 21-24 - AC-Elec'!$C$18</definedName>
    <definedName name="W_uav" localSheetId="9">'ATA Avionics'!$C$21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6" i="16" l="1"/>
  <c r="C25" i="16"/>
  <c r="C24" i="16"/>
  <c r="C19" i="10"/>
  <c r="D10" i="10" s="1" a="1"/>
  <c r="D10" i="10" s="1"/>
  <c r="D6" i="10" s="1"/>
  <c r="C36" i="17"/>
  <c r="C32" i="17"/>
  <c r="D15" i="17" s="1" a="1"/>
  <c r="D15" i="17" s="1"/>
  <c r="D6" i="17" s="1"/>
  <c r="C32" i="16"/>
  <c r="C23" i="16"/>
  <c r="C22" i="16"/>
  <c r="C18" i="15"/>
  <c r="D9" i="15" s="1"/>
  <c r="D6" i="15" s="1"/>
  <c r="C17" i="15"/>
  <c r="C17" i="13"/>
  <c r="D9" i="13" s="1" a="1"/>
  <c r="D9" i="13" s="1"/>
  <c r="D6" i="13" s="1"/>
  <c r="C16" i="13"/>
  <c r="C15" i="13"/>
  <c r="C33" i="12"/>
  <c r="D16" i="12" s="1" a="1"/>
  <c r="D16" i="12" s="1"/>
  <c r="D8" i="12" s="1"/>
  <c r="C32" i="12"/>
  <c r="C27" i="12"/>
  <c r="C24" i="12"/>
  <c r="D12" i="12" s="1" a="1"/>
  <c r="D12" i="12" s="1"/>
  <c r="D6" i="12" s="1"/>
  <c r="C15" i="11"/>
  <c r="D9" i="11" s="1" a="1"/>
  <c r="D9" i="11" s="1"/>
  <c r="D6" i="11" s="1"/>
  <c r="C162" i="18"/>
  <c r="C156" i="18"/>
  <c r="C155" i="18"/>
  <c r="C157" i="18" s="1"/>
  <c r="C148" i="18"/>
  <c r="C139" i="18"/>
  <c r="C136" i="18"/>
  <c r="C133" i="18"/>
  <c r="C130" i="18"/>
  <c r="C126" i="18"/>
  <c r="C119" i="18"/>
  <c r="C114" i="18"/>
  <c r="C110" i="18"/>
  <c r="C168" i="18" s="1"/>
  <c r="C104" i="18"/>
  <c r="C91" i="18"/>
  <c r="C85" i="18"/>
  <c r="C78" i="18"/>
  <c r="C167" i="18" s="1"/>
  <c r="C59" i="18"/>
  <c r="C54" i="18"/>
  <c r="C48" i="18"/>
  <c r="C44" i="18"/>
  <c r="C33" i="18"/>
  <c r="C27" i="18"/>
  <c r="C165" i="18" s="1"/>
  <c r="G12" i="17"/>
  <c r="F12" i="17"/>
  <c r="E12" i="17"/>
  <c r="C12" i="17"/>
  <c r="G11" i="17"/>
  <c r="F11" i="17"/>
  <c r="E11" i="17"/>
  <c r="C11" i="17"/>
  <c r="G10" i="17"/>
  <c r="F10" i="17"/>
  <c r="E10" i="17"/>
  <c r="C10" i="17"/>
  <c r="G9" i="17"/>
  <c r="F9" i="17"/>
  <c r="E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C6" i="17"/>
  <c r="G8" i="16"/>
  <c r="F8" i="16"/>
  <c r="E8" i="16"/>
  <c r="C8" i="16"/>
  <c r="G7" i="16"/>
  <c r="F7" i="16"/>
  <c r="E7" i="16"/>
  <c r="C7" i="16"/>
  <c r="G6" i="16"/>
  <c r="F6" i="16"/>
  <c r="E6" i="16"/>
  <c r="C6" i="16"/>
  <c r="G6" i="15"/>
  <c r="F6" i="15"/>
  <c r="E6" i="15"/>
  <c r="C6" i="15"/>
  <c r="G9" i="14"/>
  <c r="F9" i="14"/>
  <c r="E9" i="14"/>
  <c r="C9" i="14"/>
  <c r="G8" i="14"/>
  <c r="F8" i="14"/>
  <c r="E8" i="14"/>
  <c r="C8" i="14"/>
  <c r="G7" i="14"/>
  <c r="F7" i="14"/>
  <c r="E7" i="14"/>
  <c r="C7" i="14"/>
  <c r="G6" i="14"/>
  <c r="F6" i="14"/>
  <c r="E6" i="14"/>
  <c r="D6" i="14"/>
  <c r="C6" i="14"/>
  <c r="G6" i="13"/>
  <c r="F6" i="13"/>
  <c r="E6" i="13"/>
  <c r="C6" i="13"/>
  <c r="G9" i="12"/>
  <c r="F9" i="12"/>
  <c r="E9" i="12"/>
  <c r="C9" i="12"/>
  <c r="G8" i="12"/>
  <c r="F8" i="12"/>
  <c r="E8" i="12"/>
  <c r="C8" i="12"/>
  <c r="G7" i="12"/>
  <c r="F7" i="12"/>
  <c r="E7" i="12"/>
  <c r="C7" i="12"/>
  <c r="G6" i="12"/>
  <c r="F6" i="12"/>
  <c r="E6" i="12"/>
  <c r="C6" i="12"/>
  <c r="G6" i="11"/>
  <c r="F6" i="11"/>
  <c r="E6" i="11"/>
  <c r="C6" i="11"/>
  <c r="G7" i="10"/>
  <c r="F7" i="10"/>
  <c r="E7" i="10"/>
  <c r="C7" i="10"/>
  <c r="G6" i="10"/>
  <c r="F6" i="10"/>
  <c r="E6" i="10"/>
  <c r="C6" i="10"/>
  <c r="D26" i="17" a="1"/>
  <c r="D26" i="17" s="1"/>
  <c r="D12" i="17" s="1"/>
  <c r="D24" i="17" a="1"/>
  <c r="D24" i="17" s="1"/>
  <c r="D11" i="17" s="1"/>
  <c r="D20" i="17" a="1"/>
  <c r="D20" i="17" s="1"/>
  <c r="D9" i="17" s="1"/>
  <c r="D13" i="16" a="1"/>
  <c r="D13" i="16" s="1"/>
  <c r="D7" i="16" s="1"/>
  <c r="D16" i="14" a="1"/>
  <c r="D16" i="14" s="1"/>
  <c r="D9" i="14" s="1"/>
  <c r="D15" i="14" a="1"/>
  <c r="D15" i="14" s="1"/>
  <c r="D8" i="14" s="1"/>
  <c r="D14" i="14" a="1"/>
  <c r="D14" i="14" s="1"/>
  <c r="D7" i="14" s="1"/>
  <c r="D12" i="14" a="1"/>
  <c r="D12" i="14" s="1"/>
  <c r="D14" i="12" a="1"/>
  <c r="D14" i="12" s="1"/>
  <c r="D7" i="12" s="1"/>
  <c r="D12" i="10" a="1"/>
  <c r="D12" i="10" s="1"/>
  <c r="D7" i="10" s="1"/>
  <c r="D42" i="6"/>
  <c r="D41" i="6"/>
  <c r="Q12" i="1"/>
  <c r="Q13" i="1"/>
  <c r="Q14" i="1"/>
  <c r="Q17" i="1"/>
  <c r="Q18" i="1"/>
  <c r="Q19" i="1"/>
  <c r="Q22" i="1"/>
  <c r="Q23" i="1"/>
  <c r="Q24" i="1"/>
  <c r="Q25" i="1"/>
  <c r="Q28" i="1"/>
  <c r="Q29" i="1"/>
  <c r="Q30" i="1"/>
  <c r="Q31" i="1"/>
  <c r="Q32" i="1"/>
  <c r="Q33" i="1"/>
  <c r="Q36" i="1"/>
  <c r="Q37" i="1"/>
  <c r="Q38" i="1"/>
  <c r="Q39" i="1"/>
  <c r="Q40" i="1"/>
  <c r="Q41" i="1"/>
  <c r="Q42" i="1"/>
  <c r="Q45" i="1"/>
  <c r="Q46" i="1"/>
  <c r="Q47" i="1"/>
  <c r="Q48" i="1"/>
  <c r="Q51" i="1"/>
  <c r="Q52" i="1"/>
  <c r="Q53" i="1"/>
  <c r="Q54" i="1"/>
  <c r="Q55" i="1"/>
  <c r="Q56" i="1"/>
  <c r="Q57" i="1"/>
  <c r="Q58" i="1"/>
  <c r="Q59" i="1"/>
  <c r="Q62" i="1"/>
  <c r="Q63" i="1"/>
  <c r="Q64" i="1"/>
  <c r="F13" i="6" s="1" a="1"/>
  <c r="F13" i="6" s="1"/>
  <c r="Q65" i="1"/>
  <c r="D13" i="6" s="1" a="1"/>
  <c r="D13" i="6" s="1"/>
  <c r="E13" i="6" s="1"/>
  <c r="G13" i="6" s="1"/>
  <c r="Q66" i="1"/>
  <c r="Q69" i="1"/>
  <c r="F14" i="6" s="1" a="1"/>
  <c r="F14" i="6" s="1"/>
  <c r="Q70" i="1"/>
  <c r="Q71" i="1"/>
  <c r="Q72" i="1"/>
  <c r="Q75" i="1"/>
  <c r="Q76" i="1"/>
  <c r="Q77" i="1"/>
  <c r="Q80" i="1"/>
  <c r="Q81" i="1"/>
  <c r="Q84" i="1"/>
  <c r="Q85" i="1"/>
  <c r="Q86" i="1"/>
  <c r="Q87" i="1"/>
  <c r="Q88" i="1"/>
  <c r="Q91" i="1"/>
  <c r="Q92" i="1"/>
  <c r="Q93" i="1"/>
  <c r="Q96" i="1"/>
  <c r="Q97" i="1"/>
  <c r="Q98" i="1"/>
  <c r="Q99" i="1"/>
  <c r="Q100" i="1"/>
  <c r="Q103" i="1"/>
  <c r="Q104" i="1"/>
  <c r="Q107" i="1"/>
  <c r="Q108" i="1"/>
  <c r="Q111" i="1"/>
  <c r="Q112" i="1"/>
  <c r="Q115" i="1"/>
  <c r="Q116" i="1"/>
  <c r="Q117" i="1"/>
  <c r="Q120" i="1"/>
  <c r="Q121" i="1"/>
  <c r="F24" i="6" s="1" a="1"/>
  <c r="F24" i="6" s="1"/>
  <c r="Q122" i="1"/>
  <c r="Q123" i="1"/>
  <c r="Q124" i="1"/>
  <c r="Q125" i="1"/>
  <c r="Q128" i="1"/>
  <c r="Q129" i="1"/>
  <c r="Q130" i="1"/>
  <c r="Q131" i="1"/>
  <c r="Q134" i="1"/>
  <c r="Q135" i="1"/>
  <c r="Q136" i="1"/>
  <c r="Q137" i="1"/>
  <c r="Q140" i="1"/>
  <c r="Q141" i="1"/>
  <c r="Q144" i="1"/>
  <c r="Q145" i="1"/>
  <c r="Q148" i="1"/>
  <c r="Q149" i="1"/>
  <c r="Q150" i="1"/>
  <c r="Q151" i="1"/>
  <c r="Q152" i="1"/>
  <c r="Q153" i="1"/>
  <c r="Q156" i="1"/>
  <c r="Q157" i="1"/>
  <c r="Q158" i="1"/>
  <c r="Q159" i="1"/>
  <c r="Q162" i="1"/>
  <c r="Q163" i="1"/>
  <c r="Q164" i="1"/>
  <c r="Q165" i="1"/>
  <c r="Q168" i="1"/>
  <c r="Q169" i="1"/>
  <c r="F32" i="6" s="1" a="1"/>
  <c r="F32" i="6" s="1"/>
  <c r="Q172" i="1"/>
  <c r="Q173" i="1"/>
  <c r="Q174" i="1"/>
  <c r="Q175" i="1"/>
  <c r="Q178" i="1"/>
  <c r="Q179" i="1"/>
  <c r="Q180" i="1"/>
  <c r="Q183" i="1"/>
  <c r="Q184" i="1"/>
  <c r="P12" i="1"/>
  <c r="P13" i="1"/>
  <c r="P14" i="1"/>
  <c r="D6" i="6" s="1" a="1"/>
  <c r="D6" i="6" s="1"/>
  <c r="E6" i="6" s="1"/>
  <c r="P17" i="1"/>
  <c r="P18" i="1"/>
  <c r="P19" i="1"/>
  <c r="P22" i="1"/>
  <c r="P23" i="1"/>
  <c r="P24" i="1"/>
  <c r="P25" i="1"/>
  <c r="P28" i="1"/>
  <c r="D9" i="6" s="1" a="1"/>
  <c r="D9" i="6" s="1"/>
  <c r="E9" i="6" s="1"/>
  <c r="P29" i="1"/>
  <c r="P30" i="1"/>
  <c r="P31" i="1"/>
  <c r="P32" i="1"/>
  <c r="P33" i="1"/>
  <c r="P36" i="1"/>
  <c r="P37" i="1"/>
  <c r="P38" i="1"/>
  <c r="P39" i="1"/>
  <c r="P40" i="1"/>
  <c r="P41" i="1"/>
  <c r="P42" i="1"/>
  <c r="P45" i="1"/>
  <c r="P46" i="1"/>
  <c r="P47" i="1"/>
  <c r="P48" i="1"/>
  <c r="P51" i="1"/>
  <c r="P52" i="1"/>
  <c r="P53" i="1"/>
  <c r="P54" i="1"/>
  <c r="P55" i="1"/>
  <c r="P56" i="1"/>
  <c r="P57" i="1"/>
  <c r="P58" i="1"/>
  <c r="P59" i="1"/>
  <c r="P62" i="1"/>
  <c r="P63" i="1"/>
  <c r="P64" i="1"/>
  <c r="P65" i="1"/>
  <c r="P66" i="1"/>
  <c r="P69" i="1"/>
  <c r="D14" i="6" s="1" a="1"/>
  <c r="D14" i="6" s="1"/>
  <c r="E14" i="6" s="1"/>
  <c r="P70" i="1"/>
  <c r="P71" i="1"/>
  <c r="P72" i="1"/>
  <c r="P75" i="1"/>
  <c r="P76" i="1"/>
  <c r="P77" i="1"/>
  <c r="P80" i="1"/>
  <c r="P81" i="1"/>
  <c r="P84" i="1"/>
  <c r="P85" i="1"/>
  <c r="P86" i="1"/>
  <c r="P87" i="1"/>
  <c r="P88" i="1"/>
  <c r="P91" i="1"/>
  <c r="P92" i="1"/>
  <c r="P93" i="1"/>
  <c r="P96" i="1"/>
  <c r="P97" i="1"/>
  <c r="P98" i="1"/>
  <c r="P99" i="1"/>
  <c r="P100" i="1"/>
  <c r="P103" i="1"/>
  <c r="P104" i="1"/>
  <c r="P107" i="1"/>
  <c r="P108" i="1"/>
  <c r="F21" i="6" s="1" a="1"/>
  <c r="F21" i="6" s="1"/>
  <c r="P111" i="1"/>
  <c r="P112" i="1"/>
  <c r="P115" i="1"/>
  <c r="P116" i="1"/>
  <c r="P117" i="1"/>
  <c r="P120" i="1"/>
  <c r="P121" i="1"/>
  <c r="D24" i="6" s="1" a="1"/>
  <c r="D24" i="6" s="1"/>
  <c r="E24" i="6" s="1"/>
  <c r="P122" i="1"/>
  <c r="P123" i="1"/>
  <c r="P124" i="1"/>
  <c r="P125" i="1"/>
  <c r="P128" i="1"/>
  <c r="P129" i="1"/>
  <c r="P130" i="1"/>
  <c r="P131" i="1"/>
  <c r="P134" i="1"/>
  <c r="P135" i="1"/>
  <c r="P136" i="1"/>
  <c r="P137" i="1"/>
  <c r="P140" i="1"/>
  <c r="P141" i="1"/>
  <c r="P144" i="1"/>
  <c r="P145" i="1"/>
  <c r="P148" i="1"/>
  <c r="P149" i="1"/>
  <c r="P150" i="1"/>
  <c r="P151" i="1"/>
  <c r="P152" i="1"/>
  <c r="P153" i="1"/>
  <c r="P156" i="1"/>
  <c r="P157" i="1"/>
  <c r="P158" i="1"/>
  <c r="P159" i="1"/>
  <c r="P162" i="1"/>
  <c r="P163" i="1"/>
  <c r="P164" i="1"/>
  <c r="F31" i="6" s="1" a="1"/>
  <c r="F31" i="6" s="1"/>
  <c r="P165" i="1"/>
  <c r="P168" i="1"/>
  <c r="P169" i="1"/>
  <c r="P172" i="1"/>
  <c r="F33" i="6" s="1" a="1"/>
  <c r="F33" i="6" s="1"/>
  <c r="P173" i="1"/>
  <c r="P174" i="1"/>
  <c r="P175" i="1"/>
  <c r="P178" i="1"/>
  <c r="P179" i="1"/>
  <c r="P180" i="1"/>
  <c r="P183" i="1"/>
  <c r="P184" i="1"/>
  <c r="K143" i="6"/>
  <c r="B41" i="6"/>
  <c r="B40" i="6"/>
  <c r="K142" i="6" s="1"/>
  <c r="C36" i="6"/>
  <c r="C35" i="6"/>
  <c r="C34" i="6"/>
  <c r="C33" i="6"/>
  <c r="C32" i="6"/>
  <c r="D31" i="6" a="1"/>
  <c r="D31" i="6" s="1"/>
  <c r="E31" i="6" s="1"/>
  <c r="C31" i="6"/>
  <c r="F30" i="6" a="1"/>
  <c r="F30" i="6"/>
  <c r="D30" i="6" a="1"/>
  <c r="D30" i="6" s="1"/>
  <c r="E30" i="6" s="1"/>
  <c r="G30" i="6" s="1"/>
  <c r="C30" i="6"/>
  <c r="C29" i="6"/>
  <c r="C28" i="6"/>
  <c r="C27" i="6"/>
  <c r="C26" i="6"/>
  <c r="C25" i="6"/>
  <c r="C24" i="6"/>
  <c r="F23" i="6" a="1"/>
  <c r="F23" i="6"/>
  <c r="D23" i="6" a="1"/>
  <c r="D23" i="6"/>
  <c r="E23" i="6" s="1"/>
  <c r="G23" i="6" s="1"/>
  <c r="C23" i="6"/>
  <c r="F22" i="6" a="1"/>
  <c r="F22" i="6"/>
  <c r="D22" i="6" a="1"/>
  <c r="D22" i="6" s="1"/>
  <c r="E22" i="6" s="1"/>
  <c r="G22" i="6" s="1"/>
  <c r="C22" i="6"/>
  <c r="D21" i="6" a="1"/>
  <c r="D21" i="6" s="1"/>
  <c r="E21" i="6" s="1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F8" i="6" a="1"/>
  <c r="F8" i="6" s="1"/>
  <c r="D8" i="6" a="1"/>
  <c r="D8" i="6" s="1"/>
  <c r="E8" i="6" s="1"/>
  <c r="G8" i="6" s="1"/>
  <c r="C8" i="6"/>
  <c r="F7" i="6" a="1"/>
  <c r="F7" i="6"/>
  <c r="D7" i="6" a="1"/>
  <c r="D7" i="6"/>
  <c r="E7" i="6" s="1"/>
  <c r="G7" i="6" s="1"/>
  <c r="C7" i="6"/>
  <c r="F6" i="6" a="1"/>
  <c r="F6" i="6" s="1"/>
  <c r="C6" i="6"/>
  <c r="M185" i="1"/>
  <c r="M181" i="1"/>
  <c r="M176" i="1"/>
  <c r="M170" i="1"/>
  <c r="M166" i="1"/>
  <c r="M160" i="1"/>
  <c r="M154" i="1"/>
  <c r="M146" i="1"/>
  <c r="M142" i="1"/>
  <c r="M138" i="1"/>
  <c r="M132" i="1"/>
  <c r="M126" i="1"/>
  <c r="M118" i="1"/>
  <c r="M113" i="1"/>
  <c r="M109" i="1"/>
  <c r="M105" i="1"/>
  <c r="M101" i="1"/>
  <c r="M94" i="1"/>
  <c r="M89" i="1"/>
  <c r="M82" i="1"/>
  <c r="M78" i="1"/>
  <c r="M73" i="1"/>
  <c r="M67" i="1"/>
  <c r="M60" i="1"/>
  <c r="M49" i="1"/>
  <c r="M43" i="1"/>
  <c r="M34" i="1"/>
  <c r="M26" i="1"/>
  <c r="M20" i="1"/>
  <c r="M15" i="1"/>
  <c r="E44" i="4"/>
  <c r="E42" i="4"/>
  <c r="E41" i="4"/>
  <c r="C166" i="18" l="1"/>
  <c r="C169" i="18" s="1"/>
  <c r="C170" i="18" s="1"/>
  <c r="D22" i="17" a="1"/>
  <c r="D22" i="17" s="1"/>
  <c r="D10" i="17" s="1"/>
  <c r="D15" i="16"/>
  <c r="D8" i="16" s="1"/>
  <c r="D18" i="17" a="1"/>
  <c r="D18" i="17" s="1"/>
  <c r="D18" i="12" a="1"/>
  <c r="D18" i="12" s="1"/>
  <c r="D9" i="12" s="1"/>
  <c r="D11" i="16" a="1"/>
  <c r="D11" i="16" s="1"/>
  <c r="D6" i="16" s="1"/>
  <c r="L6" i="6"/>
  <c r="L9" i="6"/>
  <c r="K149" i="6"/>
  <c r="K118" i="6"/>
  <c r="K153" i="6"/>
  <c r="K157" i="6"/>
  <c r="K146" i="6"/>
  <c r="L10" i="6"/>
  <c r="K121" i="6"/>
  <c r="K122" i="6"/>
  <c r="K124" i="6"/>
  <c r="K125" i="6"/>
  <c r="K163" i="6"/>
  <c r="K144" i="6"/>
  <c r="K117" i="6"/>
  <c r="K158" i="6"/>
  <c r="K136" i="6"/>
  <c r="N7" i="6"/>
  <c r="L7" i="6"/>
  <c r="K150" i="6"/>
  <c r="K151" i="6"/>
  <c r="K120" i="6"/>
  <c r="K123" i="6"/>
  <c r="K156" i="6"/>
  <c r="K126" i="6"/>
  <c r="K159" i="6"/>
  <c r="K160" i="6"/>
  <c r="K129" i="6"/>
  <c r="K132" i="6"/>
  <c r="K133" i="6"/>
  <c r="K134" i="6"/>
  <c r="K135" i="6"/>
  <c r="K139" i="6"/>
  <c r="K147" i="6"/>
  <c r="K148" i="6"/>
  <c r="K152" i="6"/>
  <c r="K140" i="6"/>
  <c r="K154" i="6"/>
  <c r="K155" i="6"/>
  <c r="K128" i="6"/>
  <c r="K162" i="6"/>
  <c r="K141" i="6"/>
  <c r="K145" i="6"/>
  <c r="L8" i="6"/>
  <c r="K119" i="6"/>
  <c r="K127" i="6"/>
  <c r="K161" i="6"/>
  <c r="K130" i="6"/>
  <c r="K131" i="6"/>
  <c r="K164" i="6"/>
  <c r="K165" i="6"/>
  <c r="K166" i="6"/>
  <c r="N6" i="6"/>
  <c r="K137" i="6"/>
  <c r="K138" i="6"/>
  <c r="G6" i="6"/>
  <c r="D32" i="6" a="1"/>
  <c r="D32" i="6" s="1"/>
  <c r="E32" i="6" s="1"/>
  <c r="D34" i="6" a="1"/>
  <c r="D34" i="6" s="1"/>
  <c r="E34" i="6" s="1"/>
  <c r="F17" i="6" a="1"/>
  <c r="F17" i="6" s="1"/>
  <c r="G32" i="6"/>
  <c r="D33" i="6" a="1"/>
  <c r="D33" i="6" s="1"/>
  <c r="E33" i="6" s="1"/>
  <c r="F27" i="6" a="1"/>
  <c r="F27" i="6" s="1"/>
  <c r="D17" i="6" a="1"/>
  <c r="D17" i="6" s="1"/>
  <c r="E17" i="6" s="1"/>
  <c r="G17" i="6" s="1"/>
  <c r="F35" i="6" a="1"/>
  <c r="F35" i="6" s="1"/>
  <c r="D12" i="6" a="1"/>
  <c r="D12" i="6" s="1"/>
  <c r="E12" i="6" s="1"/>
  <c r="G12" i="6" s="1"/>
  <c r="F34" i="6" a="1"/>
  <c r="F34" i="6" s="1"/>
  <c r="G21" i="6"/>
  <c r="G24" i="6"/>
  <c r="F28" i="6" a="1"/>
  <c r="F28" i="6" s="1"/>
  <c r="G34" i="6"/>
  <c r="D29" i="6" a="1"/>
  <c r="D29" i="6" s="1"/>
  <c r="E29" i="6" s="1"/>
  <c r="G33" i="6"/>
  <c r="F20" i="6" a="1"/>
  <c r="F20" i="6" s="1"/>
  <c r="F18" i="6" a="1"/>
  <c r="F18" i="6" s="1"/>
  <c r="F26" i="6" a="1"/>
  <c r="F26" i="6" s="1"/>
  <c r="F16" i="6" a="1"/>
  <c r="F16" i="6" s="1"/>
  <c r="F25" i="6" a="1"/>
  <c r="F25" i="6" s="1"/>
  <c r="G31" i="6"/>
  <c r="F12" i="6" a="1"/>
  <c r="F12" i="6" s="1"/>
  <c r="D28" i="6" a="1"/>
  <c r="D28" i="6" s="1"/>
  <c r="E28" i="6" s="1"/>
  <c r="G28" i="6" s="1"/>
  <c r="D18" i="6" a="1"/>
  <c r="D18" i="6" s="1"/>
  <c r="E18" i="6" s="1"/>
  <c r="G18" i="6" s="1"/>
  <c r="F11" i="6" a="1"/>
  <c r="F11" i="6" s="1"/>
  <c r="D35" i="6" a="1"/>
  <c r="D35" i="6" s="1"/>
  <c r="E35" i="6" s="1"/>
  <c r="G35" i="6" s="1"/>
  <c r="D25" i="6" a="1"/>
  <c r="D25" i="6" s="1"/>
  <c r="E25" i="6" s="1"/>
  <c r="G25" i="6" s="1"/>
  <c r="D27" i="6" a="1"/>
  <c r="D27" i="6" s="1"/>
  <c r="E27" i="6" s="1"/>
  <c r="G27" i="6" s="1"/>
  <c r="F19" i="6" a="1"/>
  <c r="F19" i="6" s="1"/>
  <c r="F10" i="6" a="1"/>
  <c r="F10" i="6" s="1"/>
  <c r="F15" i="6" a="1"/>
  <c r="F15" i="6" s="1"/>
  <c r="F9" i="6" a="1"/>
  <c r="F9" i="6" s="1"/>
  <c r="G14" i="6"/>
  <c r="D19" i="6" a="1"/>
  <c r="D19" i="6" s="1"/>
  <c r="E19" i="6" s="1"/>
  <c r="F29" i="6" a="1"/>
  <c r="F29" i="6" s="1"/>
  <c r="D20" i="6" a="1"/>
  <c r="D20" i="6" s="1"/>
  <c r="E20" i="6" s="1"/>
  <c r="D16" i="6" a="1"/>
  <c r="D16" i="6" s="1"/>
  <c r="E16" i="6" s="1"/>
  <c r="D11" i="6" a="1"/>
  <c r="D11" i="6" s="1"/>
  <c r="E11" i="6" s="1"/>
  <c r="D26" i="6" a="1"/>
  <c r="D26" i="6" s="1"/>
  <c r="E26" i="6" s="1"/>
  <c r="D15" i="6" a="1"/>
  <c r="D15" i="6" s="1"/>
  <c r="E15" i="6" s="1"/>
  <c r="D10" i="6" a="1"/>
  <c r="D10" i="6" s="1"/>
  <c r="E10" i="6" s="1"/>
  <c r="C92" i="3"/>
  <c r="A85" i="3"/>
  <c r="B85" i="3"/>
  <c r="D85" i="3"/>
  <c r="E85" i="3"/>
  <c r="F85" i="3"/>
  <c r="G85" i="3"/>
  <c r="H85" i="3"/>
  <c r="I85" i="3"/>
  <c r="J85" i="3"/>
  <c r="L85" i="3"/>
  <c r="M85" i="3"/>
  <c r="N85" i="3"/>
  <c r="R85" i="3"/>
  <c r="A86" i="3"/>
  <c r="B86" i="3"/>
  <c r="C86" i="3"/>
  <c r="D86" i="3"/>
  <c r="E86" i="3"/>
  <c r="F86" i="3"/>
  <c r="G86" i="3"/>
  <c r="H86" i="3"/>
  <c r="I86" i="3"/>
  <c r="J86" i="3"/>
  <c r="L86" i="3"/>
  <c r="M86" i="3"/>
  <c r="N86" i="3"/>
  <c r="R86" i="3"/>
  <c r="A87" i="3"/>
  <c r="B87" i="3"/>
  <c r="C87" i="3"/>
  <c r="D87" i="3"/>
  <c r="E87" i="3"/>
  <c r="F87" i="3"/>
  <c r="G87" i="3"/>
  <c r="H87" i="3"/>
  <c r="I87" i="3"/>
  <c r="J87" i="3"/>
  <c r="L87" i="3"/>
  <c r="M87" i="3"/>
  <c r="N87" i="3"/>
  <c r="R87" i="3"/>
  <c r="A88" i="3"/>
  <c r="B88" i="3"/>
  <c r="C88" i="3"/>
  <c r="D88" i="3"/>
  <c r="E88" i="3"/>
  <c r="F88" i="3"/>
  <c r="G88" i="3"/>
  <c r="H88" i="3"/>
  <c r="I88" i="3"/>
  <c r="J88" i="3"/>
  <c r="L88" i="3"/>
  <c r="M88" i="3"/>
  <c r="N88" i="3"/>
  <c r="R88" i="3"/>
  <c r="A89" i="3"/>
  <c r="B89" i="3"/>
  <c r="C89" i="3"/>
  <c r="D89" i="3"/>
  <c r="E89" i="3"/>
  <c r="F89" i="3"/>
  <c r="G89" i="3"/>
  <c r="H89" i="3"/>
  <c r="I89" i="3"/>
  <c r="J89" i="3"/>
  <c r="L89" i="3"/>
  <c r="M89" i="3"/>
  <c r="N89" i="3"/>
  <c r="R89" i="3"/>
  <c r="A90" i="3"/>
  <c r="B90" i="3"/>
  <c r="C90" i="3"/>
  <c r="D90" i="3"/>
  <c r="E90" i="3"/>
  <c r="F90" i="3"/>
  <c r="G90" i="3"/>
  <c r="H90" i="3"/>
  <c r="I90" i="3"/>
  <c r="J90" i="3"/>
  <c r="L90" i="3"/>
  <c r="M90" i="3"/>
  <c r="N90" i="3"/>
  <c r="R90" i="3"/>
  <c r="A91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R91" i="3"/>
  <c r="A92" i="3"/>
  <c r="B92" i="3"/>
  <c r="D92" i="3"/>
  <c r="E92" i="3"/>
  <c r="F92" i="3"/>
  <c r="G92" i="3"/>
  <c r="H92" i="3"/>
  <c r="I92" i="3"/>
  <c r="J92" i="3"/>
  <c r="L92" i="3"/>
  <c r="M92" i="3"/>
  <c r="N92" i="3"/>
  <c r="R92" i="3"/>
  <c r="A93" i="3"/>
  <c r="B93" i="3"/>
  <c r="C93" i="3"/>
  <c r="D93" i="3"/>
  <c r="E93" i="3"/>
  <c r="F93" i="3"/>
  <c r="G93" i="3"/>
  <c r="H93" i="3"/>
  <c r="I93" i="3"/>
  <c r="J93" i="3"/>
  <c r="L93" i="3"/>
  <c r="M93" i="3"/>
  <c r="N93" i="3"/>
  <c r="R93" i="3"/>
  <c r="A94" i="3"/>
  <c r="B94" i="3"/>
  <c r="C94" i="3"/>
  <c r="D94" i="3"/>
  <c r="E94" i="3"/>
  <c r="F94" i="3"/>
  <c r="G94" i="3"/>
  <c r="H94" i="3"/>
  <c r="I94" i="3"/>
  <c r="J94" i="3"/>
  <c r="L94" i="3"/>
  <c r="M94" i="3"/>
  <c r="N94" i="3"/>
  <c r="R94" i="3"/>
  <c r="A95" i="3"/>
  <c r="B95" i="3"/>
  <c r="C95" i="3"/>
  <c r="D95" i="3"/>
  <c r="E95" i="3"/>
  <c r="F95" i="3"/>
  <c r="G95" i="3"/>
  <c r="H95" i="3"/>
  <c r="I95" i="3"/>
  <c r="J95" i="3"/>
  <c r="L95" i="3"/>
  <c r="M95" i="3"/>
  <c r="N95" i="3"/>
  <c r="R95" i="3"/>
  <c r="A96" i="3"/>
  <c r="B96" i="3"/>
  <c r="C96" i="3"/>
  <c r="D96" i="3"/>
  <c r="E96" i="3"/>
  <c r="F96" i="3"/>
  <c r="G96" i="3"/>
  <c r="H96" i="3"/>
  <c r="I96" i="3"/>
  <c r="J96" i="3"/>
  <c r="L96" i="3"/>
  <c r="M96" i="3"/>
  <c r="N96" i="3"/>
  <c r="R96" i="3"/>
  <c r="A97" i="3"/>
  <c r="B97" i="3"/>
  <c r="C97" i="3"/>
  <c r="D97" i="3"/>
  <c r="E97" i="3"/>
  <c r="F97" i="3"/>
  <c r="G97" i="3"/>
  <c r="H97" i="3"/>
  <c r="I97" i="3"/>
  <c r="J97" i="3"/>
  <c r="L97" i="3"/>
  <c r="M97" i="3"/>
  <c r="N97" i="3"/>
  <c r="R97" i="3"/>
  <c r="A98" i="3"/>
  <c r="B98" i="3"/>
  <c r="C98" i="3"/>
  <c r="D98" i="3"/>
  <c r="E98" i="3"/>
  <c r="F98" i="3"/>
  <c r="G98" i="3"/>
  <c r="H98" i="3"/>
  <c r="I98" i="3"/>
  <c r="J98" i="3"/>
  <c r="L98" i="3"/>
  <c r="M98" i="3"/>
  <c r="N98" i="3"/>
  <c r="R98" i="3"/>
  <c r="A99" i="3"/>
  <c r="B99" i="3"/>
  <c r="C99" i="3"/>
  <c r="D99" i="3"/>
  <c r="E99" i="3"/>
  <c r="F99" i="3"/>
  <c r="G99" i="3"/>
  <c r="H99" i="3"/>
  <c r="I99" i="3"/>
  <c r="J99" i="3"/>
  <c r="L99" i="3"/>
  <c r="M99" i="3"/>
  <c r="N99" i="3"/>
  <c r="R99" i="3"/>
  <c r="A100" i="3"/>
  <c r="B100" i="3"/>
  <c r="C100" i="3"/>
  <c r="D100" i="3"/>
  <c r="E100" i="3"/>
  <c r="F100" i="3"/>
  <c r="G100" i="3"/>
  <c r="H100" i="3"/>
  <c r="I100" i="3"/>
  <c r="J100" i="3"/>
  <c r="L100" i="3"/>
  <c r="M100" i="3"/>
  <c r="N100" i="3"/>
  <c r="R100" i="3"/>
  <c r="A101" i="3"/>
  <c r="B101" i="3"/>
  <c r="D101" i="3"/>
  <c r="E101" i="3"/>
  <c r="F101" i="3"/>
  <c r="G101" i="3"/>
  <c r="H101" i="3"/>
  <c r="I101" i="3"/>
  <c r="J101" i="3"/>
  <c r="L101" i="3"/>
  <c r="M101" i="3"/>
  <c r="N101" i="3"/>
  <c r="R101" i="3"/>
  <c r="A102" i="3"/>
  <c r="B102" i="3"/>
  <c r="C102" i="3"/>
  <c r="D102" i="3"/>
  <c r="E102" i="3"/>
  <c r="F102" i="3"/>
  <c r="G102" i="3"/>
  <c r="H102" i="3"/>
  <c r="I102" i="3"/>
  <c r="J102" i="3"/>
  <c r="L102" i="3"/>
  <c r="M102" i="3"/>
  <c r="N102" i="3"/>
  <c r="R102" i="3"/>
  <c r="A103" i="3"/>
  <c r="B103" i="3"/>
  <c r="C103" i="3"/>
  <c r="D103" i="3"/>
  <c r="E103" i="3"/>
  <c r="F103" i="3"/>
  <c r="G103" i="3"/>
  <c r="H103" i="3"/>
  <c r="I103" i="3"/>
  <c r="J103" i="3"/>
  <c r="L103" i="3"/>
  <c r="M103" i="3"/>
  <c r="N103" i="3"/>
  <c r="R103" i="3"/>
  <c r="A104" i="3"/>
  <c r="B104" i="3"/>
  <c r="C104" i="3"/>
  <c r="D104" i="3"/>
  <c r="E104" i="3"/>
  <c r="F104" i="3"/>
  <c r="G104" i="3"/>
  <c r="H104" i="3"/>
  <c r="I104" i="3"/>
  <c r="J104" i="3"/>
  <c r="L104" i="3"/>
  <c r="M104" i="3"/>
  <c r="N104" i="3"/>
  <c r="R104" i="3"/>
  <c r="A105" i="3"/>
  <c r="B105" i="3"/>
  <c r="C105" i="3"/>
  <c r="D105" i="3"/>
  <c r="E105" i="3"/>
  <c r="F105" i="3"/>
  <c r="G105" i="3"/>
  <c r="H105" i="3"/>
  <c r="I105" i="3"/>
  <c r="J105" i="3"/>
  <c r="L105" i="3"/>
  <c r="M105" i="3"/>
  <c r="N105" i="3"/>
  <c r="R105" i="3"/>
  <c r="A106" i="3"/>
  <c r="B106" i="3"/>
  <c r="C106" i="3"/>
  <c r="D106" i="3"/>
  <c r="E106" i="3"/>
  <c r="F106" i="3"/>
  <c r="G106" i="3"/>
  <c r="H106" i="3"/>
  <c r="I106" i="3"/>
  <c r="J106" i="3"/>
  <c r="L106" i="3"/>
  <c r="M106" i="3"/>
  <c r="N106" i="3"/>
  <c r="R106" i="3"/>
  <c r="A107" i="3"/>
  <c r="B107" i="3"/>
  <c r="C107" i="3"/>
  <c r="D107" i="3"/>
  <c r="E107" i="3"/>
  <c r="F107" i="3"/>
  <c r="G107" i="3"/>
  <c r="H107" i="3"/>
  <c r="I107" i="3"/>
  <c r="J107" i="3"/>
  <c r="L107" i="3"/>
  <c r="M107" i="3"/>
  <c r="N107" i="3"/>
  <c r="R107" i="3"/>
  <c r="A108" i="3"/>
  <c r="B108" i="3"/>
  <c r="D108" i="3"/>
  <c r="E108" i="3"/>
  <c r="F108" i="3"/>
  <c r="G108" i="3"/>
  <c r="H108" i="3"/>
  <c r="I108" i="3"/>
  <c r="J108" i="3"/>
  <c r="L108" i="3"/>
  <c r="M108" i="3"/>
  <c r="N108" i="3"/>
  <c r="R108" i="3"/>
  <c r="A109" i="3"/>
  <c r="B109" i="3"/>
  <c r="C109" i="3"/>
  <c r="D109" i="3"/>
  <c r="E109" i="3"/>
  <c r="F109" i="3"/>
  <c r="G109" i="3"/>
  <c r="H109" i="3"/>
  <c r="I109" i="3"/>
  <c r="J109" i="3"/>
  <c r="L109" i="3"/>
  <c r="M109" i="3"/>
  <c r="N109" i="3"/>
  <c r="R109" i="3"/>
  <c r="A110" i="3"/>
  <c r="B110" i="3"/>
  <c r="C110" i="3"/>
  <c r="D110" i="3"/>
  <c r="E110" i="3"/>
  <c r="F110" i="3"/>
  <c r="G110" i="3"/>
  <c r="H110" i="3"/>
  <c r="I110" i="3"/>
  <c r="J110" i="3"/>
  <c r="L110" i="3"/>
  <c r="M110" i="3"/>
  <c r="N110" i="3"/>
  <c r="R110" i="3"/>
  <c r="A111" i="3"/>
  <c r="B111" i="3"/>
  <c r="C111" i="3"/>
  <c r="D111" i="3"/>
  <c r="E111" i="3"/>
  <c r="F111" i="3"/>
  <c r="G111" i="3"/>
  <c r="H111" i="3"/>
  <c r="I111" i="3"/>
  <c r="J111" i="3"/>
  <c r="L111" i="3"/>
  <c r="M111" i="3"/>
  <c r="N111" i="3"/>
  <c r="R111" i="3"/>
  <c r="A112" i="3"/>
  <c r="B112" i="3"/>
  <c r="C112" i="3"/>
  <c r="D112" i="3"/>
  <c r="E112" i="3"/>
  <c r="F112" i="3"/>
  <c r="G112" i="3"/>
  <c r="H112" i="3"/>
  <c r="I112" i="3"/>
  <c r="J112" i="3"/>
  <c r="L112" i="3"/>
  <c r="M112" i="3"/>
  <c r="N112" i="3"/>
  <c r="R112" i="3"/>
  <c r="A113" i="3"/>
  <c r="B113" i="3"/>
  <c r="C113" i="3"/>
  <c r="D113" i="3"/>
  <c r="E113" i="3"/>
  <c r="F113" i="3"/>
  <c r="G113" i="3"/>
  <c r="H113" i="3"/>
  <c r="I113" i="3"/>
  <c r="J113" i="3"/>
  <c r="L113" i="3"/>
  <c r="M113" i="3"/>
  <c r="N113" i="3"/>
  <c r="R113" i="3"/>
  <c r="A114" i="3"/>
  <c r="B114" i="3"/>
  <c r="C114" i="3"/>
  <c r="D114" i="3"/>
  <c r="E114" i="3"/>
  <c r="F114" i="3"/>
  <c r="G114" i="3"/>
  <c r="H114" i="3"/>
  <c r="I114" i="3"/>
  <c r="J114" i="3"/>
  <c r="L114" i="3"/>
  <c r="M114" i="3"/>
  <c r="N114" i="3"/>
  <c r="R114" i="3"/>
  <c r="A115" i="3"/>
  <c r="B115" i="3"/>
  <c r="C115" i="3"/>
  <c r="D115" i="3"/>
  <c r="E115" i="3"/>
  <c r="F115" i="3"/>
  <c r="G115" i="3"/>
  <c r="H115" i="3"/>
  <c r="I115" i="3"/>
  <c r="J115" i="3"/>
  <c r="L115" i="3"/>
  <c r="M115" i="3"/>
  <c r="N115" i="3"/>
  <c r="R115" i="3"/>
  <c r="A116" i="3"/>
  <c r="B116" i="3"/>
  <c r="C116" i="3"/>
  <c r="D116" i="3"/>
  <c r="E116" i="3"/>
  <c r="F116" i="3"/>
  <c r="G116" i="3"/>
  <c r="H116" i="3"/>
  <c r="I116" i="3"/>
  <c r="J116" i="3"/>
  <c r="L116" i="3"/>
  <c r="M116" i="3"/>
  <c r="N116" i="3"/>
  <c r="R116" i="3"/>
  <c r="A2" i="3"/>
  <c r="B2" i="3"/>
  <c r="C2" i="3"/>
  <c r="D2" i="3"/>
  <c r="E2" i="3"/>
  <c r="F2" i="3"/>
  <c r="G2" i="3"/>
  <c r="H2" i="3"/>
  <c r="I2" i="3"/>
  <c r="J2" i="3"/>
  <c r="L2" i="3"/>
  <c r="M2" i="3"/>
  <c r="N2" i="3"/>
  <c r="R2" i="3"/>
  <c r="A3" i="3"/>
  <c r="B3" i="3"/>
  <c r="C3" i="3"/>
  <c r="D3" i="3"/>
  <c r="E3" i="3"/>
  <c r="F3" i="3"/>
  <c r="G3" i="3"/>
  <c r="H3" i="3"/>
  <c r="I3" i="3"/>
  <c r="J3" i="3"/>
  <c r="L3" i="3"/>
  <c r="M3" i="3"/>
  <c r="N3" i="3"/>
  <c r="R3" i="3"/>
  <c r="A4" i="3"/>
  <c r="B4" i="3"/>
  <c r="C4" i="3"/>
  <c r="D4" i="3"/>
  <c r="E4" i="3"/>
  <c r="F4" i="3"/>
  <c r="G4" i="3"/>
  <c r="H4" i="3"/>
  <c r="I4" i="3"/>
  <c r="J4" i="3"/>
  <c r="L4" i="3"/>
  <c r="M4" i="3"/>
  <c r="N4" i="3"/>
  <c r="R4" i="3"/>
  <c r="A5" i="3"/>
  <c r="B5" i="3"/>
  <c r="C5" i="3"/>
  <c r="D5" i="3"/>
  <c r="E5" i="3"/>
  <c r="F5" i="3"/>
  <c r="G5" i="3"/>
  <c r="H5" i="3"/>
  <c r="I5" i="3"/>
  <c r="J5" i="3"/>
  <c r="L5" i="3"/>
  <c r="M5" i="3"/>
  <c r="N5" i="3"/>
  <c r="R5" i="3"/>
  <c r="A6" i="3"/>
  <c r="B6" i="3"/>
  <c r="C6" i="3"/>
  <c r="D6" i="3"/>
  <c r="E6" i="3"/>
  <c r="F6" i="3"/>
  <c r="G6" i="3"/>
  <c r="H6" i="3"/>
  <c r="I6" i="3"/>
  <c r="J6" i="3"/>
  <c r="L6" i="3"/>
  <c r="M6" i="3"/>
  <c r="N6" i="3"/>
  <c r="R6" i="3"/>
  <c r="A7" i="3"/>
  <c r="B7" i="3"/>
  <c r="C7" i="3"/>
  <c r="D7" i="3"/>
  <c r="E7" i="3"/>
  <c r="F7" i="3"/>
  <c r="G7" i="3"/>
  <c r="H7" i="3"/>
  <c r="I7" i="3"/>
  <c r="J7" i="3"/>
  <c r="L7" i="3"/>
  <c r="M7" i="3"/>
  <c r="N7" i="3"/>
  <c r="R7" i="3"/>
  <c r="A8" i="3"/>
  <c r="B8" i="3"/>
  <c r="C8" i="3"/>
  <c r="D8" i="3"/>
  <c r="E8" i="3"/>
  <c r="F8" i="3"/>
  <c r="G8" i="3"/>
  <c r="H8" i="3"/>
  <c r="I8" i="3"/>
  <c r="J8" i="3"/>
  <c r="L8" i="3"/>
  <c r="M8" i="3"/>
  <c r="N8" i="3"/>
  <c r="R8" i="3"/>
  <c r="A9" i="3"/>
  <c r="B9" i="3"/>
  <c r="D9" i="3"/>
  <c r="E9" i="3"/>
  <c r="F9" i="3"/>
  <c r="G9" i="3"/>
  <c r="H9" i="3"/>
  <c r="I9" i="3"/>
  <c r="J9" i="3"/>
  <c r="L9" i="3"/>
  <c r="M9" i="3"/>
  <c r="N9" i="3"/>
  <c r="R9" i="3"/>
  <c r="A10" i="3"/>
  <c r="B10" i="3"/>
  <c r="C10" i="3"/>
  <c r="D10" i="3"/>
  <c r="E10" i="3"/>
  <c r="F10" i="3"/>
  <c r="G10" i="3"/>
  <c r="H10" i="3"/>
  <c r="I10" i="3"/>
  <c r="J10" i="3"/>
  <c r="L10" i="3"/>
  <c r="M10" i="3"/>
  <c r="N10" i="3"/>
  <c r="P10" i="3"/>
  <c r="R10" i="3"/>
  <c r="A11" i="3"/>
  <c r="B11" i="3"/>
  <c r="C11" i="3"/>
  <c r="D11" i="3"/>
  <c r="E11" i="3"/>
  <c r="F11" i="3"/>
  <c r="G11" i="3"/>
  <c r="H11" i="3"/>
  <c r="I11" i="3"/>
  <c r="J11" i="3"/>
  <c r="L11" i="3"/>
  <c r="M11" i="3"/>
  <c r="N11" i="3"/>
  <c r="R11" i="3"/>
  <c r="A12" i="3"/>
  <c r="B12" i="3"/>
  <c r="C12" i="3"/>
  <c r="D12" i="3"/>
  <c r="E12" i="3"/>
  <c r="F12" i="3"/>
  <c r="G12" i="3"/>
  <c r="H12" i="3"/>
  <c r="I12" i="3"/>
  <c r="J12" i="3"/>
  <c r="L12" i="3"/>
  <c r="M12" i="3"/>
  <c r="N12" i="3"/>
  <c r="R12" i="3"/>
  <c r="A13" i="3"/>
  <c r="B13" i="3"/>
  <c r="C13" i="3"/>
  <c r="D13" i="3"/>
  <c r="E13" i="3"/>
  <c r="F13" i="3"/>
  <c r="G13" i="3"/>
  <c r="H13" i="3"/>
  <c r="I13" i="3"/>
  <c r="J13" i="3"/>
  <c r="L13" i="3"/>
  <c r="M13" i="3"/>
  <c r="N13" i="3"/>
  <c r="R13" i="3"/>
  <c r="A14" i="3"/>
  <c r="B14" i="3"/>
  <c r="C14" i="3"/>
  <c r="D14" i="3"/>
  <c r="E14" i="3"/>
  <c r="F14" i="3"/>
  <c r="G14" i="3"/>
  <c r="H14" i="3"/>
  <c r="I14" i="3"/>
  <c r="J14" i="3"/>
  <c r="L14" i="3"/>
  <c r="M14" i="3"/>
  <c r="N14" i="3"/>
  <c r="R14" i="3"/>
  <c r="A15" i="3"/>
  <c r="B15" i="3"/>
  <c r="C15" i="3"/>
  <c r="D15" i="3"/>
  <c r="E15" i="3"/>
  <c r="F15" i="3"/>
  <c r="G15" i="3"/>
  <c r="H15" i="3"/>
  <c r="I15" i="3"/>
  <c r="J15" i="3"/>
  <c r="L15" i="3"/>
  <c r="M15" i="3"/>
  <c r="N15" i="3"/>
  <c r="R15" i="3"/>
  <c r="A16" i="3"/>
  <c r="B16" i="3"/>
  <c r="C16" i="3"/>
  <c r="D16" i="3"/>
  <c r="E16" i="3"/>
  <c r="F16" i="3"/>
  <c r="G16" i="3"/>
  <c r="H16" i="3"/>
  <c r="I16" i="3"/>
  <c r="J16" i="3"/>
  <c r="L16" i="3"/>
  <c r="M16" i="3"/>
  <c r="N16" i="3"/>
  <c r="R16" i="3"/>
  <c r="A17" i="3"/>
  <c r="B17" i="3"/>
  <c r="C17" i="3"/>
  <c r="D17" i="3"/>
  <c r="E17" i="3"/>
  <c r="F17" i="3"/>
  <c r="G17" i="3"/>
  <c r="H17" i="3"/>
  <c r="I17" i="3"/>
  <c r="J17" i="3"/>
  <c r="L17" i="3"/>
  <c r="M17" i="3"/>
  <c r="N17" i="3"/>
  <c r="R17" i="3"/>
  <c r="A18" i="3"/>
  <c r="B18" i="3"/>
  <c r="C18" i="3"/>
  <c r="D18" i="3"/>
  <c r="E18" i="3"/>
  <c r="F18" i="3"/>
  <c r="G18" i="3"/>
  <c r="H18" i="3"/>
  <c r="I18" i="3"/>
  <c r="J18" i="3"/>
  <c r="L18" i="3"/>
  <c r="M18" i="3"/>
  <c r="N18" i="3"/>
  <c r="R18" i="3"/>
  <c r="A19" i="3"/>
  <c r="B19" i="3"/>
  <c r="C19" i="3"/>
  <c r="D19" i="3"/>
  <c r="E19" i="3"/>
  <c r="F19" i="3"/>
  <c r="G19" i="3"/>
  <c r="H19" i="3"/>
  <c r="I19" i="3"/>
  <c r="J19" i="3"/>
  <c r="L19" i="3"/>
  <c r="M19" i="3"/>
  <c r="N19" i="3"/>
  <c r="R19" i="3"/>
  <c r="A20" i="3"/>
  <c r="B20" i="3"/>
  <c r="C20" i="3"/>
  <c r="D20" i="3"/>
  <c r="E20" i="3"/>
  <c r="F20" i="3"/>
  <c r="G20" i="3"/>
  <c r="H20" i="3"/>
  <c r="I20" i="3"/>
  <c r="J20" i="3"/>
  <c r="L20" i="3"/>
  <c r="M20" i="3"/>
  <c r="N20" i="3"/>
  <c r="R20" i="3"/>
  <c r="A21" i="3"/>
  <c r="B21" i="3"/>
  <c r="C21" i="3"/>
  <c r="D21" i="3"/>
  <c r="E21" i="3"/>
  <c r="F21" i="3"/>
  <c r="G21" i="3"/>
  <c r="H21" i="3"/>
  <c r="I21" i="3"/>
  <c r="J21" i="3"/>
  <c r="L21" i="3"/>
  <c r="M21" i="3"/>
  <c r="N21" i="3"/>
  <c r="R21" i="3"/>
  <c r="A22" i="3"/>
  <c r="B22" i="3"/>
  <c r="C22" i="3"/>
  <c r="D22" i="3"/>
  <c r="E22" i="3"/>
  <c r="F22" i="3"/>
  <c r="G22" i="3"/>
  <c r="H22" i="3"/>
  <c r="I22" i="3"/>
  <c r="J22" i="3"/>
  <c r="L22" i="3"/>
  <c r="M22" i="3"/>
  <c r="N22" i="3"/>
  <c r="R22" i="3"/>
  <c r="A23" i="3"/>
  <c r="B23" i="3"/>
  <c r="C23" i="3"/>
  <c r="D23" i="3"/>
  <c r="E23" i="3"/>
  <c r="F23" i="3"/>
  <c r="G23" i="3"/>
  <c r="H23" i="3"/>
  <c r="I23" i="3"/>
  <c r="J23" i="3"/>
  <c r="L23" i="3"/>
  <c r="M23" i="3"/>
  <c r="N23" i="3"/>
  <c r="R23" i="3"/>
  <c r="A24" i="3"/>
  <c r="B24" i="3"/>
  <c r="C24" i="3"/>
  <c r="D24" i="3"/>
  <c r="E24" i="3"/>
  <c r="F24" i="3"/>
  <c r="G24" i="3"/>
  <c r="H24" i="3"/>
  <c r="I24" i="3"/>
  <c r="J24" i="3"/>
  <c r="L24" i="3"/>
  <c r="M24" i="3"/>
  <c r="N24" i="3"/>
  <c r="R24" i="3"/>
  <c r="A25" i="3"/>
  <c r="B25" i="3"/>
  <c r="C25" i="3"/>
  <c r="D25" i="3"/>
  <c r="E25" i="3"/>
  <c r="F25" i="3"/>
  <c r="G25" i="3"/>
  <c r="H25" i="3"/>
  <c r="I25" i="3"/>
  <c r="J25" i="3"/>
  <c r="L25" i="3"/>
  <c r="M25" i="3"/>
  <c r="N25" i="3"/>
  <c r="R25" i="3"/>
  <c r="A26" i="3"/>
  <c r="B26" i="3"/>
  <c r="C26" i="3"/>
  <c r="D26" i="3"/>
  <c r="E26" i="3"/>
  <c r="F26" i="3"/>
  <c r="G26" i="3"/>
  <c r="H26" i="3"/>
  <c r="I26" i="3"/>
  <c r="J26" i="3"/>
  <c r="L26" i="3"/>
  <c r="M26" i="3"/>
  <c r="N26" i="3"/>
  <c r="R26" i="3"/>
  <c r="A27" i="3"/>
  <c r="B27" i="3"/>
  <c r="C27" i="3"/>
  <c r="D27" i="3"/>
  <c r="E27" i="3"/>
  <c r="F27" i="3"/>
  <c r="G27" i="3"/>
  <c r="H27" i="3"/>
  <c r="I27" i="3"/>
  <c r="J27" i="3"/>
  <c r="L27" i="3"/>
  <c r="M27" i="3"/>
  <c r="N27" i="3"/>
  <c r="R27" i="3"/>
  <c r="A28" i="3"/>
  <c r="B28" i="3"/>
  <c r="C28" i="3"/>
  <c r="D28" i="3"/>
  <c r="E28" i="3"/>
  <c r="F28" i="3"/>
  <c r="G28" i="3"/>
  <c r="H28" i="3"/>
  <c r="I28" i="3"/>
  <c r="J28" i="3"/>
  <c r="L28" i="3"/>
  <c r="M28" i="3"/>
  <c r="N28" i="3"/>
  <c r="R28" i="3"/>
  <c r="A29" i="3"/>
  <c r="B29" i="3"/>
  <c r="C29" i="3"/>
  <c r="D29" i="3"/>
  <c r="E29" i="3"/>
  <c r="F29" i="3"/>
  <c r="G29" i="3"/>
  <c r="H29" i="3"/>
  <c r="I29" i="3"/>
  <c r="J29" i="3"/>
  <c r="L29" i="3"/>
  <c r="M29" i="3"/>
  <c r="N29" i="3"/>
  <c r="R29" i="3"/>
  <c r="A30" i="3"/>
  <c r="B30" i="3"/>
  <c r="C30" i="3"/>
  <c r="D30" i="3"/>
  <c r="E30" i="3"/>
  <c r="F30" i="3"/>
  <c r="G30" i="3"/>
  <c r="H30" i="3"/>
  <c r="I30" i="3"/>
  <c r="J30" i="3"/>
  <c r="L30" i="3"/>
  <c r="M30" i="3"/>
  <c r="N30" i="3"/>
  <c r="R30" i="3"/>
  <c r="A31" i="3"/>
  <c r="B31" i="3"/>
  <c r="C31" i="3"/>
  <c r="D31" i="3"/>
  <c r="E31" i="3"/>
  <c r="F31" i="3"/>
  <c r="G31" i="3"/>
  <c r="H31" i="3"/>
  <c r="I31" i="3"/>
  <c r="J31" i="3"/>
  <c r="L31" i="3"/>
  <c r="M31" i="3"/>
  <c r="N31" i="3"/>
  <c r="R31" i="3"/>
  <c r="A32" i="3"/>
  <c r="B32" i="3"/>
  <c r="C32" i="3"/>
  <c r="D32" i="3"/>
  <c r="E32" i="3"/>
  <c r="F32" i="3"/>
  <c r="G32" i="3"/>
  <c r="H32" i="3"/>
  <c r="I32" i="3"/>
  <c r="J32" i="3"/>
  <c r="L32" i="3"/>
  <c r="M32" i="3"/>
  <c r="N32" i="3"/>
  <c r="R32" i="3"/>
  <c r="A33" i="3"/>
  <c r="B33" i="3"/>
  <c r="C33" i="3"/>
  <c r="D33" i="3"/>
  <c r="E33" i="3"/>
  <c r="F33" i="3"/>
  <c r="G33" i="3"/>
  <c r="H33" i="3"/>
  <c r="I33" i="3"/>
  <c r="J33" i="3"/>
  <c r="L33" i="3"/>
  <c r="M33" i="3"/>
  <c r="N33" i="3"/>
  <c r="R33" i="3"/>
  <c r="A34" i="3"/>
  <c r="B34" i="3"/>
  <c r="C34" i="3"/>
  <c r="D34" i="3"/>
  <c r="E34" i="3"/>
  <c r="F34" i="3"/>
  <c r="G34" i="3"/>
  <c r="H34" i="3"/>
  <c r="I34" i="3"/>
  <c r="J34" i="3"/>
  <c r="L34" i="3"/>
  <c r="M34" i="3"/>
  <c r="N34" i="3"/>
  <c r="R34" i="3"/>
  <c r="A35" i="3"/>
  <c r="B35" i="3"/>
  <c r="C35" i="3"/>
  <c r="D35" i="3"/>
  <c r="E35" i="3"/>
  <c r="F35" i="3"/>
  <c r="G35" i="3"/>
  <c r="H35" i="3"/>
  <c r="I35" i="3"/>
  <c r="J35" i="3"/>
  <c r="L35" i="3"/>
  <c r="M35" i="3"/>
  <c r="N35" i="3"/>
  <c r="R35" i="3"/>
  <c r="A36" i="3"/>
  <c r="B36" i="3"/>
  <c r="C36" i="3"/>
  <c r="D36" i="3"/>
  <c r="E36" i="3"/>
  <c r="F36" i="3"/>
  <c r="G36" i="3"/>
  <c r="H36" i="3"/>
  <c r="I36" i="3"/>
  <c r="J36" i="3"/>
  <c r="L36" i="3"/>
  <c r="M36" i="3"/>
  <c r="N36" i="3"/>
  <c r="R36" i="3"/>
  <c r="A37" i="3"/>
  <c r="B37" i="3"/>
  <c r="C37" i="3"/>
  <c r="D37" i="3"/>
  <c r="E37" i="3"/>
  <c r="F37" i="3"/>
  <c r="G37" i="3"/>
  <c r="H37" i="3"/>
  <c r="I37" i="3"/>
  <c r="J37" i="3"/>
  <c r="L37" i="3"/>
  <c r="M37" i="3"/>
  <c r="N37" i="3"/>
  <c r="R37" i="3"/>
  <c r="A38" i="3"/>
  <c r="B38" i="3"/>
  <c r="C38" i="3"/>
  <c r="D38" i="3"/>
  <c r="E38" i="3"/>
  <c r="F38" i="3"/>
  <c r="G38" i="3"/>
  <c r="H38" i="3"/>
  <c r="I38" i="3"/>
  <c r="J38" i="3"/>
  <c r="L38" i="3"/>
  <c r="M38" i="3"/>
  <c r="N38" i="3"/>
  <c r="R38" i="3"/>
  <c r="A39" i="3"/>
  <c r="B39" i="3"/>
  <c r="C39" i="3"/>
  <c r="D39" i="3"/>
  <c r="E39" i="3"/>
  <c r="F39" i="3"/>
  <c r="G39" i="3"/>
  <c r="H39" i="3"/>
  <c r="I39" i="3"/>
  <c r="J39" i="3"/>
  <c r="L39" i="3"/>
  <c r="M39" i="3"/>
  <c r="N39" i="3"/>
  <c r="R39" i="3"/>
  <c r="A40" i="3"/>
  <c r="B40" i="3"/>
  <c r="C40" i="3"/>
  <c r="D40" i="3"/>
  <c r="E40" i="3"/>
  <c r="F40" i="3"/>
  <c r="G40" i="3"/>
  <c r="H40" i="3"/>
  <c r="I40" i="3"/>
  <c r="J40" i="3"/>
  <c r="L40" i="3"/>
  <c r="M40" i="3"/>
  <c r="N40" i="3"/>
  <c r="R40" i="3"/>
  <c r="A41" i="3"/>
  <c r="B41" i="3"/>
  <c r="C41" i="3"/>
  <c r="D41" i="3"/>
  <c r="E41" i="3"/>
  <c r="F41" i="3"/>
  <c r="G41" i="3"/>
  <c r="H41" i="3"/>
  <c r="I41" i="3"/>
  <c r="J41" i="3"/>
  <c r="L41" i="3"/>
  <c r="M41" i="3"/>
  <c r="N41" i="3"/>
  <c r="R41" i="3"/>
  <c r="A42" i="3"/>
  <c r="B42" i="3"/>
  <c r="C42" i="3"/>
  <c r="D42" i="3"/>
  <c r="E42" i="3"/>
  <c r="F42" i="3"/>
  <c r="G42" i="3"/>
  <c r="H42" i="3"/>
  <c r="I42" i="3"/>
  <c r="J42" i="3"/>
  <c r="L42" i="3"/>
  <c r="M42" i="3"/>
  <c r="N42" i="3"/>
  <c r="R42" i="3"/>
  <c r="A43" i="3"/>
  <c r="B43" i="3"/>
  <c r="C43" i="3"/>
  <c r="D43" i="3"/>
  <c r="E43" i="3"/>
  <c r="F43" i="3"/>
  <c r="G43" i="3"/>
  <c r="H43" i="3"/>
  <c r="I43" i="3"/>
  <c r="J43" i="3"/>
  <c r="L43" i="3"/>
  <c r="M43" i="3"/>
  <c r="N43" i="3"/>
  <c r="R43" i="3"/>
  <c r="A44" i="3"/>
  <c r="B44" i="3"/>
  <c r="C44" i="3"/>
  <c r="D44" i="3"/>
  <c r="E44" i="3"/>
  <c r="F44" i="3"/>
  <c r="G44" i="3"/>
  <c r="H44" i="3"/>
  <c r="I44" i="3"/>
  <c r="J44" i="3"/>
  <c r="L44" i="3"/>
  <c r="M44" i="3"/>
  <c r="N44" i="3"/>
  <c r="R44" i="3"/>
  <c r="A45" i="3"/>
  <c r="B45" i="3"/>
  <c r="C45" i="3"/>
  <c r="D45" i="3"/>
  <c r="E45" i="3"/>
  <c r="F45" i="3"/>
  <c r="G45" i="3"/>
  <c r="H45" i="3"/>
  <c r="I45" i="3"/>
  <c r="J45" i="3"/>
  <c r="L45" i="3"/>
  <c r="M45" i="3"/>
  <c r="N45" i="3"/>
  <c r="R45" i="3"/>
  <c r="A46" i="3"/>
  <c r="B46" i="3"/>
  <c r="C46" i="3"/>
  <c r="D46" i="3"/>
  <c r="E46" i="3"/>
  <c r="F46" i="3"/>
  <c r="G46" i="3"/>
  <c r="H46" i="3"/>
  <c r="I46" i="3"/>
  <c r="J46" i="3"/>
  <c r="L46" i="3"/>
  <c r="M46" i="3"/>
  <c r="N46" i="3"/>
  <c r="R46" i="3"/>
  <c r="A47" i="3"/>
  <c r="B47" i="3"/>
  <c r="C47" i="3"/>
  <c r="D47" i="3"/>
  <c r="E47" i="3"/>
  <c r="F47" i="3"/>
  <c r="G47" i="3"/>
  <c r="H47" i="3"/>
  <c r="I47" i="3"/>
  <c r="J47" i="3"/>
  <c r="L47" i="3"/>
  <c r="M47" i="3"/>
  <c r="N47" i="3"/>
  <c r="R47" i="3"/>
  <c r="A48" i="3"/>
  <c r="B48" i="3"/>
  <c r="C48" i="3"/>
  <c r="D48" i="3"/>
  <c r="E48" i="3"/>
  <c r="F48" i="3"/>
  <c r="G48" i="3"/>
  <c r="H48" i="3"/>
  <c r="I48" i="3"/>
  <c r="J48" i="3"/>
  <c r="L48" i="3"/>
  <c r="M48" i="3"/>
  <c r="N48" i="3"/>
  <c r="R48" i="3"/>
  <c r="A49" i="3"/>
  <c r="B49" i="3"/>
  <c r="C49" i="3"/>
  <c r="D49" i="3"/>
  <c r="E49" i="3"/>
  <c r="F49" i="3"/>
  <c r="G49" i="3"/>
  <c r="H49" i="3"/>
  <c r="I49" i="3"/>
  <c r="J49" i="3"/>
  <c r="L49" i="3"/>
  <c r="M49" i="3"/>
  <c r="N49" i="3"/>
  <c r="R49" i="3"/>
  <c r="A50" i="3"/>
  <c r="B50" i="3"/>
  <c r="C50" i="3"/>
  <c r="D50" i="3"/>
  <c r="E50" i="3"/>
  <c r="F50" i="3"/>
  <c r="G50" i="3"/>
  <c r="H50" i="3"/>
  <c r="I50" i="3"/>
  <c r="J50" i="3"/>
  <c r="L50" i="3"/>
  <c r="M50" i="3"/>
  <c r="N50" i="3"/>
  <c r="R50" i="3"/>
  <c r="A51" i="3"/>
  <c r="B51" i="3"/>
  <c r="C51" i="3"/>
  <c r="D51" i="3"/>
  <c r="E51" i="3"/>
  <c r="F51" i="3"/>
  <c r="G51" i="3"/>
  <c r="H51" i="3"/>
  <c r="I51" i="3"/>
  <c r="J51" i="3"/>
  <c r="L51" i="3"/>
  <c r="M51" i="3"/>
  <c r="N51" i="3"/>
  <c r="R51" i="3"/>
  <c r="A52" i="3"/>
  <c r="B52" i="3"/>
  <c r="C52" i="3"/>
  <c r="D52" i="3"/>
  <c r="E52" i="3"/>
  <c r="F52" i="3"/>
  <c r="G52" i="3"/>
  <c r="H52" i="3"/>
  <c r="I52" i="3"/>
  <c r="J52" i="3"/>
  <c r="L52" i="3"/>
  <c r="M52" i="3"/>
  <c r="N52" i="3"/>
  <c r="R52" i="3"/>
  <c r="A53" i="3"/>
  <c r="B53" i="3"/>
  <c r="C53" i="3"/>
  <c r="D53" i="3"/>
  <c r="E53" i="3"/>
  <c r="F53" i="3"/>
  <c r="G53" i="3"/>
  <c r="H53" i="3"/>
  <c r="I53" i="3"/>
  <c r="J53" i="3"/>
  <c r="L53" i="3"/>
  <c r="M53" i="3"/>
  <c r="N53" i="3"/>
  <c r="R53" i="3"/>
  <c r="A54" i="3"/>
  <c r="B54" i="3"/>
  <c r="C54" i="3"/>
  <c r="D54" i="3"/>
  <c r="E54" i="3"/>
  <c r="F54" i="3"/>
  <c r="G54" i="3"/>
  <c r="H54" i="3"/>
  <c r="I54" i="3"/>
  <c r="J54" i="3"/>
  <c r="L54" i="3"/>
  <c r="M54" i="3"/>
  <c r="N54" i="3"/>
  <c r="R54" i="3"/>
  <c r="A55" i="3"/>
  <c r="B55" i="3"/>
  <c r="C55" i="3"/>
  <c r="D55" i="3"/>
  <c r="E55" i="3"/>
  <c r="F55" i="3"/>
  <c r="G55" i="3"/>
  <c r="H55" i="3"/>
  <c r="I55" i="3"/>
  <c r="J55" i="3"/>
  <c r="L55" i="3"/>
  <c r="M55" i="3"/>
  <c r="N55" i="3"/>
  <c r="R55" i="3"/>
  <c r="A56" i="3"/>
  <c r="B56" i="3"/>
  <c r="C56" i="3"/>
  <c r="D56" i="3"/>
  <c r="E56" i="3"/>
  <c r="F56" i="3"/>
  <c r="G56" i="3"/>
  <c r="H56" i="3"/>
  <c r="I56" i="3"/>
  <c r="J56" i="3"/>
  <c r="L56" i="3"/>
  <c r="M56" i="3"/>
  <c r="N56" i="3"/>
  <c r="R56" i="3"/>
  <c r="A57" i="3"/>
  <c r="B57" i="3"/>
  <c r="C57" i="3"/>
  <c r="D57" i="3"/>
  <c r="E57" i="3"/>
  <c r="F57" i="3"/>
  <c r="G57" i="3"/>
  <c r="H57" i="3"/>
  <c r="I57" i="3"/>
  <c r="J57" i="3"/>
  <c r="L57" i="3"/>
  <c r="M57" i="3"/>
  <c r="N57" i="3"/>
  <c r="R57" i="3"/>
  <c r="A58" i="3"/>
  <c r="B58" i="3"/>
  <c r="C58" i="3"/>
  <c r="D58" i="3"/>
  <c r="E58" i="3"/>
  <c r="F58" i="3"/>
  <c r="G58" i="3"/>
  <c r="H58" i="3"/>
  <c r="I58" i="3"/>
  <c r="J58" i="3"/>
  <c r="L58" i="3"/>
  <c r="M58" i="3"/>
  <c r="N58" i="3"/>
  <c r="R58" i="3"/>
  <c r="A59" i="3"/>
  <c r="B59" i="3"/>
  <c r="C59" i="3"/>
  <c r="D59" i="3"/>
  <c r="E59" i="3"/>
  <c r="F59" i="3"/>
  <c r="G59" i="3"/>
  <c r="H59" i="3"/>
  <c r="I59" i="3"/>
  <c r="J59" i="3"/>
  <c r="L59" i="3"/>
  <c r="M59" i="3"/>
  <c r="N59" i="3"/>
  <c r="R59" i="3"/>
  <c r="A60" i="3"/>
  <c r="B60" i="3"/>
  <c r="C60" i="3"/>
  <c r="D60" i="3"/>
  <c r="E60" i="3"/>
  <c r="F60" i="3"/>
  <c r="G60" i="3"/>
  <c r="H60" i="3"/>
  <c r="I60" i="3"/>
  <c r="J60" i="3"/>
  <c r="L60" i="3"/>
  <c r="M60" i="3"/>
  <c r="N60" i="3"/>
  <c r="R60" i="3"/>
  <c r="A61" i="3"/>
  <c r="B61" i="3"/>
  <c r="C61" i="3"/>
  <c r="D61" i="3"/>
  <c r="E61" i="3"/>
  <c r="F61" i="3"/>
  <c r="G61" i="3"/>
  <c r="H61" i="3"/>
  <c r="I61" i="3"/>
  <c r="J61" i="3"/>
  <c r="L61" i="3"/>
  <c r="M61" i="3"/>
  <c r="N61" i="3"/>
  <c r="R61" i="3"/>
  <c r="A62" i="3"/>
  <c r="B62" i="3"/>
  <c r="C62" i="3"/>
  <c r="D62" i="3"/>
  <c r="E62" i="3"/>
  <c r="F62" i="3"/>
  <c r="G62" i="3"/>
  <c r="H62" i="3"/>
  <c r="I62" i="3"/>
  <c r="J62" i="3"/>
  <c r="L62" i="3"/>
  <c r="M62" i="3"/>
  <c r="N62" i="3"/>
  <c r="R62" i="3"/>
  <c r="A63" i="3"/>
  <c r="B63" i="3"/>
  <c r="C63" i="3"/>
  <c r="D63" i="3"/>
  <c r="E63" i="3"/>
  <c r="F63" i="3"/>
  <c r="G63" i="3"/>
  <c r="H63" i="3"/>
  <c r="I63" i="3"/>
  <c r="J63" i="3"/>
  <c r="L63" i="3"/>
  <c r="M63" i="3"/>
  <c r="N63" i="3"/>
  <c r="R63" i="3"/>
  <c r="A64" i="3"/>
  <c r="B64" i="3"/>
  <c r="C64" i="3"/>
  <c r="D64" i="3"/>
  <c r="E64" i="3"/>
  <c r="F64" i="3"/>
  <c r="G64" i="3"/>
  <c r="H64" i="3"/>
  <c r="I64" i="3"/>
  <c r="J64" i="3"/>
  <c r="L64" i="3"/>
  <c r="M64" i="3"/>
  <c r="N64" i="3"/>
  <c r="R64" i="3"/>
  <c r="A65" i="3"/>
  <c r="B65" i="3"/>
  <c r="C65" i="3"/>
  <c r="D65" i="3"/>
  <c r="E65" i="3"/>
  <c r="F65" i="3"/>
  <c r="G65" i="3"/>
  <c r="H65" i="3"/>
  <c r="I65" i="3"/>
  <c r="J65" i="3"/>
  <c r="L65" i="3"/>
  <c r="M65" i="3"/>
  <c r="N65" i="3"/>
  <c r="R65" i="3"/>
  <c r="A66" i="3"/>
  <c r="B66" i="3"/>
  <c r="C66" i="3"/>
  <c r="D66" i="3"/>
  <c r="E66" i="3"/>
  <c r="F66" i="3"/>
  <c r="G66" i="3"/>
  <c r="H66" i="3"/>
  <c r="I66" i="3"/>
  <c r="J66" i="3"/>
  <c r="L66" i="3"/>
  <c r="M66" i="3"/>
  <c r="N66" i="3"/>
  <c r="R66" i="3"/>
  <c r="A67" i="3"/>
  <c r="B67" i="3"/>
  <c r="C67" i="3"/>
  <c r="D67" i="3"/>
  <c r="E67" i="3"/>
  <c r="F67" i="3"/>
  <c r="G67" i="3"/>
  <c r="H67" i="3"/>
  <c r="I67" i="3"/>
  <c r="J67" i="3"/>
  <c r="L67" i="3"/>
  <c r="M67" i="3"/>
  <c r="N67" i="3"/>
  <c r="R67" i="3"/>
  <c r="A68" i="3"/>
  <c r="B68" i="3"/>
  <c r="C68" i="3"/>
  <c r="D68" i="3"/>
  <c r="E68" i="3"/>
  <c r="F68" i="3"/>
  <c r="G68" i="3"/>
  <c r="H68" i="3"/>
  <c r="I68" i="3"/>
  <c r="J68" i="3"/>
  <c r="L68" i="3"/>
  <c r="M68" i="3"/>
  <c r="N68" i="3"/>
  <c r="R68" i="3"/>
  <c r="A69" i="3"/>
  <c r="B69" i="3"/>
  <c r="C69" i="3"/>
  <c r="D69" i="3"/>
  <c r="E69" i="3"/>
  <c r="F69" i="3"/>
  <c r="G69" i="3"/>
  <c r="H69" i="3"/>
  <c r="I69" i="3"/>
  <c r="J69" i="3"/>
  <c r="L69" i="3"/>
  <c r="M69" i="3"/>
  <c r="N69" i="3"/>
  <c r="R69" i="3"/>
  <c r="A70" i="3"/>
  <c r="B70" i="3"/>
  <c r="C70" i="3"/>
  <c r="D70" i="3"/>
  <c r="E70" i="3"/>
  <c r="F70" i="3"/>
  <c r="G70" i="3"/>
  <c r="H70" i="3"/>
  <c r="I70" i="3"/>
  <c r="J70" i="3"/>
  <c r="L70" i="3"/>
  <c r="M70" i="3"/>
  <c r="N70" i="3"/>
  <c r="R70" i="3"/>
  <c r="A71" i="3"/>
  <c r="B71" i="3"/>
  <c r="C71" i="3"/>
  <c r="D71" i="3"/>
  <c r="E71" i="3"/>
  <c r="F71" i="3"/>
  <c r="G71" i="3"/>
  <c r="H71" i="3"/>
  <c r="I71" i="3"/>
  <c r="J71" i="3"/>
  <c r="L71" i="3"/>
  <c r="M71" i="3"/>
  <c r="N71" i="3"/>
  <c r="R71" i="3"/>
  <c r="A72" i="3"/>
  <c r="B72" i="3"/>
  <c r="C72" i="3"/>
  <c r="D72" i="3"/>
  <c r="E72" i="3"/>
  <c r="F72" i="3"/>
  <c r="G72" i="3"/>
  <c r="H72" i="3"/>
  <c r="I72" i="3"/>
  <c r="J72" i="3"/>
  <c r="L72" i="3"/>
  <c r="M72" i="3"/>
  <c r="N72" i="3"/>
  <c r="R72" i="3"/>
  <c r="A73" i="3"/>
  <c r="B73" i="3"/>
  <c r="C73" i="3"/>
  <c r="D73" i="3"/>
  <c r="E73" i="3"/>
  <c r="F73" i="3"/>
  <c r="G73" i="3"/>
  <c r="H73" i="3"/>
  <c r="I73" i="3"/>
  <c r="J73" i="3"/>
  <c r="L73" i="3"/>
  <c r="M73" i="3"/>
  <c r="N73" i="3"/>
  <c r="R73" i="3"/>
  <c r="A74" i="3"/>
  <c r="B74" i="3"/>
  <c r="C74" i="3"/>
  <c r="D74" i="3"/>
  <c r="E74" i="3"/>
  <c r="F74" i="3"/>
  <c r="G74" i="3"/>
  <c r="H74" i="3"/>
  <c r="I74" i="3"/>
  <c r="J74" i="3"/>
  <c r="L74" i="3"/>
  <c r="M74" i="3"/>
  <c r="N74" i="3"/>
  <c r="R74" i="3"/>
  <c r="A75" i="3"/>
  <c r="B75" i="3"/>
  <c r="C75" i="3"/>
  <c r="D75" i="3"/>
  <c r="E75" i="3"/>
  <c r="F75" i="3"/>
  <c r="G75" i="3"/>
  <c r="H75" i="3"/>
  <c r="I75" i="3"/>
  <c r="J75" i="3"/>
  <c r="L75" i="3"/>
  <c r="M75" i="3"/>
  <c r="N75" i="3"/>
  <c r="R75" i="3"/>
  <c r="A76" i="3"/>
  <c r="B76" i="3"/>
  <c r="C76" i="3"/>
  <c r="D76" i="3"/>
  <c r="E76" i="3"/>
  <c r="F76" i="3"/>
  <c r="G76" i="3"/>
  <c r="H76" i="3"/>
  <c r="I76" i="3"/>
  <c r="J76" i="3"/>
  <c r="L76" i="3"/>
  <c r="M76" i="3"/>
  <c r="N76" i="3"/>
  <c r="R76" i="3"/>
  <c r="A77" i="3"/>
  <c r="B77" i="3"/>
  <c r="C77" i="3"/>
  <c r="D77" i="3"/>
  <c r="E77" i="3"/>
  <c r="F77" i="3"/>
  <c r="G77" i="3"/>
  <c r="H77" i="3"/>
  <c r="I77" i="3"/>
  <c r="J77" i="3"/>
  <c r="L77" i="3"/>
  <c r="M77" i="3"/>
  <c r="N77" i="3"/>
  <c r="R77" i="3"/>
  <c r="A78" i="3"/>
  <c r="B78" i="3"/>
  <c r="C78" i="3"/>
  <c r="D78" i="3"/>
  <c r="E78" i="3"/>
  <c r="F78" i="3"/>
  <c r="G78" i="3"/>
  <c r="H78" i="3"/>
  <c r="I78" i="3"/>
  <c r="J78" i="3"/>
  <c r="L78" i="3"/>
  <c r="M78" i="3"/>
  <c r="N78" i="3"/>
  <c r="R78" i="3"/>
  <c r="A79" i="3"/>
  <c r="B79" i="3"/>
  <c r="C79" i="3"/>
  <c r="D79" i="3"/>
  <c r="E79" i="3"/>
  <c r="F79" i="3"/>
  <c r="G79" i="3"/>
  <c r="H79" i="3"/>
  <c r="I79" i="3"/>
  <c r="J79" i="3"/>
  <c r="L79" i="3"/>
  <c r="M79" i="3"/>
  <c r="N79" i="3"/>
  <c r="R79" i="3"/>
  <c r="A80" i="3"/>
  <c r="B80" i="3"/>
  <c r="C80" i="3"/>
  <c r="D80" i="3"/>
  <c r="E80" i="3"/>
  <c r="F80" i="3"/>
  <c r="G80" i="3"/>
  <c r="H80" i="3"/>
  <c r="I80" i="3"/>
  <c r="J80" i="3"/>
  <c r="L80" i="3"/>
  <c r="M80" i="3"/>
  <c r="N80" i="3"/>
  <c r="R80" i="3"/>
  <c r="A81" i="3"/>
  <c r="B81" i="3"/>
  <c r="C81" i="3"/>
  <c r="D81" i="3"/>
  <c r="E81" i="3"/>
  <c r="F81" i="3"/>
  <c r="G81" i="3"/>
  <c r="H81" i="3"/>
  <c r="I81" i="3"/>
  <c r="J81" i="3"/>
  <c r="L81" i="3"/>
  <c r="M81" i="3"/>
  <c r="N81" i="3"/>
  <c r="R81" i="3"/>
  <c r="A82" i="3"/>
  <c r="B82" i="3"/>
  <c r="C82" i="3"/>
  <c r="D82" i="3"/>
  <c r="E82" i="3"/>
  <c r="F82" i="3"/>
  <c r="G82" i="3"/>
  <c r="H82" i="3"/>
  <c r="I82" i="3"/>
  <c r="J82" i="3"/>
  <c r="L82" i="3"/>
  <c r="M82" i="3"/>
  <c r="N82" i="3"/>
  <c r="R82" i="3"/>
  <c r="A83" i="3"/>
  <c r="B83" i="3"/>
  <c r="C83" i="3"/>
  <c r="D83" i="3"/>
  <c r="E83" i="3"/>
  <c r="F83" i="3"/>
  <c r="G83" i="3"/>
  <c r="H83" i="3"/>
  <c r="I83" i="3"/>
  <c r="J83" i="3"/>
  <c r="L83" i="3"/>
  <c r="M83" i="3"/>
  <c r="N83" i="3"/>
  <c r="R83" i="3"/>
  <c r="A84" i="3"/>
  <c r="B84" i="3"/>
  <c r="C84" i="3"/>
  <c r="D84" i="3"/>
  <c r="E84" i="3"/>
  <c r="F84" i="3"/>
  <c r="G84" i="3"/>
  <c r="H84" i="3"/>
  <c r="I84" i="3"/>
  <c r="J84" i="3"/>
  <c r="L84" i="3"/>
  <c r="M84" i="3"/>
  <c r="N84" i="3"/>
  <c r="R84" i="3"/>
  <c r="E183" i="1"/>
  <c r="I183" i="1" s="1"/>
  <c r="E184" i="1"/>
  <c r="J184" i="1" s="1"/>
  <c r="P116" i="3" s="1"/>
  <c r="E178" i="1"/>
  <c r="K178" i="1" s="1"/>
  <c r="E179" i="1"/>
  <c r="K179" i="1" s="1"/>
  <c r="Q113" i="3" s="1"/>
  <c r="E180" i="1"/>
  <c r="E172" i="1"/>
  <c r="E173" i="1"/>
  <c r="J173" i="1" s="1"/>
  <c r="P109" i="3" s="1"/>
  <c r="E174" i="1"/>
  <c r="E175" i="1"/>
  <c r="J175" i="1" s="1"/>
  <c r="P111" i="3" s="1"/>
  <c r="E168" i="1"/>
  <c r="E169" i="1"/>
  <c r="E162" i="1"/>
  <c r="J162" i="1" s="1"/>
  <c r="E163" i="1"/>
  <c r="E164" i="1"/>
  <c r="K164" i="1" s="1"/>
  <c r="Q104" i="3" s="1"/>
  <c r="E165" i="1"/>
  <c r="E156" i="1"/>
  <c r="E157" i="1"/>
  <c r="K157" i="1" s="1"/>
  <c r="Q99" i="3" s="1"/>
  <c r="E158" i="1"/>
  <c r="K158" i="1" s="1"/>
  <c r="Q100" i="3" s="1"/>
  <c r="E159" i="1"/>
  <c r="J159" i="1" s="1"/>
  <c r="P101" i="3" s="1"/>
  <c r="E148" i="1"/>
  <c r="K148" i="1" s="1"/>
  <c r="E149" i="1"/>
  <c r="I149" i="1" s="1"/>
  <c r="O93" i="3" s="1"/>
  <c r="E150" i="1"/>
  <c r="I150" i="1" s="1"/>
  <c r="O94" i="3" s="1"/>
  <c r="E151" i="1"/>
  <c r="K95" i="3" s="1"/>
  <c r="E152" i="1"/>
  <c r="E153" i="1"/>
  <c r="K97" i="3" s="1"/>
  <c r="E144" i="1"/>
  <c r="E145" i="1"/>
  <c r="K145" i="1" s="1"/>
  <c r="Q91" i="3" s="1"/>
  <c r="E140" i="1"/>
  <c r="I140" i="1" s="1"/>
  <c r="E141" i="1"/>
  <c r="E134" i="1"/>
  <c r="E135" i="1"/>
  <c r="E136" i="1"/>
  <c r="J136" i="1" s="1"/>
  <c r="P86" i="3" s="1"/>
  <c r="E137" i="1"/>
  <c r="E128" i="1"/>
  <c r="K80" i="3" s="1"/>
  <c r="E129" i="1"/>
  <c r="E130" i="1"/>
  <c r="I130" i="1" s="1"/>
  <c r="O82" i="3" s="1"/>
  <c r="E131" i="1"/>
  <c r="K131" i="1" s="1"/>
  <c r="Q83" i="3" s="1"/>
  <c r="E120" i="1"/>
  <c r="J120" i="1" s="1"/>
  <c r="E121" i="1"/>
  <c r="J121" i="1" s="1"/>
  <c r="P75" i="3" s="1"/>
  <c r="E122" i="1"/>
  <c r="J122" i="1" s="1"/>
  <c r="P76" i="3" s="1"/>
  <c r="E123" i="1"/>
  <c r="J123" i="1" s="1"/>
  <c r="P77" i="3" s="1"/>
  <c r="E124" i="1"/>
  <c r="J124" i="1" s="1"/>
  <c r="P78" i="3" s="1"/>
  <c r="E125" i="1"/>
  <c r="K125" i="1" s="1"/>
  <c r="Q79" i="3" s="1"/>
  <c r="E115" i="1"/>
  <c r="K115" i="1" s="1"/>
  <c r="E116" i="1"/>
  <c r="K116" i="1" s="1"/>
  <c r="Q72" i="3" s="1"/>
  <c r="E117" i="1"/>
  <c r="J117" i="1" s="1"/>
  <c r="P73" i="3" s="1"/>
  <c r="E111" i="1"/>
  <c r="J111" i="1" s="1"/>
  <c r="E112" i="1"/>
  <c r="K112" i="1" s="1"/>
  <c r="Q70" i="3" s="1"/>
  <c r="E107" i="1"/>
  <c r="I107" i="1" s="1"/>
  <c r="E108" i="1"/>
  <c r="I108" i="1" s="1"/>
  <c r="O68" i="3" s="1"/>
  <c r="E103" i="1"/>
  <c r="K103" i="1" s="1"/>
  <c r="E104" i="1"/>
  <c r="K104" i="1" s="1"/>
  <c r="Q66" i="3" s="1"/>
  <c r="E96" i="1"/>
  <c r="I96" i="1" s="1"/>
  <c r="E97" i="1"/>
  <c r="I97" i="1" s="1"/>
  <c r="O61" i="3" s="1"/>
  <c r="E98" i="1"/>
  <c r="K98" i="1" s="1"/>
  <c r="Q62" i="3" s="1"/>
  <c r="E99" i="1"/>
  <c r="E100" i="1"/>
  <c r="E91" i="1"/>
  <c r="K57" i="3" s="1"/>
  <c r="E92" i="1"/>
  <c r="J92" i="1" s="1"/>
  <c r="P58" i="3" s="1"/>
  <c r="E93" i="1"/>
  <c r="E84" i="1"/>
  <c r="E85" i="1"/>
  <c r="I85" i="1" s="1"/>
  <c r="O53" i="3" s="1"/>
  <c r="E86" i="1"/>
  <c r="E87" i="1"/>
  <c r="I87" i="1" s="1"/>
  <c r="O55" i="3" s="1"/>
  <c r="E88" i="1"/>
  <c r="E80" i="1"/>
  <c r="E81" i="1"/>
  <c r="J81" i="1" s="1"/>
  <c r="P51" i="3" s="1"/>
  <c r="E75" i="1"/>
  <c r="K75" i="1" s="1"/>
  <c r="E76" i="1"/>
  <c r="J76" i="1" s="1"/>
  <c r="P48" i="3" s="1"/>
  <c r="E77" i="1"/>
  <c r="I77" i="1" s="1"/>
  <c r="O49" i="3" s="1"/>
  <c r="E69" i="1"/>
  <c r="J69" i="1" s="1"/>
  <c r="E70" i="1"/>
  <c r="K70" i="1" s="1"/>
  <c r="Q44" i="3" s="1"/>
  <c r="E71" i="1"/>
  <c r="K71" i="1" s="1"/>
  <c r="Q45" i="3" s="1"/>
  <c r="E72" i="1"/>
  <c r="K72" i="1" s="1"/>
  <c r="Q46" i="3" s="1"/>
  <c r="E62" i="1"/>
  <c r="J62" i="1" s="1"/>
  <c r="E63" i="1"/>
  <c r="I63" i="1" s="1"/>
  <c r="O39" i="3" s="1"/>
  <c r="E64" i="1"/>
  <c r="I64" i="1" s="1"/>
  <c r="O40" i="3" s="1"/>
  <c r="E65" i="1"/>
  <c r="I65" i="1" s="1"/>
  <c r="O41" i="3" s="1"/>
  <c r="E66" i="1"/>
  <c r="I66" i="1" s="1"/>
  <c r="O42" i="3" s="1"/>
  <c r="E51" i="1"/>
  <c r="K29" i="3" s="1"/>
  <c r="E52" i="1"/>
  <c r="J52" i="1" s="1"/>
  <c r="P30" i="3" s="1"/>
  <c r="E53" i="1"/>
  <c r="E54" i="1"/>
  <c r="E55" i="1"/>
  <c r="E56" i="1"/>
  <c r="E57" i="1"/>
  <c r="K35" i="3" s="1"/>
  <c r="E58" i="1"/>
  <c r="E59" i="1"/>
  <c r="K37" i="3" s="1"/>
  <c r="E45" i="1"/>
  <c r="K25" i="3" s="1"/>
  <c r="E46" i="1"/>
  <c r="J46" i="1" s="1"/>
  <c r="P26" i="3" s="1"/>
  <c r="E47" i="1"/>
  <c r="I47" i="1" s="1"/>
  <c r="O27" i="3" s="1"/>
  <c r="E48" i="1"/>
  <c r="I48" i="1" s="1"/>
  <c r="O28" i="3" s="1"/>
  <c r="E36" i="1"/>
  <c r="I36" i="1" s="1"/>
  <c r="E37" i="1"/>
  <c r="I37" i="1" s="1"/>
  <c r="O19" i="3" s="1"/>
  <c r="E38" i="1"/>
  <c r="J38" i="1" s="1"/>
  <c r="P20" i="3" s="1"/>
  <c r="E39" i="1"/>
  <c r="J39" i="1" s="1"/>
  <c r="P21" i="3" s="1"/>
  <c r="E40" i="1"/>
  <c r="J40" i="1" s="1"/>
  <c r="P22" i="3" s="1"/>
  <c r="E41" i="1"/>
  <c r="J41" i="1" s="1"/>
  <c r="P23" i="3" s="1"/>
  <c r="E42" i="1"/>
  <c r="J42" i="1" s="1"/>
  <c r="P24" i="3" s="1"/>
  <c r="E28" i="1"/>
  <c r="I28" i="1" s="1"/>
  <c r="E29" i="1"/>
  <c r="I29" i="1" s="1"/>
  <c r="O13" i="3" s="1"/>
  <c r="E30" i="1"/>
  <c r="I30" i="1" s="1"/>
  <c r="O14" i="3" s="1"/>
  <c r="E31" i="1"/>
  <c r="I31" i="1" s="1"/>
  <c r="O15" i="3" s="1"/>
  <c r="E32" i="1"/>
  <c r="I32" i="1" s="1"/>
  <c r="O16" i="3" s="1"/>
  <c r="E33" i="1"/>
  <c r="I33" i="1" s="1"/>
  <c r="O17" i="3" s="1"/>
  <c r="E22" i="1"/>
  <c r="K8" i="3" s="1"/>
  <c r="E23" i="1"/>
  <c r="K23" i="1" s="1"/>
  <c r="Q9" i="3" s="1"/>
  <c r="E24" i="1"/>
  <c r="J24" i="1" s="1"/>
  <c r="E25" i="1"/>
  <c r="E17" i="1"/>
  <c r="I17" i="1" s="1"/>
  <c r="E18" i="1"/>
  <c r="E19" i="1"/>
  <c r="J19" i="1" s="1"/>
  <c r="P7" i="3" s="1"/>
  <c r="E12" i="1"/>
  <c r="E13" i="1"/>
  <c r="I13" i="1" s="1"/>
  <c r="O3" i="3" s="1"/>
  <c r="E14" i="1"/>
  <c r="C62" i="6" l="1"/>
  <c r="F36" i="6"/>
  <c r="B44" i="6" s="1"/>
  <c r="C63" i="6"/>
  <c r="G20" i="6"/>
  <c r="C61" i="6"/>
  <c r="G16" i="6"/>
  <c r="G19" i="6"/>
  <c r="G9" i="6"/>
  <c r="C64" i="6"/>
  <c r="D64" i="6" s="1"/>
  <c r="C65" i="6"/>
  <c r="G10" i="6"/>
  <c r="G26" i="6"/>
  <c r="G15" i="6"/>
  <c r="G11" i="6"/>
  <c r="B61" i="6"/>
  <c r="D61" i="6"/>
  <c r="B65" i="6"/>
  <c r="D65" i="6"/>
  <c r="C54" i="6"/>
  <c r="C53" i="6"/>
  <c r="B63" i="6"/>
  <c r="D63" i="6"/>
  <c r="C55" i="6"/>
  <c r="D36" i="6"/>
  <c r="C52" i="6"/>
  <c r="G29" i="6"/>
  <c r="D62" i="6"/>
  <c r="B62" i="6"/>
  <c r="C56" i="6"/>
  <c r="Q71" i="3"/>
  <c r="Q92" i="3"/>
  <c r="Q47" i="3"/>
  <c r="Q65" i="3"/>
  <c r="H105" i="1"/>
  <c r="Q112" i="3"/>
  <c r="H181" i="1"/>
  <c r="P38" i="3"/>
  <c r="P43" i="3"/>
  <c r="P74" i="3"/>
  <c r="P102" i="3"/>
  <c r="P69" i="3"/>
  <c r="O5" i="3"/>
  <c r="O67" i="3"/>
  <c r="F109" i="1"/>
  <c r="O60" i="3"/>
  <c r="O18" i="3"/>
  <c r="O115" i="3"/>
  <c r="F185" i="1"/>
  <c r="O88" i="3"/>
  <c r="O12" i="3"/>
  <c r="F34" i="1"/>
  <c r="K93" i="3"/>
  <c r="K104" i="3"/>
  <c r="K39" i="3"/>
  <c r="K79" i="3"/>
  <c r="K12" i="3"/>
  <c r="K77" i="3"/>
  <c r="K65" i="3"/>
  <c r="K45" i="3"/>
  <c r="K67" i="3"/>
  <c r="K71" i="3"/>
  <c r="K69" i="3"/>
  <c r="K17" i="3"/>
  <c r="K82" i="3"/>
  <c r="K99" i="3"/>
  <c r="K14" i="3"/>
  <c r="K13" i="3"/>
  <c r="E185" i="1"/>
  <c r="K15" i="3"/>
  <c r="K83" i="3"/>
  <c r="K21" i="3"/>
  <c r="K49" i="3"/>
  <c r="K23" i="3"/>
  <c r="K47" i="3"/>
  <c r="K28" i="3"/>
  <c r="K116" i="3"/>
  <c r="K62" i="3"/>
  <c r="K10" i="3"/>
  <c r="K101" i="3"/>
  <c r="K72" i="3"/>
  <c r="K20" i="3"/>
  <c r="K18" i="3"/>
  <c r="K58" i="3"/>
  <c r="K74" i="3"/>
  <c r="K42" i="3"/>
  <c r="K46" i="3"/>
  <c r="K24" i="3"/>
  <c r="K76" i="3"/>
  <c r="K100" i="3"/>
  <c r="K19" i="3"/>
  <c r="K60" i="3"/>
  <c r="E15" i="1"/>
  <c r="N15" i="1" s="1"/>
  <c r="K27" i="3"/>
  <c r="K44" i="3"/>
  <c r="K109" i="3"/>
  <c r="K111" i="3"/>
  <c r="K78" i="3"/>
  <c r="K102" i="3"/>
  <c r="D5" i="4"/>
  <c r="E5" i="4" s="1"/>
  <c r="K129" i="1"/>
  <c r="Q81" i="3" s="1"/>
  <c r="K81" i="3"/>
  <c r="K93" i="1"/>
  <c r="Q59" i="3" s="1"/>
  <c r="K59" i="3"/>
  <c r="K59" i="1"/>
  <c r="Q37" i="3" s="1"/>
  <c r="J59" i="1"/>
  <c r="P37" i="3" s="1"/>
  <c r="J58" i="1"/>
  <c r="P36" i="3" s="1"/>
  <c r="K36" i="3"/>
  <c r="K58" i="1"/>
  <c r="Q36" i="3" s="1"/>
  <c r="I57" i="1"/>
  <c r="O35" i="3" s="1"/>
  <c r="K57" i="1"/>
  <c r="Q35" i="3" s="1"/>
  <c r="J57" i="1"/>
  <c r="P35" i="3" s="1"/>
  <c r="I99" i="1"/>
  <c r="O63" i="3" s="1"/>
  <c r="K63" i="3"/>
  <c r="I152" i="1"/>
  <c r="O96" i="3" s="1"/>
  <c r="K152" i="1"/>
  <c r="Q96" i="3" s="1"/>
  <c r="K96" i="3"/>
  <c r="J152" i="1"/>
  <c r="P96" i="3" s="1"/>
  <c r="K56" i="1"/>
  <c r="Q34" i="3" s="1"/>
  <c r="K34" i="3"/>
  <c r="I151" i="1"/>
  <c r="O95" i="3" s="1"/>
  <c r="K151" i="1"/>
  <c r="Q95" i="3" s="1"/>
  <c r="J151" i="1"/>
  <c r="P95" i="3" s="1"/>
  <c r="K7" i="3"/>
  <c r="K144" i="1"/>
  <c r="K90" i="3"/>
  <c r="J100" i="1"/>
  <c r="P64" i="3" s="1"/>
  <c r="K64" i="3"/>
  <c r="I153" i="1"/>
  <c r="O97" i="3" s="1"/>
  <c r="K153" i="1"/>
  <c r="Q97" i="3" s="1"/>
  <c r="J153" i="1"/>
  <c r="P97" i="3" s="1"/>
  <c r="K5" i="3"/>
  <c r="K3" i="3"/>
  <c r="E20" i="1"/>
  <c r="N20" i="1" s="1"/>
  <c r="J55" i="1"/>
  <c r="P33" i="3" s="1"/>
  <c r="K33" i="3"/>
  <c r="J135" i="1"/>
  <c r="P85" i="3" s="1"/>
  <c r="K85" i="3"/>
  <c r="I84" i="1"/>
  <c r="K52" i="3"/>
  <c r="J14" i="1"/>
  <c r="P4" i="3" s="1"/>
  <c r="K4" i="3"/>
  <c r="I18" i="1"/>
  <c r="O6" i="3" s="1"/>
  <c r="K6" i="3"/>
  <c r="K51" i="3"/>
  <c r="K12" i="1"/>
  <c r="K2" i="3"/>
  <c r="K156" i="1"/>
  <c r="K98" i="3"/>
  <c r="J80" i="1"/>
  <c r="K50" i="3"/>
  <c r="K55" i="3"/>
  <c r="K165" i="1"/>
  <c r="Q105" i="3" s="1"/>
  <c r="K105" i="3"/>
  <c r="K53" i="3"/>
  <c r="J174" i="1"/>
  <c r="P110" i="3" s="1"/>
  <c r="K110" i="3"/>
  <c r="K86" i="3"/>
  <c r="K26" i="3"/>
  <c r="K88" i="3"/>
  <c r="J137" i="1"/>
  <c r="P87" i="3" s="1"/>
  <c r="K87" i="3"/>
  <c r="K25" i="1"/>
  <c r="Q11" i="3" s="1"/>
  <c r="K11" i="3"/>
  <c r="J163" i="1"/>
  <c r="P103" i="3" s="1"/>
  <c r="K103" i="3"/>
  <c r="J88" i="1"/>
  <c r="P56" i="3" s="1"/>
  <c r="K56" i="3"/>
  <c r="K86" i="1"/>
  <c r="Q54" i="3" s="1"/>
  <c r="K54" i="3"/>
  <c r="I134" i="1"/>
  <c r="K84" i="3"/>
  <c r="J141" i="1"/>
  <c r="P89" i="3" s="1"/>
  <c r="K89" i="3"/>
  <c r="J54" i="1"/>
  <c r="P32" i="3" s="1"/>
  <c r="K32" i="3"/>
  <c r="I53" i="1"/>
  <c r="O31" i="3" s="1"/>
  <c r="K31" i="3"/>
  <c r="I59" i="1"/>
  <c r="O37" i="3" s="1"/>
  <c r="I58" i="1"/>
  <c r="O36" i="3" s="1"/>
  <c r="K113" i="3"/>
  <c r="J169" i="1"/>
  <c r="P107" i="3" s="1"/>
  <c r="K107" i="3"/>
  <c r="K168" i="1"/>
  <c r="K106" i="3"/>
  <c r="K30" i="3"/>
  <c r="I172" i="1"/>
  <c r="K108" i="3"/>
  <c r="K180" i="1"/>
  <c r="Q114" i="3" s="1"/>
  <c r="K114" i="3"/>
  <c r="K40" i="3"/>
  <c r="I148" i="1"/>
  <c r="K70" i="3"/>
  <c r="K38" i="3"/>
  <c r="K22" i="3"/>
  <c r="J150" i="1"/>
  <c r="P94" i="3" s="1"/>
  <c r="K112" i="3"/>
  <c r="K94" i="3"/>
  <c r="K75" i="3"/>
  <c r="K43" i="3"/>
  <c r="J148" i="1"/>
  <c r="K150" i="1"/>
  <c r="Q94" i="3" s="1"/>
  <c r="K92" i="3"/>
  <c r="J149" i="1"/>
  <c r="P93" i="3" s="1"/>
  <c r="K61" i="3"/>
  <c r="K68" i="3"/>
  <c r="K149" i="1"/>
  <c r="Q93" i="3" s="1"/>
  <c r="K73" i="3"/>
  <c r="K41" i="3"/>
  <c r="K9" i="3"/>
  <c r="K66" i="3"/>
  <c r="K115" i="3"/>
  <c r="K33" i="1"/>
  <c r="Q17" i="3" s="1"/>
  <c r="K48" i="3"/>
  <c r="K16" i="3"/>
  <c r="C101" i="3"/>
  <c r="C85" i="3"/>
  <c r="C9" i="3"/>
  <c r="C108" i="3"/>
  <c r="K124" i="1"/>
  <c r="Q78" i="3" s="1"/>
  <c r="K122" i="1"/>
  <c r="Q76" i="3" s="1"/>
  <c r="K31" i="1"/>
  <c r="Q15" i="3" s="1"/>
  <c r="K29" i="1"/>
  <c r="Q13" i="3" s="1"/>
  <c r="K41" i="1"/>
  <c r="Q23" i="3" s="1"/>
  <c r="K135" i="1"/>
  <c r="Q85" i="3" s="1"/>
  <c r="K40" i="1"/>
  <c r="Q22" i="3" s="1"/>
  <c r="K36" i="1"/>
  <c r="J65" i="1"/>
  <c r="P41" i="3" s="1"/>
  <c r="K32" i="1"/>
  <c r="Q16" i="3" s="1"/>
  <c r="I55" i="1"/>
  <c r="O33" i="3" s="1"/>
  <c r="K88" i="1"/>
  <c r="Q56" i="3" s="1"/>
  <c r="E160" i="1"/>
  <c r="N160" i="1" s="1"/>
  <c r="K55" i="1"/>
  <c r="Q33" i="3" s="1"/>
  <c r="K39" i="1"/>
  <c r="Q21" i="3" s="1"/>
  <c r="K37" i="1"/>
  <c r="Q19" i="3" s="1"/>
  <c r="J64" i="1"/>
  <c r="P40" i="3" s="1"/>
  <c r="K123" i="1"/>
  <c r="Q77" i="3" s="1"/>
  <c r="K30" i="1"/>
  <c r="Q14" i="3" s="1"/>
  <c r="K28" i="1"/>
  <c r="J134" i="1"/>
  <c r="G138" i="1" s="1"/>
  <c r="K136" i="1"/>
  <c r="Q86" i="3" s="1"/>
  <c r="K134" i="1"/>
  <c r="K65" i="1"/>
  <c r="Q41" i="3" s="1"/>
  <c r="I56" i="1"/>
  <c r="O34" i="3" s="1"/>
  <c r="J56" i="1"/>
  <c r="P34" i="3" s="1"/>
  <c r="E73" i="1"/>
  <c r="N73" i="1" s="1"/>
  <c r="K38" i="1"/>
  <c r="Q20" i="3" s="1"/>
  <c r="J66" i="1"/>
  <c r="P42" i="3" s="1"/>
  <c r="K64" i="1"/>
  <c r="Q40" i="3" s="1"/>
  <c r="J28" i="1"/>
  <c r="K137" i="1"/>
  <c r="Q87" i="3" s="1"/>
  <c r="E181" i="1"/>
  <c r="N181" i="1" s="1"/>
  <c r="K66" i="1"/>
  <c r="Q42" i="3" s="1"/>
  <c r="J53" i="1"/>
  <c r="P31" i="3" s="1"/>
  <c r="E26" i="1"/>
  <c r="N26" i="1" s="1"/>
  <c r="I86" i="1"/>
  <c r="O54" i="3" s="1"/>
  <c r="J87" i="1"/>
  <c r="P55" i="3" s="1"/>
  <c r="E89" i="1"/>
  <c r="N89" i="1" s="1"/>
  <c r="J86" i="1"/>
  <c r="P54" i="3" s="1"/>
  <c r="I112" i="1"/>
  <c r="O70" i="3" s="1"/>
  <c r="K111" i="1"/>
  <c r="I163" i="1"/>
  <c r="O103" i="3" s="1"/>
  <c r="E109" i="1"/>
  <c r="K163" i="1"/>
  <c r="Q103" i="3" s="1"/>
  <c r="E34" i="1"/>
  <c r="N34" i="1" s="1"/>
  <c r="K54" i="1"/>
  <c r="Q32" i="3" s="1"/>
  <c r="I165" i="1"/>
  <c r="O105" i="3" s="1"/>
  <c r="K53" i="1"/>
  <c r="Q31" i="3" s="1"/>
  <c r="I164" i="1"/>
  <c r="O104" i="3" s="1"/>
  <c r="J85" i="1"/>
  <c r="P53" i="3" s="1"/>
  <c r="E105" i="1"/>
  <c r="N105" i="1" s="1"/>
  <c r="J84" i="1"/>
  <c r="G89" i="1" s="1"/>
  <c r="J165" i="1"/>
  <c r="P105" i="3" s="1"/>
  <c r="E49" i="1"/>
  <c r="N49" i="1" s="1"/>
  <c r="J164" i="1"/>
  <c r="G166" i="1" s="1"/>
  <c r="E113" i="1"/>
  <c r="N113" i="1" s="1"/>
  <c r="J33" i="1"/>
  <c r="P17" i="3" s="1"/>
  <c r="K87" i="1"/>
  <c r="Q55" i="3" s="1"/>
  <c r="J32" i="1"/>
  <c r="P16" i="3" s="1"/>
  <c r="E142" i="1"/>
  <c r="N142" i="1" s="1"/>
  <c r="J31" i="1"/>
  <c r="P15" i="3" s="1"/>
  <c r="K85" i="1"/>
  <c r="E146" i="1"/>
  <c r="N146" i="1" s="1"/>
  <c r="J30" i="1"/>
  <c r="P14" i="3" s="1"/>
  <c r="K84" i="1"/>
  <c r="E154" i="1"/>
  <c r="N154" i="1" s="1"/>
  <c r="J29" i="1"/>
  <c r="P13" i="3" s="1"/>
  <c r="E94" i="1"/>
  <c r="N94" i="1" s="1"/>
  <c r="K121" i="1"/>
  <c r="Q75" i="3" s="1"/>
  <c r="J172" i="1"/>
  <c r="K174" i="1"/>
  <c r="Q110" i="3" s="1"/>
  <c r="I19" i="1"/>
  <c r="K69" i="1"/>
  <c r="H73" i="1" s="1"/>
  <c r="J97" i="1"/>
  <c r="P61" i="3" s="1"/>
  <c r="J18" i="1"/>
  <c r="K172" i="1"/>
  <c r="K19" i="1"/>
  <c r="Q7" i="3" s="1"/>
  <c r="J37" i="1"/>
  <c r="P19" i="3" s="1"/>
  <c r="K17" i="1"/>
  <c r="H20" i="1" s="1"/>
  <c r="J36" i="1"/>
  <c r="G43" i="1" s="1"/>
  <c r="K97" i="1"/>
  <c r="Q61" i="3" s="1"/>
  <c r="I136" i="1"/>
  <c r="O86" i="3" s="1"/>
  <c r="E60" i="1"/>
  <c r="N60" i="1" s="1"/>
  <c r="I174" i="1"/>
  <c r="O110" i="3" s="1"/>
  <c r="K120" i="1"/>
  <c r="I173" i="1"/>
  <c r="I98" i="1"/>
  <c r="F101" i="1" s="1"/>
  <c r="J99" i="1"/>
  <c r="P63" i="3" s="1"/>
  <c r="K175" i="1"/>
  <c r="Q111" i="3" s="1"/>
  <c r="I54" i="1"/>
  <c r="O32" i="3" s="1"/>
  <c r="J98" i="1"/>
  <c r="E132" i="1"/>
  <c r="N132" i="1" s="1"/>
  <c r="K173" i="1"/>
  <c r="Q109" i="3" s="1"/>
  <c r="J96" i="1"/>
  <c r="J17" i="1"/>
  <c r="K100" i="1"/>
  <c r="Q64" i="3" s="1"/>
  <c r="K99" i="1"/>
  <c r="Q63" i="3" s="1"/>
  <c r="K18" i="1"/>
  <c r="Q6" i="3" s="1"/>
  <c r="K42" i="1"/>
  <c r="Q24" i="3" s="1"/>
  <c r="K96" i="1"/>
  <c r="I135" i="1"/>
  <c r="O85" i="3" s="1"/>
  <c r="K105" i="1"/>
  <c r="I34" i="1"/>
  <c r="I109" i="1"/>
  <c r="I162" i="1"/>
  <c r="I76" i="1"/>
  <c r="O48" i="3" s="1"/>
  <c r="J77" i="1"/>
  <c r="P49" i="3" s="1"/>
  <c r="J116" i="1"/>
  <c r="P72" i="3" s="1"/>
  <c r="J75" i="1"/>
  <c r="I179" i="1"/>
  <c r="O113" i="3" s="1"/>
  <c r="K77" i="1"/>
  <c r="Q49" i="3" s="1"/>
  <c r="J140" i="1"/>
  <c r="K141" i="1"/>
  <c r="Q89" i="3" s="1"/>
  <c r="I103" i="1"/>
  <c r="E78" i="1"/>
  <c r="N78" i="1" s="1"/>
  <c r="J178" i="1"/>
  <c r="J103" i="1"/>
  <c r="K62" i="1"/>
  <c r="I129" i="1"/>
  <c r="O81" i="3" s="1"/>
  <c r="K162" i="1"/>
  <c r="J104" i="1"/>
  <c r="P66" i="3" s="1"/>
  <c r="I46" i="1"/>
  <c r="O26" i="3" s="1"/>
  <c r="I169" i="1"/>
  <c r="O107" i="3" s="1"/>
  <c r="J22" i="1"/>
  <c r="J47" i="1"/>
  <c r="P27" i="3" s="1"/>
  <c r="K130" i="1"/>
  <c r="Q82" i="3" s="1"/>
  <c r="K22" i="1"/>
  <c r="I141" i="1"/>
  <c r="O89" i="3" s="1"/>
  <c r="I25" i="1"/>
  <c r="O11" i="3" s="1"/>
  <c r="I24" i="1"/>
  <c r="O10" i="3" s="1"/>
  <c r="K117" i="1"/>
  <c r="H118" i="1" s="1"/>
  <c r="J180" i="1"/>
  <c r="P114" i="3" s="1"/>
  <c r="I93" i="1"/>
  <c r="O59" i="3" s="1"/>
  <c r="I91" i="1"/>
  <c r="J129" i="1"/>
  <c r="P81" i="3" s="1"/>
  <c r="I117" i="1"/>
  <c r="O73" i="3" s="1"/>
  <c r="I75" i="1"/>
  <c r="I115" i="1"/>
  <c r="J179" i="1"/>
  <c r="P113" i="3" s="1"/>
  <c r="I92" i="1"/>
  <c r="O58" i="3" s="1"/>
  <c r="K63" i="1"/>
  <c r="Q39" i="3" s="1"/>
  <c r="J93" i="1"/>
  <c r="P59" i="3" s="1"/>
  <c r="I144" i="1"/>
  <c r="E118" i="1"/>
  <c r="N118" i="1" s="1"/>
  <c r="J48" i="1"/>
  <c r="P28" i="3" s="1"/>
  <c r="I12" i="1"/>
  <c r="J168" i="1"/>
  <c r="E166" i="1"/>
  <c r="N166" i="1" s="1"/>
  <c r="J51" i="1"/>
  <c r="I125" i="1"/>
  <c r="O79" i="3" s="1"/>
  <c r="K169" i="1"/>
  <c r="Q107" i="3" s="1"/>
  <c r="I42" i="1"/>
  <c r="O24" i="3" s="1"/>
  <c r="K80" i="1"/>
  <c r="K128" i="1"/>
  <c r="J12" i="1"/>
  <c r="I41" i="1"/>
  <c r="O23" i="3" s="1"/>
  <c r="I72" i="1"/>
  <c r="O46" i="3" s="1"/>
  <c r="J108" i="1"/>
  <c r="P68" i="3" s="1"/>
  <c r="K14" i="1"/>
  <c r="Q4" i="3" s="1"/>
  <c r="I40" i="1"/>
  <c r="O22" i="3" s="1"/>
  <c r="K47" i="1"/>
  <c r="Q27" i="3" s="1"/>
  <c r="I71" i="1"/>
  <c r="O45" i="3" s="1"/>
  <c r="J107" i="1"/>
  <c r="I122" i="1"/>
  <c r="O76" i="3" s="1"/>
  <c r="J158" i="1"/>
  <c r="P100" i="3" s="1"/>
  <c r="J183" i="1"/>
  <c r="E43" i="1"/>
  <c r="N43" i="1" s="1"/>
  <c r="K13" i="1"/>
  <c r="Q3" i="3" s="1"/>
  <c r="I39" i="1"/>
  <c r="O21" i="3" s="1"/>
  <c r="K46" i="1"/>
  <c r="Q26" i="3" s="1"/>
  <c r="I70" i="1"/>
  <c r="O44" i="3" s="1"/>
  <c r="K108" i="1"/>
  <c r="Q68" i="3" s="1"/>
  <c r="I121" i="1"/>
  <c r="O75" i="3" s="1"/>
  <c r="J157" i="1"/>
  <c r="P99" i="3" s="1"/>
  <c r="K184" i="1"/>
  <c r="Q116" i="3" s="1"/>
  <c r="I116" i="1"/>
  <c r="O72" i="3" s="1"/>
  <c r="I180" i="1"/>
  <c r="O114" i="3" s="1"/>
  <c r="I52" i="1"/>
  <c r="O30" i="3" s="1"/>
  <c r="J115" i="1"/>
  <c r="K76" i="1"/>
  <c r="H78" i="1" s="1"/>
  <c r="I128" i="1"/>
  <c r="J25" i="1"/>
  <c r="P11" i="3" s="1"/>
  <c r="I145" i="1"/>
  <c r="O91" i="3" s="1"/>
  <c r="I45" i="1"/>
  <c r="J145" i="1"/>
  <c r="P91" i="3" s="1"/>
  <c r="J144" i="1"/>
  <c r="K81" i="1"/>
  <c r="Q51" i="3" s="1"/>
  <c r="J13" i="1"/>
  <c r="P3" i="3" s="1"/>
  <c r="I156" i="1"/>
  <c r="K183" i="1"/>
  <c r="I131" i="1"/>
  <c r="O83" i="3" s="1"/>
  <c r="J63" i="1"/>
  <c r="G67" i="1" s="1"/>
  <c r="I178" i="1"/>
  <c r="I23" i="1"/>
  <c r="O9" i="3" s="1"/>
  <c r="I104" i="1"/>
  <c r="O66" i="3" s="1"/>
  <c r="K140" i="1"/>
  <c r="J130" i="1"/>
  <c r="P82" i="3" s="1"/>
  <c r="I14" i="1"/>
  <c r="O4" i="3" s="1"/>
  <c r="I80" i="1"/>
  <c r="F82" i="1" s="1"/>
  <c r="J128" i="1"/>
  <c r="E82" i="1"/>
  <c r="N82" i="1" s="1"/>
  <c r="J91" i="1"/>
  <c r="K24" i="1"/>
  <c r="Q10" i="3" s="1"/>
  <c r="I158" i="1"/>
  <c r="O100" i="3" s="1"/>
  <c r="K92" i="1"/>
  <c r="Q58" i="3" s="1"/>
  <c r="I184" i="1"/>
  <c r="J45" i="1"/>
  <c r="K91" i="1"/>
  <c r="H94" i="1" s="1"/>
  <c r="K48" i="1"/>
  <c r="Q28" i="3" s="1"/>
  <c r="I123" i="1"/>
  <c r="O77" i="3" s="1"/>
  <c r="I38" i="1"/>
  <c r="O20" i="3" s="1"/>
  <c r="K45" i="1"/>
  <c r="I69" i="1"/>
  <c r="K107" i="1"/>
  <c r="I120" i="1"/>
  <c r="J156" i="1"/>
  <c r="J72" i="1"/>
  <c r="P46" i="3" s="1"/>
  <c r="J125" i="1"/>
  <c r="P79" i="3" s="1"/>
  <c r="I137" i="1"/>
  <c r="O87" i="3" s="1"/>
  <c r="K159" i="1"/>
  <c r="I175" i="1"/>
  <c r="O111" i="3" s="1"/>
  <c r="E67" i="1"/>
  <c r="N67" i="1" s="1"/>
  <c r="I62" i="1"/>
  <c r="F67" i="1" s="1"/>
  <c r="J131" i="1"/>
  <c r="P83" i="3" s="1"/>
  <c r="J23" i="1"/>
  <c r="P9" i="3" s="1"/>
  <c r="I81" i="1"/>
  <c r="O51" i="3" s="1"/>
  <c r="I157" i="1"/>
  <c r="O99" i="3" s="1"/>
  <c r="E126" i="1"/>
  <c r="N126" i="1" s="1"/>
  <c r="E170" i="1"/>
  <c r="N170" i="1" s="1"/>
  <c r="J71" i="1"/>
  <c r="P45" i="3" s="1"/>
  <c r="K52" i="1"/>
  <c r="Q30" i="3" s="1"/>
  <c r="K51" i="1"/>
  <c r="I111" i="1"/>
  <c r="E138" i="1"/>
  <c r="N138" i="1" s="1"/>
  <c r="E101" i="1"/>
  <c r="N101" i="1" s="1"/>
  <c r="E176" i="1"/>
  <c r="N176" i="1" s="1"/>
  <c r="I51" i="1"/>
  <c r="I22" i="1"/>
  <c r="I168" i="1"/>
  <c r="I159" i="1"/>
  <c r="O101" i="3" s="1"/>
  <c r="I124" i="1"/>
  <c r="O78" i="3" s="1"/>
  <c r="I88" i="1"/>
  <c r="I100" i="1"/>
  <c r="O64" i="3" s="1"/>
  <c r="J70" i="1"/>
  <c r="P44" i="3" s="1"/>
  <c r="J112" i="1"/>
  <c r="P70" i="3" s="1"/>
  <c r="B64" i="6" l="1"/>
  <c r="B52" i="6"/>
  <c r="D52" i="6"/>
  <c r="B53" i="6"/>
  <c r="D53" i="6"/>
  <c r="E36" i="6"/>
  <c r="G36" i="6" s="1"/>
  <c r="B42" i="6"/>
  <c r="B43" i="6" s="1"/>
  <c r="B54" i="6"/>
  <c r="D54" i="6"/>
  <c r="D56" i="6"/>
  <c r="B56" i="6"/>
  <c r="D55" i="6"/>
  <c r="B55" i="6"/>
  <c r="Q98" i="3"/>
  <c r="H160" i="1"/>
  <c r="Q74" i="3"/>
  <c r="H126" i="1"/>
  <c r="Q2" i="3"/>
  <c r="H15" i="1"/>
  <c r="Q80" i="3"/>
  <c r="H132" i="1"/>
  <c r="Q102" i="3"/>
  <c r="H166" i="1"/>
  <c r="Q88" i="3"/>
  <c r="H142" i="1"/>
  <c r="Q60" i="3"/>
  <c r="H101" i="1"/>
  <c r="Q8" i="3"/>
  <c r="H26" i="1"/>
  <c r="Q38" i="3"/>
  <c r="H67" i="1"/>
  <c r="Q84" i="3"/>
  <c r="H138" i="1"/>
  <c r="Q108" i="3"/>
  <c r="H176" i="1"/>
  <c r="Q69" i="3"/>
  <c r="H113" i="1"/>
  <c r="H154" i="1"/>
  <c r="Q115" i="3"/>
  <c r="H185" i="1"/>
  <c r="Q25" i="3"/>
  <c r="H49" i="1"/>
  <c r="Q29" i="3"/>
  <c r="H60" i="1"/>
  <c r="Q106" i="3"/>
  <c r="H170" i="1"/>
  <c r="Q50" i="3"/>
  <c r="H82" i="1"/>
  <c r="Q67" i="3"/>
  <c r="H109" i="1"/>
  <c r="H34" i="1"/>
  <c r="Q18" i="3"/>
  <c r="H43" i="1"/>
  <c r="Q52" i="3"/>
  <c r="H89" i="1"/>
  <c r="Q90" i="3"/>
  <c r="H146" i="1"/>
  <c r="P71" i="3"/>
  <c r="G118" i="1"/>
  <c r="P5" i="3"/>
  <c r="G20" i="1"/>
  <c r="P60" i="3"/>
  <c r="G101" i="1"/>
  <c r="P2" i="3"/>
  <c r="G15" i="1"/>
  <c r="P25" i="3"/>
  <c r="G49" i="1"/>
  <c r="P92" i="3"/>
  <c r="G154" i="1"/>
  <c r="P67" i="3"/>
  <c r="G109" i="1"/>
  <c r="P29" i="3"/>
  <c r="G60" i="1"/>
  <c r="P112" i="3"/>
  <c r="G181" i="1"/>
  <c r="P47" i="3"/>
  <c r="G78" i="1"/>
  <c r="G94" i="1"/>
  <c r="G132" i="1"/>
  <c r="P8" i="3"/>
  <c r="G26" i="1"/>
  <c r="P90" i="3"/>
  <c r="G146" i="1"/>
  <c r="P50" i="3"/>
  <c r="G82" i="1"/>
  <c r="P98" i="3"/>
  <c r="G160" i="1"/>
  <c r="P65" i="3"/>
  <c r="G105" i="1"/>
  <c r="G170" i="1"/>
  <c r="G142" i="1"/>
  <c r="G113" i="1"/>
  <c r="G126" i="1"/>
  <c r="G73" i="1"/>
  <c r="P12" i="3"/>
  <c r="G34" i="1"/>
  <c r="P115" i="3"/>
  <c r="G185" i="1"/>
  <c r="G176" i="1"/>
  <c r="O98" i="3"/>
  <c r="F160" i="1"/>
  <c r="O69" i="3"/>
  <c r="F113" i="1"/>
  <c r="O57" i="3"/>
  <c r="F94" i="1"/>
  <c r="O92" i="3"/>
  <c r="F154" i="1"/>
  <c r="F43" i="1"/>
  <c r="O74" i="3"/>
  <c r="F126" i="1"/>
  <c r="O65" i="3"/>
  <c r="F105" i="1"/>
  <c r="F78" i="1"/>
  <c r="O112" i="3"/>
  <c r="F181" i="1"/>
  <c r="O71" i="3"/>
  <c r="F118" i="1"/>
  <c r="F142" i="1"/>
  <c r="O2" i="3"/>
  <c r="F15" i="1"/>
  <c r="O102" i="3"/>
  <c r="F166" i="1"/>
  <c r="O108" i="3"/>
  <c r="F176" i="1"/>
  <c r="F49" i="1"/>
  <c r="O80" i="3"/>
  <c r="F132" i="1"/>
  <c r="O106" i="3"/>
  <c r="F170" i="1"/>
  <c r="O90" i="3"/>
  <c r="F146" i="1"/>
  <c r="O52" i="3"/>
  <c r="F89" i="1"/>
  <c r="O84" i="3"/>
  <c r="F138" i="1"/>
  <c r="O8" i="3"/>
  <c r="F26" i="1"/>
  <c r="O29" i="3"/>
  <c r="F60" i="1"/>
  <c r="F20" i="1"/>
  <c r="O43" i="3"/>
  <c r="F73" i="1"/>
  <c r="N109" i="1"/>
  <c r="D34" i="4"/>
  <c r="E34" i="4" s="1"/>
  <c r="N185" i="1"/>
  <c r="J82" i="1"/>
  <c r="K113" i="1"/>
  <c r="D14" i="4"/>
  <c r="E14" i="4" s="1"/>
  <c r="D33" i="4"/>
  <c r="E33" i="4" s="1"/>
  <c r="D22" i="4"/>
  <c r="E22" i="4" s="1"/>
  <c r="D32" i="4"/>
  <c r="E32" i="4" s="1"/>
  <c r="D18" i="4"/>
  <c r="E18" i="4" s="1"/>
  <c r="D13" i="4"/>
  <c r="E13" i="4" s="1"/>
  <c r="I78" i="1"/>
  <c r="O47" i="3"/>
  <c r="I101" i="1"/>
  <c r="O62" i="3"/>
  <c r="I82" i="1"/>
  <c r="O50" i="3"/>
  <c r="D9" i="4"/>
  <c r="E9" i="4" s="1"/>
  <c r="D10" i="4"/>
  <c r="E10" i="4" s="1"/>
  <c r="D25" i="4"/>
  <c r="E25" i="4" s="1"/>
  <c r="O116" i="3"/>
  <c r="P104" i="3"/>
  <c r="K34" i="1"/>
  <c r="Q12" i="3"/>
  <c r="J43" i="1"/>
  <c r="P18" i="3"/>
  <c r="K78" i="1"/>
  <c r="Q48" i="3"/>
  <c r="D15" i="4"/>
  <c r="E15" i="4" s="1"/>
  <c r="D21" i="4"/>
  <c r="E21" i="4" s="1"/>
  <c r="K181" i="1"/>
  <c r="D23" i="4"/>
  <c r="E23" i="4" s="1"/>
  <c r="D29" i="4"/>
  <c r="E29" i="4" s="1"/>
  <c r="D8" i="4"/>
  <c r="E8" i="4" s="1"/>
  <c r="P6" i="3"/>
  <c r="D20" i="4"/>
  <c r="E20" i="4" s="1"/>
  <c r="D17" i="4"/>
  <c r="E17" i="4" s="1"/>
  <c r="J101" i="1"/>
  <c r="P62" i="3"/>
  <c r="D26" i="4"/>
  <c r="E26" i="4" s="1"/>
  <c r="J94" i="1"/>
  <c r="P57" i="3"/>
  <c r="J89" i="1"/>
  <c r="P52" i="3"/>
  <c r="D19" i="4"/>
  <c r="E19" i="4" s="1"/>
  <c r="D12" i="4"/>
  <c r="E12" i="4" s="1"/>
  <c r="K154" i="1"/>
  <c r="J176" i="1"/>
  <c r="D30" i="4"/>
  <c r="E30" i="4" s="1"/>
  <c r="D7" i="4"/>
  <c r="E7" i="4" s="1"/>
  <c r="J170" i="1"/>
  <c r="P106" i="3"/>
  <c r="D24" i="4"/>
  <c r="E24" i="4" s="1"/>
  <c r="I176" i="1"/>
  <c r="O109" i="3"/>
  <c r="K126" i="1"/>
  <c r="I67" i="1"/>
  <c r="O38" i="3"/>
  <c r="I154" i="1"/>
  <c r="K73" i="1"/>
  <c r="Q43" i="3"/>
  <c r="D28" i="4"/>
  <c r="E28" i="4" s="1"/>
  <c r="K94" i="1"/>
  <c r="Q57" i="3"/>
  <c r="J142" i="1"/>
  <c r="P88" i="3"/>
  <c r="Q53" i="3"/>
  <c r="J154" i="1"/>
  <c r="K170" i="1"/>
  <c r="Q5" i="3"/>
  <c r="J20" i="1"/>
  <c r="Q101" i="3"/>
  <c r="O7" i="3"/>
  <c r="D6" i="4"/>
  <c r="E6" i="4" s="1"/>
  <c r="I89" i="1"/>
  <c r="O56" i="3"/>
  <c r="J138" i="1"/>
  <c r="P84" i="3"/>
  <c r="K146" i="1"/>
  <c r="I49" i="1"/>
  <c r="O25" i="3"/>
  <c r="D27" i="4"/>
  <c r="E27" i="4" s="1"/>
  <c r="J132" i="1"/>
  <c r="P80" i="3"/>
  <c r="P39" i="3"/>
  <c r="D31" i="4"/>
  <c r="E31" i="4" s="1"/>
  <c r="D11" i="4"/>
  <c r="E11" i="4" s="1"/>
  <c r="I20" i="1"/>
  <c r="K118" i="1"/>
  <c r="Q73" i="3"/>
  <c r="P108" i="3"/>
  <c r="D16" i="4"/>
  <c r="E16" i="4" s="1"/>
  <c r="J73" i="1"/>
  <c r="K20" i="1"/>
  <c r="K67" i="1"/>
  <c r="J181" i="1"/>
  <c r="I105" i="1"/>
  <c r="K15" i="1"/>
  <c r="J166" i="1"/>
  <c r="K49" i="1"/>
  <c r="K43" i="1"/>
  <c r="J34" i="1"/>
  <c r="I132" i="1"/>
  <c r="K138" i="1"/>
  <c r="I138" i="1"/>
  <c r="J118" i="1"/>
  <c r="I15" i="1"/>
  <c r="J67" i="1"/>
  <c r="I113" i="1"/>
  <c r="J78" i="1"/>
  <c r="J15" i="1"/>
  <c r="I73" i="1"/>
  <c r="I26" i="1"/>
  <c r="J126" i="1"/>
  <c r="K82" i="1"/>
  <c r="I170" i="1"/>
  <c r="I142" i="1"/>
  <c r="I60" i="1"/>
  <c r="J113" i="1"/>
  <c r="K176" i="1"/>
  <c r="K101" i="1"/>
  <c r="K89" i="1"/>
  <c r="J105" i="1"/>
  <c r="K60" i="1"/>
  <c r="I43" i="1"/>
  <c r="I181" i="1"/>
  <c r="I166" i="1"/>
  <c r="E189" i="1"/>
  <c r="I185" i="1"/>
  <c r="J26" i="1"/>
  <c r="K166" i="1"/>
  <c r="J60" i="1"/>
  <c r="I146" i="1"/>
  <c r="K142" i="1"/>
  <c r="K109" i="1"/>
  <c r="K132" i="1"/>
  <c r="J49" i="1"/>
  <c r="I118" i="1"/>
  <c r="K26" i="1"/>
  <c r="K160" i="1"/>
  <c r="J185" i="1"/>
  <c r="I94" i="1"/>
  <c r="J109" i="1"/>
  <c r="K185" i="1"/>
  <c r="I160" i="1"/>
  <c r="J160" i="1"/>
  <c r="I126" i="1"/>
  <c r="J146" i="1"/>
  <c r="J144" i="6" l="1"/>
  <c r="L144" i="6" s="1"/>
  <c r="J112" i="6"/>
  <c r="J80" i="6"/>
  <c r="J48" i="6"/>
  <c r="J16" i="6"/>
  <c r="B45" i="6"/>
  <c r="B46" i="6" s="1"/>
  <c r="B47" i="6" s="1"/>
  <c r="J25" i="6"/>
  <c r="J56" i="6"/>
  <c r="J55" i="6"/>
  <c r="J126" i="6"/>
  <c r="L126" i="6" s="1"/>
  <c r="J51" i="6"/>
  <c r="J136" i="6"/>
  <c r="L136" i="6" s="1"/>
  <c r="O7" i="6"/>
  <c r="J156" i="6"/>
  <c r="L156" i="6" s="1"/>
  <c r="J165" i="6"/>
  <c r="L165" i="6" s="1"/>
  <c r="J133" i="6"/>
  <c r="L133" i="6" s="1"/>
  <c r="J101" i="6"/>
  <c r="J69" i="6"/>
  <c r="J37" i="6"/>
  <c r="J34" i="6"/>
  <c r="J62" i="6"/>
  <c r="J147" i="6"/>
  <c r="L147" i="6" s="1"/>
  <c r="J157" i="6"/>
  <c r="L157" i="6" s="1"/>
  <c r="J93" i="6"/>
  <c r="J92" i="6"/>
  <c r="J17" i="6"/>
  <c r="J154" i="6"/>
  <c r="L154" i="6" s="1"/>
  <c r="J122" i="6"/>
  <c r="L122" i="6" s="1"/>
  <c r="J90" i="6"/>
  <c r="J58" i="6"/>
  <c r="J26" i="6"/>
  <c r="J46" i="6"/>
  <c r="J35" i="6"/>
  <c r="J152" i="6"/>
  <c r="L152" i="6" s="1"/>
  <c r="J109" i="6"/>
  <c r="J77" i="6"/>
  <c r="J98" i="6"/>
  <c r="J23" i="6"/>
  <c r="J140" i="6"/>
  <c r="L140" i="6" s="1"/>
  <c r="J108" i="6"/>
  <c r="J44" i="6"/>
  <c r="J65" i="6"/>
  <c r="J33" i="6"/>
  <c r="J20" i="6"/>
  <c r="J9" i="6"/>
  <c r="K9" i="6" s="1"/>
  <c r="J30" i="6"/>
  <c r="J83" i="6"/>
  <c r="J72" i="6"/>
  <c r="J29" i="6"/>
  <c r="J28" i="6"/>
  <c r="J143" i="6"/>
  <c r="L143" i="6" s="1"/>
  <c r="J111" i="6"/>
  <c r="J79" i="6"/>
  <c r="J47" i="6"/>
  <c r="J15" i="6"/>
  <c r="J153" i="6"/>
  <c r="L153" i="6" s="1"/>
  <c r="J121" i="6"/>
  <c r="L121" i="6" s="1"/>
  <c r="J89" i="6"/>
  <c r="J57" i="6"/>
  <c r="J142" i="6"/>
  <c r="L142" i="6" s="1"/>
  <c r="J110" i="6"/>
  <c r="J78" i="6"/>
  <c r="J14" i="6"/>
  <c r="J163" i="6"/>
  <c r="L163" i="6" s="1"/>
  <c r="J131" i="6"/>
  <c r="L131" i="6" s="1"/>
  <c r="J67" i="6"/>
  <c r="J120" i="6"/>
  <c r="L120" i="6" s="1"/>
  <c r="J88" i="6"/>
  <c r="J24" i="6"/>
  <c r="J45" i="6"/>
  <c r="J151" i="6"/>
  <c r="L151" i="6" s="1"/>
  <c r="J129" i="6"/>
  <c r="L129" i="6" s="1"/>
  <c r="J146" i="6"/>
  <c r="L146" i="6" s="1"/>
  <c r="J82" i="6"/>
  <c r="J50" i="6"/>
  <c r="J135" i="6"/>
  <c r="L135" i="6" s="1"/>
  <c r="J60" i="6"/>
  <c r="J164" i="6"/>
  <c r="L164" i="6" s="1"/>
  <c r="J132" i="6"/>
  <c r="L132" i="6" s="1"/>
  <c r="J100" i="6"/>
  <c r="J68" i="6"/>
  <c r="J36" i="6"/>
  <c r="J99" i="6"/>
  <c r="J141" i="6"/>
  <c r="L141" i="6" s="1"/>
  <c r="J13" i="6"/>
  <c r="J130" i="6"/>
  <c r="L130" i="6" s="1"/>
  <c r="J119" i="6"/>
  <c r="L119" i="6" s="1"/>
  <c r="J87" i="6"/>
  <c r="J76" i="6"/>
  <c r="J12" i="6"/>
  <c r="J161" i="6"/>
  <c r="L161" i="6" s="1"/>
  <c r="J97" i="6"/>
  <c r="J116" i="6"/>
  <c r="J41" i="6"/>
  <c r="J8" i="6"/>
  <c r="K8" i="6" s="1"/>
  <c r="J81" i="6"/>
  <c r="J66" i="6"/>
  <c r="J162" i="6"/>
  <c r="L162" i="6" s="1"/>
  <c r="J148" i="6"/>
  <c r="L148" i="6" s="1"/>
  <c r="J158" i="6"/>
  <c r="L158" i="6" s="1"/>
  <c r="J115" i="6"/>
  <c r="J125" i="6"/>
  <c r="L125" i="6" s="1"/>
  <c r="J114" i="6"/>
  <c r="J150" i="6"/>
  <c r="L150" i="6" s="1"/>
  <c r="J118" i="6"/>
  <c r="L118" i="6" s="1"/>
  <c r="J86" i="6"/>
  <c r="J54" i="6"/>
  <c r="J22" i="6"/>
  <c r="J139" i="6"/>
  <c r="L139" i="6" s="1"/>
  <c r="J107" i="6"/>
  <c r="J75" i="6"/>
  <c r="J43" i="6"/>
  <c r="J11" i="6"/>
  <c r="J160" i="6"/>
  <c r="L160" i="6" s="1"/>
  <c r="J128" i="6"/>
  <c r="L128" i="6" s="1"/>
  <c r="J96" i="6"/>
  <c r="J64" i="6"/>
  <c r="J32" i="6"/>
  <c r="J159" i="6"/>
  <c r="L159" i="6" s="1"/>
  <c r="J95" i="6"/>
  <c r="J63" i="6"/>
  <c r="J84" i="6"/>
  <c r="J52" i="6"/>
  <c r="Q7" i="6"/>
  <c r="P7" i="6"/>
  <c r="J19" i="6"/>
  <c r="J104" i="6"/>
  <c r="J40" i="6"/>
  <c r="J18" i="6"/>
  <c r="J103" i="6"/>
  <c r="J71" i="6"/>
  <c r="J39" i="6"/>
  <c r="J7" i="6"/>
  <c r="K7" i="6" s="1"/>
  <c r="J124" i="6"/>
  <c r="L124" i="6" s="1"/>
  <c r="J49" i="6"/>
  <c r="B48" i="6"/>
  <c r="J38" i="6"/>
  <c r="J149" i="6"/>
  <c r="L149" i="6" s="1"/>
  <c r="J117" i="6"/>
  <c r="L117" i="6" s="1"/>
  <c r="J85" i="6"/>
  <c r="J53" i="6"/>
  <c r="J21" i="6"/>
  <c r="J138" i="6"/>
  <c r="L138" i="6" s="1"/>
  <c r="J106" i="6"/>
  <c r="J74" i="6"/>
  <c r="J42" i="6"/>
  <c r="J10" i="6"/>
  <c r="K10" i="6" s="1"/>
  <c r="S7" i="6"/>
  <c r="J127" i="6"/>
  <c r="L127" i="6" s="1"/>
  <c r="J31" i="6"/>
  <c r="R7" i="6"/>
  <c r="J94" i="6"/>
  <c r="P6" i="6"/>
  <c r="J61" i="6"/>
  <c r="J145" i="6"/>
  <c r="L145" i="6" s="1"/>
  <c r="R6" i="6"/>
  <c r="J137" i="6"/>
  <c r="L137" i="6" s="1"/>
  <c r="J105" i="6"/>
  <c r="J73" i="6"/>
  <c r="J166" i="6"/>
  <c r="L166" i="6" s="1"/>
  <c r="J134" i="6"/>
  <c r="L134" i="6" s="1"/>
  <c r="J102" i="6"/>
  <c r="J70" i="6"/>
  <c r="J6" i="6"/>
  <c r="K6" i="6" s="1"/>
  <c r="J155" i="6"/>
  <c r="L155" i="6" s="1"/>
  <c r="J123" i="6"/>
  <c r="L123" i="6" s="1"/>
  <c r="J91" i="6"/>
  <c r="J59" i="6"/>
  <c r="J27" i="6"/>
  <c r="J113" i="6"/>
  <c r="D38" i="4"/>
  <c r="D43" i="4"/>
  <c r="E43" i="4" s="1"/>
  <c r="J191" i="1"/>
  <c r="G194" i="1" s="1"/>
  <c r="K192" i="1"/>
  <c r="H195" i="1" s="1"/>
  <c r="I190" i="1"/>
  <c r="F193" i="1" s="1"/>
  <c r="L40" i="6" l="1"/>
  <c r="K40" i="6"/>
  <c r="L26" i="6"/>
  <c r="K26" i="6"/>
  <c r="L90" i="6"/>
  <c r="K90" i="6"/>
  <c r="L84" i="6"/>
  <c r="K84" i="6"/>
  <c r="L95" i="6"/>
  <c r="K95" i="6"/>
  <c r="L64" i="6"/>
  <c r="K64" i="6"/>
  <c r="L111" i="6"/>
  <c r="K111" i="6"/>
  <c r="L74" i="6"/>
  <c r="K74" i="6"/>
  <c r="L75" i="6"/>
  <c r="K75" i="6"/>
  <c r="L30" i="6"/>
  <c r="K30" i="6"/>
  <c r="L33" i="6"/>
  <c r="K33" i="6"/>
  <c r="L86" i="6"/>
  <c r="K86" i="6"/>
  <c r="L91" i="6"/>
  <c r="K91" i="6"/>
  <c r="L115" i="6"/>
  <c r="K115" i="6"/>
  <c r="L104" i="6"/>
  <c r="K104" i="6"/>
  <c r="L58" i="6"/>
  <c r="K58" i="6"/>
  <c r="L52" i="6"/>
  <c r="K52" i="6"/>
  <c r="L37" i="6"/>
  <c r="K37" i="6"/>
  <c r="L36" i="6"/>
  <c r="K36" i="6"/>
  <c r="L101" i="6"/>
  <c r="K101" i="6"/>
  <c r="L107" i="6"/>
  <c r="K107" i="6"/>
  <c r="L85" i="6"/>
  <c r="K85" i="6"/>
  <c r="L50" i="6"/>
  <c r="K50" i="6"/>
  <c r="L27" i="6"/>
  <c r="K27" i="6"/>
  <c r="L55" i="6"/>
  <c r="K55" i="6"/>
  <c r="L59" i="6"/>
  <c r="K59" i="6"/>
  <c r="L49" i="6"/>
  <c r="K49" i="6"/>
  <c r="L25" i="6"/>
  <c r="K25" i="6"/>
  <c r="L77" i="6"/>
  <c r="K77" i="6"/>
  <c r="L48" i="6"/>
  <c r="K48" i="6"/>
  <c r="L46" i="6"/>
  <c r="K46" i="6"/>
  <c r="L73" i="6"/>
  <c r="K73" i="6"/>
  <c r="L78" i="6"/>
  <c r="K78" i="6"/>
  <c r="L116" i="6"/>
  <c r="K116" i="6"/>
  <c r="L61" i="6"/>
  <c r="K61" i="6"/>
  <c r="L76" i="6"/>
  <c r="K76" i="6"/>
  <c r="L94" i="6"/>
  <c r="K94" i="6"/>
  <c r="L47" i="6"/>
  <c r="K47" i="6"/>
  <c r="L34" i="6"/>
  <c r="K34" i="6"/>
  <c r="L99" i="6"/>
  <c r="K99" i="6"/>
  <c r="L28" i="6"/>
  <c r="K28" i="6"/>
  <c r="L68" i="6"/>
  <c r="K68" i="6"/>
  <c r="L106" i="6"/>
  <c r="K106" i="6"/>
  <c r="L100" i="6"/>
  <c r="K100" i="6"/>
  <c r="L60" i="6"/>
  <c r="K60" i="6"/>
  <c r="L51" i="6"/>
  <c r="K51" i="6"/>
  <c r="L82" i="6"/>
  <c r="K82" i="6"/>
  <c r="L38" i="6"/>
  <c r="K38" i="6"/>
  <c r="L44" i="6"/>
  <c r="K44" i="6"/>
  <c r="L108" i="6"/>
  <c r="K108" i="6"/>
  <c r="L24" i="6"/>
  <c r="K24" i="6"/>
  <c r="L70" i="6"/>
  <c r="K70" i="6"/>
  <c r="L109" i="6"/>
  <c r="K109" i="6"/>
  <c r="L80" i="6"/>
  <c r="K80" i="6"/>
  <c r="L105" i="6"/>
  <c r="K105" i="6"/>
  <c r="L41" i="6"/>
  <c r="K41" i="6"/>
  <c r="L110" i="6"/>
  <c r="K110" i="6"/>
  <c r="L97" i="6"/>
  <c r="K97" i="6"/>
  <c r="L57" i="6"/>
  <c r="K57" i="6"/>
  <c r="L89" i="6"/>
  <c r="K89" i="6"/>
  <c r="L63" i="6"/>
  <c r="K63" i="6"/>
  <c r="L93" i="6"/>
  <c r="K93" i="6"/>
  <c r="L32" i="6"/>
  <c r="K32" i="6"/>
  <c r="L62" i="6"/>
  <c r="K62" i="6"/>
  <c r="L69" i="6"/>
  <c r="K69" i="6"/>
  <c r="L72" i="6"/>
  <c r="K72" i="6"/>
  <c r="L83" i="6"/>
  <c r="K83" i="6"/>
  <c r="L54" i="6"/>
  <c r="K54" i="6"/>
  <c r="L113" i="6"/>
  <c r="K113" i="6"/>
  <c r="L65" i="6"/>
  <c r="K65" i="6"/>
  <c r="L56" i="6"/>
  <c r="K56" i="6"/>
  <c r="L114" i="6"/>
  <c r="K114" i="6"/>
  <c r="L45" i="6"/>
  <c r="K45" i="6"/>
  <c r="L98" i="6"/>
  <c r="K98" i="6"/>
  <c r="L88" i="6"/>
  <c r="K88" i="6"/>
  <c r="L103" i="6"/>
  <c r="K103" i="6"/>
  <c r="L67" i="6"/>
  <c r="K67" i="6"/>
  <c r="L112" i="6"/>
  <c r="K112" i="6"/>
  <c r="L81" i="6"/>
  <c r="K81" i="6"/>
  <c r="L92" i="6"/>
  <c r="K92" i="6"/>
  <c r="L87" i="6"/>
  <c r="K87" i="6"/>
  <c r="L31" i="6"/>
  <c r="K31" i="6"/>
  <c r="L79" i="6"/>
  <c r="K79" i="6"/>
  <c r="L96" i="6"/>
  <c r="K96" i="6"/>
  <c r="L42" i="6"/>
  <c r="K42" i="6"/>
  <c r="L29" i="6"/>
  <c r="K29" i="6"/>
  <c r="L43" i="6"/>
  <c r="K43" i="6"/>
  <c r="L53" i="6"/>
  <c r="K53" i="6"/>
  <c r="L23" i="6"/>
  <c r="K23" i="6"/>
  <c r="L39" i="6"/>
  <c r="K39" i="6"/>
  <c r="L71" i="6"/>
  <c r="K71" i="6"/>
  <c r="L102" i="6"/>
  <c r="K102" i="6"/>
  <c r="L66" i="6"/>
  <c r="K66" i="6"/>
  <c r="L35" i="6"/>
  <c r="K35" i="6"/>
  <c r="L12" i="6"/>
  <c r="K12" i="6"/>
  <c r="L14" i="6"/>
  <c r="K14" i="6"/>
  <c r="L15" i="6"/>
  <c r="K15" i="6"/>
  <c r="L13" i="6"/>
  <c r="K13" i="6"/>
  <c r="L21" i="6"/>
  <c r="K21" i="6"/>
  <c r="L16" i="6"/>
  <c r="K16" i="6"/>
  <c r="L20" i="6"/>
  <c r="K20" i="6"/>
  <c r="L19" i="6"/>
  <c r="K19" i="6"/>
  <c r="L17" i="6"/>
  <c r="K17" i="6"/>
  <c r="L22" i="6"/>
  <c r="K22" i="6"/>
  <c r="L11" i="6"/>
  <c r="K11" i="6"/>
  <c r="L18" i="6"/>
  <c r="K18" i="6"/>
  <c r="E38" i="4"/>
  <c r="D39" i="4"/>
  <c r="E39" i="4" l="1"/>
  <c r="D40" i="4"/>
  <c r="E4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<sst xmlns="http://schemas.openxmlformats.org/spreadsheetml/2006/main" count="1357" uniqueCount="890">
  <si>
    <t>Aircraft Mass Properties Tracker</t>
  </si>
  <si>
    <t>Coordinate system: X = longitudinal (aft +), Y = lateral (right +), Z = vertical (up +). Units: mass in kg, positions in m. Moments = mass × position.</t>
  </si>
  <si>
    <t>ATA</t>
  </si>
  <si>
    <t>Component</t>
  </si>
  <si>
    <t>Description / P/N</t>
  </si>
  <si>
    <t>Qty</t>
  </si>
  <si>
    <t>Notes</t>
  </si>
  <si>
    <t>ATA 21</t>
  </si>
  <si>
    <t>Air Conditioning</t>
  </si>
  <si>
    <t>Pack 1</t>
  </si>
  <si>
    <t>Pack 2</t>
  </si>
  <si>
    <t>Mix Manifold</t>
  </si>
  <si>
    <t>ATA 21 Subtotal</t>
  </si>
  <si>
    <t>ATA 22</t>
  </si>
  <si>
    <t>Auto Flight</t>
  </si>
  <si>
    <t>FCC 1</t>
  </si>
  <si>
    <t>FCC 2</t>
  </si>
  <si>
    <t>Autothrottle Servo</t>
  </si>
  <si>
    <t>ATA 22 Subtotal</t>
  </si>
  <si>
    <t>ATA 23</t>
  </si>
  <si>
    <t>Communications</t>
  </si>
  <si>
    <t>VHF Comm 1</t>
  </si>
  <si>
    <t>VHF Comm 2</t>
  </si>
  <si>
    <t>SATCOM</t>
  </si>
  <si>
    <t>CVR</t>
  </si>
  <si>
    <t>ATA 23 Subtotal</t>
  </si>
  <si>
    <t>ATA 24</t>
  </si>
  <si>
    <t>Electrical Power</t>
  </si>
  <si>
    <t>IDG 1</t>
  </si>
  <si>
    <t>IDG 2</t>
  </si>
  <si>
    <t>APU Generator</t>
  </si>
  <si>
    <t>Main Battery</t>
  </si>
  <si>
    <t>TRU 1</t>
  </si>
  <si>
    <t>TRU 2</t>
  </si>
  <si>
    <t>ATA 24 Subtotal</t>
  </si>
  <si>
    <t>ATA 25</t>
  </si>
  <si>
    <t>Equipment / Furnishings</t>
  </si>
  <si>
    <t>Flight Deck Seats</t>
  </si>
  <si>
    <t>Cabin Seats</t>
  </si>
  <si>
    <t>Galley Fwd</t>
  </si>
  <si>
    <t>Galley Aft</t>
  </si>
  <si>
    <t>Lavatory Fwd</t>
  </si>
  <si>
    <t>Lavatory Aft</t>
  </si>
  <si>
    <t>Overhead Bins</t>
  </si>
  <si>
    <t>ATA 25 Subtotal</t>
  </si>
  <si>
    <t>ATA 26</t>
  </si>
  <si>
    <t>Fire Protection</t>
  </si>
  <si>
    <t>Engine 1 Fire Bottle</t>
  </si>
  <si>
    <t>Engine 2 Fire Bottle</t>
  </si>
  <si>
    <t>APU Fire Bottle</t>
  </si>
  <si>
    <t>Cargo Fire Bottles</t>
  </si>
  <si>
    <t>ATA 26 Subtotal</t>
  </si>
  <si>
    <t>ATA 27</t>
  </si>
  <si>
    <t>Flight Controls</t>
  </si>
  <si>
    <t>Aileron LH</t>
  </si>
  <si>
    <t>Aileron RH</t>
  </si>
  <si>
    <t>Elevator LH</t>
  </si>
  <si>
    <t>Elevator RH</t>
  </si>
  <si>
    <t>Rudder</t>
  </si>
  <si>
    <t>Flap LH</t>
  </si>
  <si>
    <t>Flap RH</t>
  </si>
  <si>
    <t>Spoilers</t>
  </si>
  <si>
    <t>PCU Assemblies</t>
  </si>
  <si>
    <t>ATA 27 Subtotal</t>
  </si>
  <si>
    <t>ATA 28</t>
  </si>
  <si>
    <t>Fuel</t>
  </si>
  <si>
    <t>Fuel Tank LH (full)</t>
  </si>
  <si>
    <t>Fuel Tank RH (full)</t>
  </si>
  <si>
    <t>Center Tank (full)</t>
  </si>
  <si>
    <t>Boost Pumps</t>
  </si>
  <si>
    <t>Fuel Lines</t>
  </si>
  <si>
    <t>ATA 28 Subtotal</t>
  </si>
  <si>
    <t>ATA 29</t>
  </si>
  <si>
    <t>Hydraulic Power</t>
  </si>
  <si>
    <t>Hyd System A Pump</t>
  </si>
  <si>
    <t>Hyd System B Pump</t>
  </si>
  <si>
    <t>Hyd Reservoir A</t>
  </si>
  <si>
    <t>Hyd Reservoir B</t>
  </si>
  <si>
    <t>ATA 29 Subtotal</t>
  </si>
  <si>
    <t>ATA 30</t>
  </si>
  <si>
    <t>Ice &amp; Rain Protection</t>
  </si>
  <si>
    <t>Wing Anti-Ice Ducting</t>
  </si>
  <si>
    <t>Engine Anti-Ice Valves</t>
  </si>
  <si>
    <t>Window Heat</t>
  </si>
  <si>
    <t>ATA 30 Subtotal</t>
  </si>
  <si>
    <t>ATA 31</t>
  </si>
  <si>
    <t>Indicating / Recording</t>
  </si>
  <si>
    <t>DFDR</t>
  </si>
  <si>
    <t>Display Units</t>
  </si>
  <si>
    <t>ATA 31 Subtotal</t>
  </si>
  <si>
    <t>ATA 32</t>
  </si>
  <si>
    <t>Landing Gear</t>
  </si>
  <si>
    <t>Nose Gear Assy</t>
  </si>
  <si>
    <t>MLG LH</t>
  </si>
  <si>
    <t>MLG RH</t>
  </si>
  <si>
    <t>Brakes</t>
  </si>
  <si>
    <t>Wheels &amp; Tires</t>
  </si>
  <si>
    <t>ATA 32 Subtotal</t>
  </si>
  <si>
    <t>ATA 33</t>
  </si>
  <si>
    <t>Lights</t>
  </si>
  <si>
    <t>Landing Lights</t>
  </si>
  <si>
    <t>Nav Lights</t>
  </si>
  <si>
    <t>Cabin Lighting</t>
  </si>
  <si>
    <t>ATA 33 Subtotal</t>
  </si>
  <si>
    <t>ATA 34</t>
  </si>
  <si>
    <t>Navigation</t>
  </si>
  <si>
    <t>IRS 1</t>
  </si>
  <si>
    <t>IRS 2</t>
  </si>
  <si>
    <t>GPS</t>
  </si>
  <si>
    <t>Weather Radar</t>
  </si>
  <si>
    <t>Radio Altimeter</t>
  </si>
  <si>
    <t>ATA 34 Subtotal</t>
  </si>
  <si>
    <t>ATA 35</t>
  </si>
  <si>
    <t>Oxygen</t>
  </si>
  <si>
    <t>Crew O2 Bottle</t>
  </si>
  <si>
    <t>Pax O2 Generators</t>
  </si>
  <si>
    <t>ATA 35 Subtotal</t>
  </si>
  <si>
    <t>ATA 36</t>
  </si>
  <si>
    <t>Pneumatic</t>
  </si>
  <si>
    <t>Bleed Air Ducting</t>
  </si>
  <si>
    <t>Precoolers</t>
  </si>
  <si>
    <t>ATA 36 Subtotal</t>
  </si>
  <si>
    <t>ATA 38</t>
  </si>
  <si>
    <t>Water / Waste</t>
  </si>
  <si>
    <t>Potable Water Tank</t>
  </si>
  <si>
    <t>Waste Tank</t>
  </si>
  <si>
    <t>ATA 38 Subtotal</t>
  </si>
  <si>
    <t>ATA 49</t>
  </si>
  <si>
    <t>APU</t>
  </si>
  <si>
    <t>APU Assembly</t>
  </si>
  <si>
    <t>APU Mounts</t>
  </si>
  <si>
    <t>APU Inlet/Exhaust</t>
  </si>
  <si>
    <t>ATA 49 Subtotal</t>
  </si>
  <si>
    <t>ATA 52</t>
  </si>
  <si>
    <t>Doors</t>
  </si>
  <si>
    <t>Fwd Pax Door LH</t>
  </si>
  <si>
    <t>Fwd Pax Door RH</t>
  </si>
  <si>
    <t>Aft Pax Door LH</t>
  </si>
  <si>
    <t>Aft Pax Door RH</t>
  </si>
  <si>
    <t>Cargo Door Fwd</t>
  </si>
  <si>
    <t>Cargo Door Aft</t>
  </si>
  <si>
    <t>ATA 52 Subtotal</t>
  </si>
  <si>
    <t>ATA 53</t>
  </si>
  <si>
    <t>Fuselage</t>
  </si>
  <si>
    <t>Fwd Fuselage Section</t>
  </si>
  <si>
    <t>Center Fuselage Section</t>
  </si>
  <si>
    <t>Aft Fuselage Section</t>
  </si>
  <si>
    <t>Pressure Bulkhead</t>
  </si>
  <si>
    <t>ATA 53 Subtotal</t>
  </si>
  <si>
    <t>ATA 54</t>
  </si>
  <si>
    <t>Nacelles / Pylons</t>
  </si>
  <si>
    <t>Pylon LH</t>
  </si>
  <si>
    <t>Pylon RH</t>
  </si>
  <si>
    <t>Nacelle LH</t>
  </si>
  <si>
    <t>Nacelle RH</t>
  </si>
  <si>
    <t>ATA 54 Subtotal</t>
  </si>
  <si>
    <t>ATA 55</t>
  </si>
  <si>
    <t>Stabilizers</t>
  </si>
  <si>
    <t>Horizontal Stab</t>
  </si>
  <si>
    <t>Vertical Stab</t>
  </si>
  <si>
    <t>ATA 55 Subtotal</t>
  </si>
  <si>
    <t>ATA 56</t>
  </si>
  <si>
    <t>Windows</t>
  </si>
  <si>
    <t>Flight Deck Windows</t>
  </si>
  <si>
    <t>Cabin Windows</t>
  </si>
  <si>
    <t>ATA 56 Subtotal</t>
  </si>
  <si>
    <t>ATA 57</t>
  </si>
  <si>
    <t>Wings</t>
  </si>
  <si>
    <t>Wing Box LH</t>
  </si>
  <si>
    <t>Wing Box RH</t>
  </si>
  <si>
    <t>Wing Skins LH</t>
  </si>
  <si>
    <t>Wing Skins RH</t>
  </si>
  <si>
    <t>Leading Edge</t>
  </si>
  <si>
    <t>Trailing Edge</t>
  </si>
  <si>
    <t>ATA 57 Subtotal</t>
  </si>
  <si>
    <t>ATA 71</t>
  </si>
  <si>
    <t>Power Plant</t>
  </si>
  <si>
    <t>Engine 1 Core</t>
  </si>
  <si>
    <t>Engine 2 Core</t>
  </si>
  <si>
    <t>Engine Mounts LH</t>
  </si>
  <si>
    <t>Engine Mounts RH</t>
  </si>
  <si>
    <t>ATA 71 Subtotal</t>
  </si>
  <si>
    <t>ATA 73</t>
  </si>
  <si>
    <t>Engine Fuel &amp; Control</t>
  </si>
  <si>
    <t>FADEC 1</t>
  </si>
  <si>
    <t>FADEC 2</t>
  </si>
  <si>
    <t>Fuel Metering Unit 1</t>
  </si>
  <si>
    <t>Fuel Metering Unit 2</t>
  </si>
  <si>
    <t>ATA 73 Subtotal</t>
  </si>
  <si>
    <t>ATA 75</t>
  </si>
  <si>
    <t>Engine Air</t>
  </si>
  <si>
    <t>Bleed Valves</t>
  </si>
  <si>
    <t>Variable Stator Vanes</t>
  </si>
  <si>
    <t>ATA 75 Subtotal</t>
  </si>
  <si>
    <t>ATA 78</t>
  </si>
  <si>
    <t>Exhaust</t>
  </si>
  <si>
    <t>Exhaust Nozzle LH</t>
  </si>
  <si>
    <t>Exhaust Nozzle RH</t>
  </si>
  <si>
    <t>Thrust Reverser LH</t>
  </si>
  <si>
    <t>Thrust Reverser RH</t>
  </si>
  <si>
    <t>ATA 78 Subtotal</t>
  </si>
  <si>
    <t>ATA 79</t>
  </si>
  <si>
    <t>Engine Oil</t>
  </si>
  <si>
    <t>Oil Tank 1</t>
  </si>
  <si>
    <t>Oil Tank 2</t>
  </si>
  <si>
    <t>Oil Coolers</t>
  </si>
  <si>
    <t>ATA 79 Subtotal</t>
  </si>
  <si>
    <t>ATA 80</t>
  </si>
  <si>
    <t>Starting</t>
  </si>
  <si>
    <t>Starter 1</t>
  </si>
  <si>
    <t>Starter 2</t>
  </si>
  <si>
    <t>ATA 80 Subtotal</t>
  </si>
  <si>
    <t>AIRCRAFT TOTAL / CG</t>
  </si>
  <si>
    <t>Aft of wing, LH</t>
  </si>
  <si>
    <t>Aft of wing, RH</t>
  </si>
  <si>
    <t>Avionics bay fwd</t>
  </si>
  <si>
    <t>Throttle quadrant</t>
  </si>
  <si>
    <t>Upper aft fuselage</t>
  </si>
  <si>
    <t>Aft fuselage (crashworthy)</t>
  </si>
  <si>
    <t>Engine accessory gearbox LH</t>
  </si>
  <si>
    <t>Engine accessory gearbox RH</t>
  </si>
  <si>
    <t>On APU</t>
  </si>
  <si>
    <t>Fwd equipment bay, 2x NiCd</t>
  </si>
  <si>
    <t>2 crew</t>
  </si>
  <si>
    <t>9 pax club + divan avg position</t>
  </si>
  <si>
    <t>Distributed, lumped at cabin centroid</t>
  </si>
  <si>
    <t>T-tail</t>
  </si>
  <si>
    <t>2 per wing</t>
  </si>
  <si>
    <t>Distributed</t>
  </si>
  <si>
    <t>Integral wing tank, ~3100 L Jet A</t>
  </si>
  <si>
    <t>Wing center section</t>
  </si>
  <si>
    <t>Lumped</t>
  </si>
  <si>
    <t>Engine-driven LH</t>
  </si>
  <si>
    <t>Engine-driven RH</t>
  </si>
  <si>
    <t>Bleed-air leading edge</t>
  </si>
  <si>
    <t>Cockpit</t>
  </si>
  <si>
    <t>Retracted position centroid</t>
  </si>
  <si>
    <t>4 wheels</t>
  </si>
  <si>
    <t>4 MLG + 2 NLG</t>
  </si>
  <si>
    <t>Wing root / MLG</t>
  </si>
  <si>
    <t>Wingtips + tail</t>
  </si>
  <si>
    <t>Antennas on top fuselage</t>
  </si>
  <si>
    <t>Nose radome</t>
  </si>
  <si>
    <t>Fwd equipment bay</t>
  </si>
  <si>
    <t>Chemical generators in PSU</t>
  </si>
  <si>
    <t>Engine to wing/pack</t>
  </si>
  <si>
    <t>~60 L at 100% fill</t>
  </si>
  <si>
    <t>Aft of aft lav</t>
  </si>
  <si>
    <t>Aft fuselage, typ. P&amp;W 901 class</t>
  </si>
  <si>
    <t>Main entry / airstair</t>
  </si>
  <si>
    <t>Service door</t>
  </si>
  <si>
    <t>Emergency exit</t>
  </si>
  <si>
    <t>Belly nose baggage</t>
  </si>
  <si>
    <t>External aft baggage</t>
  </si>
  <si>
    <t>Nose to fwd pressure bulkhead</t>
  </si>
  <si>
    <t>Wing carry-through</t>
  </si>
  <si>
    <t>Pressurized aft + tailcone</t>
  </si>
  <si>
    <t>Aft pressure bulkhead</t>
  </si>
  <si>
    <t>T-tail top of vertical</t>
  </si>
  <si>
    <t>5-panel, lumped</t>
  </si>
  <si>
    <t>7 per side</t>
  </si>
  <si>
    <t>Both wings, lumped</t>
  </si>
  <si>
    <t>Dry weight, aft fuselage mount</t>
  </si>
  <si>
    <t>Per engine actuator</t>
  </si>
  <si>
    <t>Air turbine starter</t>
  </si>
  <si>
    <t>Version</t>
  </si>
  <si>
    <t>Status</t>
  </si>
  <si>
    <t>Draft</t>
  </si>
  <si>
    <t>Last Updated</t>
  </si>
  <si>
    <t>Author</t>
  </si>
  <si>
    <t>Change Note</t>
  </si>
  <si>
    <t>Initial business jet baseline (Challenger 350 / Praetor 500 class)</t>
  </si>
  <si>
    <t>version</t>
  </si>
  <si>
    <t>status</t>
  </si>
  <si>
    <t>last_updated</t>
  </si>
  <si>
    <t>author</t>
  </si>
  <si>
    <t>change_note</t>
  </si>
  <si>
    <t>ata</t>
  </si>
  <si>
    <t>component</t>
  </si>
  <si>
    <t>description</t>
  </si>
  <si>
    <t>qty</t>
  </si>
  <si>
    <t>unit_mass_kg</t>
  </si>
  <si>
    <t>total_mass_kg</t>
  </si>
  <si>
    <t>x_m</t>
  </si>
  <si>
    <t>y_m</t>
  </si>
  <si>
    <t>z_m</t>
  </si>
  <si>
    <t>mx_kgm</t>
  </si>
  <si>
    <t>my_kgm</t>
  </si>
  <si>
    <t>mz_kgm</t>
  </si>
  <si>
    <t>notes</t>
  </si>
  <si>
    <t>EXPORT INSTRUCTIONS</t>
  </si>
  <si>
    <t>1. Bump version + change note on the Mass sheet (B1, B5).</t>
  </si>
  <si>
    <t>2. Update status (B2) and date (B3) on the Mass sheet.</t>
  </si>
  <si>
    <t>3. File → Save As → CSV (Comma delimited) → save THIS sheet only.</t>
  </si>
  <si>
    <t xml:space="preserve">   OR run the Export macro / use the Claude export button below.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</si>
  <si>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</si>
  <si>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</si>
  <si>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</si>
  <si>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</si>
  <si>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</si>
  <si>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</si>
  <si>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</si>
  <si>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</si>
  <si>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</si>
  <si>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</si>
  <si>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</si>
  <si>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</si>
  <si>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</si>
  <si>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</si>
  <si>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</si>
  <si>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</si>
  <si>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</si>
  <si>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</si>
  <si>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</si>
  <si>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</si>
  <si>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</si>
  <si>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</si>
  <si>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</si>
  <si>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</si>
  <si>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</si>
  <si>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</si>
  <si>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</si>
  <si>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</si>
  <si>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</si>
  <si>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X (ft)</t>
  </si>
  <si>
    <t>Y (ft)</t>
  </si>
  <si>
    <t>Z (ft)</t>
  </si>
  <si>
    <t>Mx (lbm·ft)</t>
  </si>
  <si>
    <t>My (lbm·ft)</t>
  </si>
  <si>
    <t>Mz (lbm·ft)</t>
  </si>
  <si>
    <t>Target (lbm)</t>
  </si>
  <si>
    <t>Δ (lbm)</t>
  </si>
  <si>
    <t>Target Mass (lbm)</t>
  </si>
  <si>
    <t>Current (lbm)</t>
  </si>
  <si>
    <t>Honeywell HC-3000 environmental pack, bootstrap cycle</t>
  </si>
  <si>
    <t>Dual-zone trim air mixing manifold, P/N 21-MM-100</t>
  </si>
  <si>
    <t>Collins FCC-4000 dual-channel flight control computer</t>
  </si>
  <si>
    <t>Parker autothrottle servo actuator, P/N 22-AT-200</t>
  </si>
  <si>
    <t>Collins VHF-4000 transceiver, 25 kHz / 8.33 kHz</t>
  </si>
  <si>
    <t>Iridium Certus SATCOM terminal w/ HGA</t>
  </si>
  <si>
    <t>L3 FA2100 cockpit voice recorder, 25-hour solid state</t>
  </si>
  <si>
    <t>Honeywell IDG 40 kVA, oil-cooled, engine-driven</t>
  </si>
  <si>
    <t>Honeywell 90 kVA APU starter-generator</t>
  </si>
  <si>
    <t>Saft NiCd 28V 44Ah main battery, P/N 24-BAT-300</t>
  </si>
  <si>
    <t>120A transformer rectifier unit, 115VAC → 28VDC</t>
  </si>
  <si>
    <t>Ipeco crew seat, 5-way electric, sheepskin</t>
  </si>
  <si>
    <t>BE Aerospace executive club seat, leather, swivel/recline</t>
  </si>
  <si>
    <t>Forward galley, twin oven + espresso, P/N 25-GLY-F</t>
  </si>
  <si>
    <t>Aft galley, single oven + chiller, P/N 25-GLY-A</t>
  </si>
  <si>
    <t>Forward lavatory module w/ vacuum toilet</t>
  </si>
  <si>
    <t>Aft lavatory module w/ vacuum toilet, larger footprint</t>
  </si>
  <si>
    <t>Composite overhead stowage bins, full-length</t>
  </si>
  <si>
    <t>Kidde Halon 1301 engine fire extinguisher, 5 lb</t>
  </si>
  <si>
    <t>Kidde Halon 1301 APU fire extinguisher, 4 lb</t>
  </si>
  <si>
    <t>Cargo bay Halon 1301 bottle, low-rate discharge</t>
  </si>
  <si>
    <t>Aluminum-skin aileron, P/N 27-AIL-LH</t>
  </si>
  <si>
    <t>Aluminum-skin aileron, P/N 27-AIL-RH</t>
  </si>
  <si>
    <t>Composite elevator, P/N 27-ELV-LH</t>
  </si>
  <si>
    <t>Composite elevator, P/N 27-ELV-RH</t>
  </si>
  <si>
    <t>Composite rudder w/ hydraulic PCU, P/N 27-RDR</t>
  </si>
  <si>
    <t>Single-slotted Fowler flap, P/N 27-FLP-LH</t>
  </si>
  <si>
    <t>Single-slotted Fowler flap, P/N 27-FLP-RH</t>
  </si>
  <si>
    <t>Spoiler panel, hydraulically actuated, P/N 27-SPL</t>
  </si>
  <si>
    <t>Moog tandem hydraulic power control unit, P/N 27-PCU</t>
  </si>
  <si>
    <t>Integral wet wing fuel tank, ~3100 L Jet A capacity</t>
  </si>
  <si>
    <t>Integral center section tank, ~1800 L Jet A</t>
  </si>
  <si>
    <t>Eaton AC boost pump, 28V, P/N 28-BP-400</t>
  </si>
  <si>
    <t>Distributed Jet A supply/return plumbing assembly</t>
  </si>
  <si>
    <t>Parker engine-driven hydraulic pump, 3000 psi, 8 gpm</t>
  </si>
  <si>
    <t>Hydraulic reservoir w/ bootstrap pressurization, 5 qt</t>
  </si>
  <si>
    <t>Inconel bleed-air anti-ice ducting, wing LE</t>
  </si>
  <si>
    <t>B/E Aerospace engine anti-ice shutoff valve</t>
  </si>
  <si>
    <t>PPG electrically-heated windshield panel, dual-zone</t>
  </si>
  <si>
    <t>L3 FA2100 digital flight data recorder, 25-hour</t>
  </si>
  <si>
    <t>Collins Pro Line Fusion 14.1" AMLCD display unit</t>
  </si>
  <si>
    <t>Heroux-Devtek dual-wheel nose landing gear</t>
  </si>
  <si>
    <t>Heroux-Devtek trailing-link main landing gear</t>
  </si>
  <si>
    <t>Meggitt carbon-carbon brake assembly w/ Mark V BCS</t>
  </si>
  <si>
    <t>Goodrich radial main wheel + Michelin Air 17.5x6.25 tire</t>
  </si>
  <si>
    <t>Whelen LED landing/taxi light, dual-beam</t>
  </si>
  <si>
    <t>Whelen LED navigation/position light, red/green/white</t>
  </si>
  <si>
    <t>B/E Aerospace LED cabin lighting w/ mood control</t>
  </si>
  <si>
    <t>Honeywell LASEREF VI inertial reference system</t>
  </si>
  <si>
    <t>Garmin GTN 750 IFR GPS/navigator + Iridium GPS aug.</t>
  </si>
  <si>
    <t>Honeywell RDR-4000 4D weather radar w/ predictive wind shear</t>
  </si>
  <si>
    <t>Collins ALT-4000 radio altimeter</t>
  </si>
  <si>
    <t>Cobham crew O2 cylinder, 76 cu ft, 1850 psi</t>
  </si>
  <si>
    <t>B/E Aerospace chemical O2 generator, PSU-mounted</t>
  </si>
  <si>
    <t>Inconel bleed-air ducting, 3.5 in dia, dual loop</t>
  </si>
  <si>
    <t>Honeywell pre-cooler heat exchanger, P/N 36-PC-500</t>
  </si>
  <si>
    <t>B/E Aerospace potable water tank, 60 L capacity</t>
  </si>
  <si>
    <t>Monogram vacuum waste tank, 90 L capacity</t>
  </si>
  <si>
    <t>Pratt &amp; Whitney APS3200 / 901 class APU, 90 kVA</t>
  </si>
  <si>
    <t>APU isolator mount assembly w/ firewall fitting</t>
  </si>
  <si>
    <t>APU inlet plenum + exhaust eductor assembly</t>
  </si>
  <si>
    <t>Plug-type main pax door w/ integrated airstair, LH</t>
  </si>
  <si>
    <t>Plug-type service/galley door, RH fwd</t>
  </si>
  <si>
    <t>Plug-type emergency exit door, aft LH</t>
  </si>
  <si>
    <t>Plug-type emergency exit door, aft RH</t>
  </si>
  <si>
    <t>External nose baggage door, hydraulic-assist</t>
  </si>
  <si>
    <t>External aft baggage door, 80 cu ft access</t>
  </si>
  <si>
    <t>Aluminum semi-monocoque, nose to FS 250</t>
  </si>
  <si>
    <t>Aluminum semi-monocoque w/ wing carry-through, FS 250-650</t>
  </si>
  <si>
    <t>Aluminum semi-monocoque w/ tail cone interface, FS 650-end</t>
  </si>
  <si>
    <t>Composite/aluminum aft pressure bulkhead, 8.9 psi</t>
  </si>
  <si>
    <t>Aluminum forged engine pylon w/ firewall, LH</t>
  </si>
  <si>
    <t>Aluminum forged engine pylon w/ firewall, RH</t>
  </si>
  <si>
    <t>Composite nacelle inlet + cowling, LH</t>
  </si>
  <si>
    <t>Composite nacelle inlet + cowling, RH</t>
  </si>
  <si>
    <t>Aluminum honeycomb horizontal stabilizer, T-tail</t>
  </si>
  <si>
    <t>Aluminum honeycomb vertical stabilizer + dorsal fin</t>
  </si>
  <si>
    <t>PPG acrylic-laminate windshield, electrically heated</t>
  </si>
  <si>
    <t>Stretched acrylic cabin window, dual-pane</t>
  </si>
  <si>
    <t>Machined aluminum wing torque box, LH</t>
  </si>
  <si>
    <t>Machined aluminum wing torque box, RH</t>
  </si>
  <si>
    <t>Aluminum stressed-skin wing covering, LH</t>
  </si>
  <si>
    <t>Aluminum stressed-skin wing covering, RH</t>
  </si>
  <si>
    <t>Aluminum fixed/Kruger leading edge assembly</t>
  </si>
  <si>
    <t>Aluminum trailing edge structure incl. flap track fairings</t>
  </si>
  <si>
    <t>Honeywell HTF7350 / similar turbofan core, 7,500 lbf class</t>
  </si>
  <si>
    <t>Forged steel engine isolator mount assembly, LH</t>
  </si>
  <si>
    <t>Forged steel engine isolator mount assembly, RH</t>
  </si>
  <si>
    <t>Honeywell EEC-100 dual-channel FADEC</t>
  </si>
  <si>
    <t>Hamilton Sundstrand hydromechanical fuel metering unit</t>
  </si>
  <si>
    <t>HP/IP bleed shutoff valve, pneumatically actuated</t>
  </si>
  <si>
    <t>Variable stator vane actuator, fuel-pressure driven</t>
  </si>
  <si>
    <t>Inconel exhaust nozzle + plug, LH</t>
  </si>
  <si>
    <t>Inconel exhaust nozzle + plug, RH</t>
  </si>
  <si>
    <t>Honeywell cascade-type thrust reverser, LH</t>
  </si>
  <si>
    <t>Honeywell cascade-type thrust reverser, RH</t>
  </si>
  <si>
    <t>Honeywell engine oil tank, ~3 gal capacity</t>
  </si>
  <si>
    <t>Air/oil heat exchanger w/ fuel-cooled secondary</t>
  </si>
  <si>
    <t>Hamilton Sundstrand SPS-100 air turbine starter</t>
  </si>
  <si>
    <t>0.1.7</t>
  </si>
  <si>
    <t>Total Moment X (lbm·ft)</t>
  </si>
  <si>
    <t>Total Moment Y (lbm·ft)</t>
  </si>
  <si>
    <t>Total Moment Z (lbm·ft)</t>
  </si>
  <si>
    <t>Aircraft CG X (ft)</t>
  </si>
  <si>
    <t>Aircraft CG Y (ft)</t>
  </si>
  <si>
    <t>Aircraft CG Z (ft)</t>
  </si>
  <si>
    <t>Mass Properties Risk Analysis</t>
  </si>
  <si>
    <t>Nominal (lbm)</t>
  </si>
  <si>
    <t>σ (lbm, RSS)</t>
  </si>
  <si>
    <t>TOTAL</t>
  </si>
  <si>
    <t>All Components</t>
  </si>
  <si>
    <t>Value</t>
  </si>
  <si>
    <t>Target OEW (lbm)</t>
  </si>
  <si>
    <t>Nominal OEW (lbm)</t>
  </si>
  <si>
    <t>P(OEW ≤ Target)</t>
  </si>
  <si>
    <t>OEW (lbm)</t>
  </si>
  <si>
    <t>Unc + (lbm)</t>
  </si>
  <si>
    <t>Unc − (lbm)</t>
  </si>
  <si>
    <t>Each component has asymmetric uncertainty (Unc+, Unc−) on the Mass sheet. Treated as a triangular distribution per row with mean shift = (Unc+ − Unc−)/3 and σ² = (Unc+² + Unc−² − Unc+·Unc−)/18. Uncertainties combine by RSS; mean shifts add linearly.</t>
  </si>
  <si>
    <t>Mean Shift (lbm)</t>
  </si>
  <si>
    <t>Adjusted Mean (lbm)</t>
  </si>
  <si>
    <t>95% CI Range</t>
  </si>
  <si>
    <t>OEW Probability Analysis</t>
  </si>
  <si>
    <t>Adjusted Mean OEW (lbm)</t>
  </si>
  <si>
    <t>σ for OEW (lbm)</t>
  </si>
  <si>
    <t>Overrun vs Target (lbm)</t>
  </si>
  <si>
    <t>Z-score (positive = adjusted mean over target)</t>
  </si>
  <si>
    <t>P95 Worst-Case OEW (lbm)</t>
  </si>
  <si>
    <t>Verdict</t>
  </si>
  <si>
    <t>Top Contributors to Mean Shift (Heaviest Skew, lbm)</t>
  </si>
  <si>
    <t>Rank</t>
  </si>
  <si>
    <t>ATA – Description</t>
  </si>
  <si>
    <t>% of Total Shift</t>
  </si>
  <si>
    <t>Top Contributors to Total σ (Highest Variance Share)</t>
  </si>
  <si>
    <t>σ (lbm)</t>
  </si>
  <si>
    <t>Variance Share</t>
  </si>
  <si>
    <t>Methodology</t>
  </si>
  <si>
    <t>Each line item on the Mass tab carries asymmetric uncertainty: Unc+ (how much it could come in over nominal) and Unc− (how much under). These are modeled as a triangular distribution with mode at the engineering estimate.
For a triangular distribution with lower offset a (=Unc−) and upper offset b (=Unc+):
    • mean shift = (b − a) / 3      (zero when symmetric)
    • variance = (a² + b² − a·b) / 18      (collapses to b²/6 when symmetric)
Component variances combine by RSS (assumes independence — reasonable across ATA chapters, conservative within). Mean shifts add linearly (they're real biases, not random).
OEW σ subtracts fuel variance from aircraft total since fuel isn't in OEW. The 95% CI uses ±1.96σ on a normal approximation (Central Limit Theorem applies — 115 components, no single one dominates).</t>
  </si>
  <si>
    <t>OEW Distribution Data</t>
  </si>
  <si>
    <t>MeanX</t>
  </si>
  <si>
    <t>MeanY</t>
  </si>
  <si>
    <t>PDF (% per 100 lbm)</t>
  </si>
  <si>
    <t>Below Target</t>
  </si>
  <si>
    <t>Above Target</t>
  </si>
  <si>
    <t>Target Line</t>
  </si>
  <si>
    <t>TgtX</t>
  </si>
  <si>
    <t>TgtY</t>
  </si>
  <si>
    <t>P95X</t>
  </si>
  <si>
    <t>P95Y</t>
  </si>
  <si>
    <t>Fighter/Attack Weight Estimation (Raymer Eqs. 15.1–15.24)</t>
  </si>
  <si>
    <t>Placeholder values for a generic fighter (F-16 class). Overwrite blue value cells.</t>
  </si>
  <si>
    <t>Variable</t>
  </si>
  <si>
    <t>Unit</t>
  </si>
  <si>
    <t>Equation</t>
  </si>
  <si>
    <t>GLOBAL / SHARED INPUTS</t>
  </si>
  <si>
    <t>W_dg  (design gross weight)</t>
  </si>
  <si>
    <t>lb</t>
  </si>
  <si>
    <t>N_z   (ultimate load factor = 1.5 × limit)</t>
  </si>
  <si>
    <t>-</t>
  </si>
  <si>
    <t>N_l   (ultimate landing load factor)</t>
  </si>
  <si>
    <t>W_l   (landing design gross weight)</t>
  </si>
  <si>
    <t>M     (Mach number, max)</t>
  </si>
  <si>
    <t>N_en  (number of engines)</t>
  </si>
  <si>
    <t>T     (total engine thrust)</t>
  </si>
  <si>
    <t>T_e   (thrust per engine)</t>
  </si>
  <si>
    <t>L     (fuselage structural length, excl. radome/tail cap)</t>
  </si>
  <si>
    <t>ft</t>
  </si>
  <si>
    <t>D     (fuselage structural depth)</t>
  </si>
  <si>
    <t>W     (fuselage structural width)</t>
  </si>
  <si>
    <t>N_c   (number of crew)</t>
  </si>
  <si>
    <t>WING (Eq. 15.1)</t>
  </si>
  <si>
    <t>W_wing = 0.0103 · K_dw · K_vs · (W_dg·N_z)^0.5 · S_w^0.622 · A^0.785 · (t/c)_root^-0.4 · (1+λ)^0.05 · (cosΛ)^-1.0 · S_csw^0.04   (15.1)</t>
  </si>
  <si>
    <t>K_dw  (0.768 if delta wing, else 1.0)</t>
  </si>
  <si>
    <t>K_vs  (1.19 if variable sweep, else 1.0)</t>
  </si>
  <si>
    <t>S_w   (trapezoidal wing area)</t>
  </si>
  <si>
    <t>ft^2</t>
  </si>
  <si>
    <t>A     (aspect ratio)</t>
  </si>
  <si>
    <t>(t/c)_root  (root thickness ratio)</t>
  </si>
  <si>
    <t>λ     (taper ratio)</t>
  </si>
  <si>
    <t>Λ     (wing sweep at 25% MAC)</t>
  </si>
  <si>
    <t>deg</t>
  </si>
  <si>
    <t>S_csw (wing-mounted control surface area)</t>
  </si>
  <si>
    <t>W_wing</t>
  </si>
  <si>
    <t>HORIZONTAL TAIL (Eq. 15.2)</t>
  </si>
  <si>
    <t>W_horizontal_tail = 3.316 · (1 + F_w/B_h)^-2.0 · (W_dg·N_z/1000)^0.260 · S_ht^0.806   (15.2)</t>
  </si>
  <si>
    <t>F_w   (fuselage width at horiz. tail intersection)</t>
  </si>
  <si>
    <t>B_h   (horizontal tail span)</t>
  </si>
  <si>
    <t>S_ht  (horizontal tail area)</t>
  </si>
  <si>
    <t>W_horizontal_tail</t>
  </si>
  <si>
    <t>VERTICAL TAIL (Eq. 15.3)</t>
  </si>
  <si>
    <t>W_vertical_tail = 0.452 · K_rht · (1 + H_t/H_v)^0.5 · (W_dg·N_z)^0.488 · S_vt^0.718 · M^0.341 · L_t^-1.0 · (1 + S_r/S_vt)^0.348 · A_vt^0.223 · (1+λ_vt)^0.25 · (cosΛ_vt)^-0.323   (15.3)</t>
  </si>
  <si>
    <t>K_rht (1.047 if rolling tail, else 1.0)</t>
  </si>
  <si>
    <t>H_t/H_v (0 conventional, 1 T-tail)</t>
  </si>
  <si>
    <t>S_vt  (vertical tail area)</t>
  </si>
  <si>
    <t>L_t   (tail length, wing qtr-MAC to tail qtr-MAC)</t>
  </si>
  <si>
    <t>S_r   (rudder area)</t>
  </si>
  <si>
    <t>A_vt  (vertical tail aspect ratio)</t>
  </si>
  <si>
    <t>λ_vt  (vertical tail taper ratio)</t>
  </si>
  <si>
    <t>Λ_vt  (vertical tail sweep)</t>
  </si>
  <si>
    <t>W_vertical_tail</t>
  </si>
  <si>
    <t>FUSELAGE (Eq. 15.4)</t>
  </si>
  <si>
    <t>W_fuselage = 0.499 · K_dwf · W_dg^0.35 · N_z^0.25 · L^0.5 · D^0.849 · W^0.685   (15.4)</t>
  </si>
  <si>
    <t>K_dwf (0.774 if delta wing aircraft, else 1.0)</t>
  </si>
  <si>
    <t>W_fuselage</t>
  </si>
  <si>
    <t>MAIN LANDING GEAR (Eq. 15.5)</t>
  </si>
  <si>
    <t>W_main_landing_gear = K_cb · K_tpg · (W_l·N_l)^0.25 · L_m^0.973   (15.5)</t>
  </si>
  <si>
    <t>K_cb  (2.25 cross-beam F-111, else 1.0)</t>
  </si>
  <si>
    <t>K_tpg (0.826 if tripod A-7, else 1.0)</t>
  </si>
  <si>
    <t>L_m   (length of main landing gear)</t>
  </si>
  <si>
    <t>in</t>
  </si>
  <si>
    <t>W_main_landing_gear</t>
  </si>
  <si>
    <t>NOSE LANDING GEAR (Eq. 15.6)</t>
  </si>
  <si>
    <t>W_nose_landing_gear = (W_l·N_l)^0.290 · L_n^0.5 · N_nw^0.525   (15.6)</t>
  </si>
  <si>
    <t>L_n   (nose gear length)</t>
  </si>
  <si>
    <t>N_nw  (number of nose wheels)</t>
  </si>
  <si>
    <t>W_nose_landing_gear</t>
  </si>
  <si>
    <t>HYBRID-ELECTRIC PROPULSION</t>
  </si>
  <si>
    <t>Conversion: 1 kg = 2.20462 lb (used in formulas below)</t>
  </si>
  <si>
    <t>Firewall: W = 1.13 · S_fw   (Eq. 15.8)</t>
  </si>
  <si>
    <t>AIR INDUCTION SYSTEM (Eq. 15.10)</t>
  </si>
  <si>
    <t>W_air_induction = 13.29 · K_vg · L_d^0.643 · K_d^0.182 · N_en^1.498 · (L_s/L_d)^-0.373 · D_e   (15.10)</t>
  </si>
  <si>
    <t>K_vg  (1.62 if variable geometry, else 1.0)</t>
  </si>
  <si>
    <t>L_d   (duct length)</t>
  </si>
  <si>
    <t>K_d   (duct constant, see Fig. 15.2)</t>
  </si>
  <si>
    <t>L_s   (single duct length, see Fig. 15.2)</t>
  </si>
  <si>
    <t>D_e   (engine diameter)</t>
  </si>
  <si>
    <t>W_air_induction</t>
  </si>
  <si>
    <t>Hybrid propulsion (custom):  Gas Turbine: W = (P_GT / (P/W)_GT) × 2.20462 lb/kg   |   Turbo Generator: W = (P_TG / (P/W)_TG) × N_TG × 2.20462</t>
  </si>
  <si>
    <t>Conversion: 1 kg = 2.20462 lb</t>
  </si>
  <si>
    <t>Gas Turbine (×1)</t>
  </si>
  <si>
    <t>P_GT  (gas turbine shaft power)</t>
  </si>
  <si>
    <t>kW</t>
  </si>
  <si>
    <t>(P/W)_GT  (power-to-weight)</t>
  </si>
  <si>
    <t>kW/kg</t>
  </si>
  <si>
    <t>W_gas_turbine</t>
  </si>
  <si>
    <t>Turbo Generator (×4)</t>
  </si>
  <si>
    <t>P_TG_each  (power per turbo generator)</t>
  </si>
  <si>
    <t>(P/W)_TG  (power-to-weight)</t>
  </si>
  <si>
    <t>N_TG  (number of turbo generators)</t>
  </si>
  <si>
    <t>W_turbo_generators</t>
  </si>
  <si>
    <t>Electric Motor &amp; Power Electronics (×4)</t>
  </si>
  <si>
    <t>P_motor_each  (power per motor)</t>
  </si>
  <si>
    <t>(P/W)_motor  (motor only)</t>
  </si>
  <si>
    <t>(P/W)_PE     (power electronics only)</t>
  </si>
  <si>
    <t>N_motor  (number of motors)</t>
  </si>
  <si>
    <t>FUEL SYSTEM AND TANKS (Eq. 15.16)</t>
  </si>
  <si>
    <t>W_fuel_system = 7.45 · V_t^0.47 · (1+V_i/V_t)^-0.095 · (1+V_p/V_t) · N_t^0.066 · N_en^0.052 · (T·SFC/1000)^0.249   (15.16)</t>
  </si>
  <si>
    <t>V_t   (total fuel volume)</t>
  </si>
  <si>
    <t>gal</t>
  </si>
  <si>
    <t>V_i   (integral tanks volume)</t>
  </si>
  <si>
    <t>V_p   (self-sealing protected tanks volume)</t>
  </si>
  <si>
    <t>N_t   (number of fuel tanks)</t>
  </si>
  <si>
    <t>SFC   (max-thrust specific fuel consumption)</t>
  </si>
  <si>
    <t>1/hr</t>
  </si>
  <si>
    <t>W_fuel_system</t>
  </si>
  <si>
    <t>FLIGHT CONTROLS (Eq. 15.17)</t>
  </si>
  <si>
    <t>W_flight_controls = 36.28 · M^0.003 · S_cs^0.489 · N_s^0.484 · N_c^0.127   (15.17)</t>
  </si>
  <si>
    <t>S_cs   (total control surface area)</t>
  </si>
  <si>
    <t>N_s    (number of flight control systems)</t>
  </si>
  <si>
    <t>N_c_fc (number of functions performed by controls, 4-7)</t>
  </si>
  <si>
    <t>W_flight_controls</t>
  </si>
  <si>
    <t>INSTRUMENTS (Eq. 15.18)</t>
  </si>
  <si>
    <t>W_instruments = 8.0 + 36.37 · N_en^0.676 · N_t^0.237 + 26.4 · (1 + N_ci)^1.356   (15.18)</t>
  </si>
  <si>
    <t>N_ci   (1.0 single pilot; 1.2 pilot+backseater; 2.0 pilot+copassenger)</t>
  </si>
  <si>
    <t>W_instruments</t>
  </si>
  <si>
    <t>HYDRAULICS (Eq. 15.19)</t>
  </si>
  <si>
    <t>W_hydraulics = 37.23 · K_vsh · N_u^0.664   (15.19)</t>
  </si>
  <si>
    <t>K_vsh  (1.425 if variable sweep wing, else 1.0)</t>
  </si>
  <si>
    <t>N_u    (number of hydraulic utility functions, 5-15)</t>
  </si>
  <si>
    <t>W_hydraulics</t>
  </si>
  <si>
    <t>ELECTRICAL (Eq. 15.20)</t>
  </si>
  <si>
    <t>W_electrical = 172.2 · K_mc · R_kva^0.152 · N_c^0.10 · L_a^0.10 · N_gen^0.091   (15.20)</t>
  </si>
  <si>
    <t>K_mc   (1.45 if mission completion required, else 1.0)</t>
  </si>
  <si>
    <t>R_kva  (system electrical rating, 110-160 fighters)</t>
  </si>
  <si>
    <t>kV·A</t>
  </si>
  <si>
    <t>L_a    (electrical routing distance, gen → avionics → cockpit)</t>
  </si>
  <si>
    <t>N_gen  (number of generators ≈ N_en)</t>
  </si>
  <si>
    <t>W_electrical</t>
  </si>
  <si>
    <t>AVIONICS (Eq. 15.21)</t>
  </si>
  <si>
    <t>W_avionics = 2.117 · W_uav^0.933   (15.21)</t>
  </si>
  <si>
    <t>W_uav  (uninstalled avionics weight, 800-1400)</t>
  </si>
  <si>
    <t>W_avionics</t>
  </si>
  <si>
    <t>FURNISHINGS (Eq. 15.22)</t>
  </si>
  <si>
    <t>W_furnishings = 217.6 · N_c   (15.22)</t>
  </si>
  <si>
    <t>W_furnishings</t>
  </si>
  <si>
    <t>AIR CONDITIONING &amp; ANTI-ICE (Eq. 15.23)</t>
  </si>
  <si>
    <t>W_air_conditioning = 201.6 · ((W_uav + 200·N_c)/1000)^0.735   (15.23)</t>
  </si>
  <si>
    <t>W_air_conditioning</t>
  </si>
  <si>
    <t>HANDLING GEAR (Eq. 15.24)</t>
  </si>
  <si>
    <t>W_handling_gear = 3.2×10^-4 · W_dg   (15.24)</t>
  </si>
  <si>
    <t>W_handling_gear</t>
  </si>
  <si>
    <t>HYBRID PROPULSION (continued)</t>
  </si>
  <si>
    <t>Motor &amp; PE: W = ((P_motor/(P/W)_motor) + (P_motor/(P/W)_PE)) × N_motor × 2.20462   |   Batteries: W = MAX(E_req/e_density, P_req/p_density) × 2.20462   |   LNG Tank: W = f_shell × m_LNG</t>
  </si>
  <si>
    <t>W_motors_and_PE  (uses inputs at C94–C97)</t>
  </si>
  <si>
    <t>Batteries</t>
  </si>
  <si>
    <t>E_req  (energy required)</t>
  </si>
  <si>
    <t>kWh</t>
  </si>
  <si>
    <t>P_req  (peak power required)</t>
  </si>
  <si>
    <t>e_density  (gravimetric energy density)</t>
  </si>
  <si>
    <t>Wh/kg</t>
  </si>
  <si>
    <t>p_density  (gravimetric power density)</t>
  </si>
  <si>
    <t>W/kg</t>
  </si>
  <si>
    <t>W_batt_energy_sized</t>
  </si>
  <si>
    <t>W_batt_power_sized</t>
  </si>
  <si>
    <t>W_batteries  (max of energy- vs power-sized)</t>
  </si>
  <si>
    <t>LNG Tank (×1)</t>
  </si>
  <si>
    <t>m_LNG  (LNG fuel mass required)</t>
  </si>
  <si>
    <t>f_shell  (tank shell mass / LNG mass)</t>
  </si>
  <si>
    <t>W_LNG_tank</t>
  </si>
  <si>
    <t>TOTAL EMPTY WEIGHT</t>
  </si>
  <si>
    <t>Structures: wing+HT+VT+fuselage+gear</t>
  </si>
  <si>
    <t>Hybrid propulsion: GT + TGs + motors/PE + batteries + LNG tank</t>
  </si>
  <si>
    <t>Air induction + firewall + fuel system</t>
  </si>
  <si>
    <t>Systems: flight ctrl + instr + hyd + elec + avi + furn + AC + handling</t>
  </si>
  <si>
    <t>Estimated empty weight</t>
  </si>
  <si>
    <t>% of W_dg</t>
  </si>
  <si>
    <t>Sel</t>
  </si>
  <si>
    <t>Method</t>
  </si>
  <si>
    <t>Value (lbm)</t>
  </si>
  <si>
    <t>Source / Notes</t>
  </si>
  <si>
    <t>◉</t>
  </si>
  <si>
    <t>Raymer 15.23</t>
  </si>
  <si>
    <t>○</t>
  </si>
  <si>
    <t>Datasheet (vendor)</t>
  </si>
  <si>
    <t>Var</t>
  </si>
  <si>
    <t>Units</t>
  </si>
  <si>
    <t>W_uav</t>
  </si>
  <si>
    <t>Uninstalled avionics weight</t>
  </si>
  <si>
    <t>lbm</t>
  </si>
  <si>
    <t>Raymer 15.20</t>
  </si>
  <si>
    <t>R_kva</t>
  </si>
  <si>
    <t>kVA</t>
  </si>
  <si>
    <t>L_ec</t>
  </si>
  <si>
    <t>N_gen</t>
  </si>
  <si>
    <t>Number of generators</t>
  </si>
  <si>
    <t>ATA 21 / 24 — Air Conditioning &amp; Electrical</t>
  </si>
  <si>
    <t>Component mass options — select one row per component to feed into Mass sheet. Yellow = user input, Green = formula from Sheet1, Blue = variable label.</t>
  </si>
  <si>
    <t>AC System (ATA 21)</t>
  </si>
  <si>
    <t>W_AC = 201.6 * ((W_uav + W_avionics)/1000)^0.735</t>
  </si>
  <si>
    <t>Datasheet</t>
  </si>
  <si>
    <t>Placeholder — vendor pack</t>
  </si>
  <si>
    <t>Electrical System (ATA 24)</t>
  </si>
  <si>
    <t>W_elec = 7.291 * R_kva^0.782 * L_ec^0.346 * N_gen^0.10</t>
  </si>
  <si>
    <t>Placeholder — vendor kit</t>
  </si>
  <si>
    <t>Local Inputs</t>
  </si>
  <si>
    <t>Installed avionics weight (≈3% W_dg)</t>
  </si>
  <si>
    <t>Electrical system rating</t>
  </si>
  <si>
    <t>Routing length: gen → avionics → cockpit</t>
  </si>
  <si>
    <t>ATA 25 — Furnishings</t>
  </si>
  <si>
    <t>Furnishings (total)</t>
  </si>
  <si>
    <t>Raymer 15.22</t>
  </si>
  <si>
    <t>W_furn = 217.6 * N_c (Raymer fighter)</t>
  </si>
  <si>
    <t>Placeholder — seat + cockpit kit</t>
  </si>
  <si>
    <t>N_c</t>
  </si>
  <si>
    <t>Number of crew</t>
  </si>
  <si>
    <t>ATA 27 / 29 / 32 — Flight Controls, Hydraulics, Landing Gear</t>
  </si>
  <si>
    <t>Flight Controls (ATA 27)</t>
  </si>
  <si>
    <t>Raymer 15.17</t>
  </si>
  <si>
    <t>W_fc = 36.28 * M^0.003 * S_cs^0.489 * N_s^0.484 * N_c^0.127</t>
  </si>
  <si>
    <t>Placeholder — actuator + linkage kit</t>
  </si>
  <si>
    <t>Hydraulics (ATA 29)</t>
  </si>
  <si>
    <t>Raymer 15.19</t>
  </si>
  <si>
    <t>W_hyd = 37.23 * K_vsh * N_f^0.664</t>
  </si>
  <si>
    <t>Placeholder — pump + reservoir + lines</t>
  </si>
  <si>
    <t>Main Landing Gear (ATA 32)</t>
  </si>
  <si>
    <t>Raymer 15.5</t>
  </si>
  <si>
    <t>W_lg_m = K_cb * K_tpg * (W_l * N_l)^0.25 * L_m^0.973</t>
  </si>
  <si>
    <t>Placeholder — strut + wheel + brake</t>
  </si>
  <si>
    <t>Nose Landing Gear (ATA 32)</t>
  </si>
  <si>
    <t>Raymer 15.6</t>
  </si>
  <si>
    <t>W_lg_n = (W_l * N_l)^0.29 * L_n^0.5 * N_nw^0.525</t>
  </si>
  <si>
    <t>Placeholder — nose strut + wheel</t>
  </si>
  <si>
    <t>M_max</t>
  </si>
  <si>
    <t>Max Mach number</t>
  </si>
  <si>
    <t>S_cs</t>
  </si>
  <si>
    <t>Total control surface area</t>
  </si>
  <si>
    <t>ft²</t>
  </si>
  <si>
    <t>N_s</t>
  </si>
  <si>
    <t>Number of mechanical/hydraulic functions</t>
  </si>
  <si>
    <t>K_vsh</t>
  </si>
  <si>
    <t>Hydraulic sys factor (1.425 if variable sweep, else 1)</t>
  </si>
  <si>
    <t>N_f</t>
  </si>
  <si>
    <t>Number of hydraulic functions</t>
  </si>
  <si>
    <t>K_cb</t>
  </si>
  <si>
    <t>Cross-beam gear factor (2.25 if cross-beam, else 1)</t>
  </si>
  <si>
    <t>K_tpg</t>
  </si>
  <si>
    <t>Tripod gear factor (0.826 if tripod, else 1)</t>
  </si>
  <si>
    <t>W_l</t>
  </si>
  <si>
    <t>Landing design weight</t>
  </si>
  <si>
    <t>N_l</t>
  </si>
  <si>
    <t>Ultimate landing load factor</t>
  </si>
  <si>
    <t>L_m</t>
  </si>
  <si>
    <t>Main landing gear length</t>
  </si>
  <si>
    <t>L_n</t>
  </si>
  <si>
    <t>Nose landing gear length</t>
  </si>
  <si>
    <t>N_nw</t>
  </si>
  <si>
    <t>Number of nose wheels</t>
  </si>
  <si>
    <t>ATA 31 — Instruments</t>
  </si>
  <si>
    <t>Instruments (total)</t>
  </si>
  <si>
    <t>Raymer 15.18</t>
  </si>
  <si>
    <t>W_inst = N_c*(15+0.032*W/1000) + N_en*(4.8+0.006*W/1000) + 0.15*W/1000 + 1</t>
  </si>
  <si>
    <t>Placeholder — EFIS + steam gauges</t>
  </si>
  <si>
    <t>N_en</t>
  </si>
  <si>
    <t>Number of engines</t>
  </si>
  <si>
    <t>W_dg</t>
  </si>
  <si>
    <t>Design gross weight</t>
  </si>
  <si>
    <t>ATA 22 / 23 / 34 — Avionics (Auto Flight, Comms, Navigation)</t>
  </si>
  <si>
    <t>Avionics — total (W_av)</t>
  </si>
  <si>
    <t>Raymer 15.21</t>
  </si>
  <si>
    <t>W_av = 2.117 * W_uav^0.933 (covers ATA 22+23+34 combined)</t>
  </si>
  <si>
    <t>Datasheet (total)</t>
  </si>
  <si>
    <t>Placeholder — full avionics suite</t>
  </si>
  <si>
    <t xml:space="preserve">  → ATA 22 Auto Flight (split)</t>
  </si>
  <si>
    <t>Allocation %</t>
  </si>
  <si>
    <t>Share of total avionics — see allocation below</t>
  </si>
  <si>
    <t xml:space="preserve">  → ATA 23 Comms (split)</t>
  </si>
  <si>
    <t xml:space="preserve">  → ATA 34 Navigation (split)</t>
  </si>
  <si>
    <t>pct_22</t>
  </si>
  <si>
    <t>Allocation: Auto Flight share</t>
  </si>
  <si>
    <t>fraction</t>
  </si>
  <si>
    <t>pct_23</t>
  </si>
  <si>
    <t>Allocation: Comms share</t>
  </si>
  <si>
    <t>pct_34</t>
  </si>
  <si>
    <t>Allocation: Navigation share</t>
  </si>
  <si>
    <t>ATA 57 — Wings</t>
  </si>
  <si>
    <t>Wing (structural)</t>
  </si>
  <si>
    <t>Raymer 15.1</t>
  </si>
  <si>
    <t>W_wing = 0.0103 * K_dw * K_vs * (W_dg*N_z)^0.5 * S_w^0.622 * A^0.785 * (t/c)^-0.4 * (1+λ)^0.05 * cos(Λ)^-1 * S_csw^0.04</t>
  </si>
  <si>
    <t>Placeholder — finite element estimate</t>
  </si>
  <si>
    <t>K_dw</t>
  </si>
  <si>
    <t>Delta wing factor (0.768 if delta wing, else 1)</t>
  </si>
  <si>
    <t>K_vs</t>
  </si>
  <si>
    <t>Variable sweep factor (1.19 if VS, else 1)</t>
  </si>
  <si>
    <t>N_z</t>
  </si>
  <si>
    <t>Ultimate load factor (1.5×limit)</t>
  </si>
  <si>
    <t>S_w</t>
  </si>
  <si>
    <t>Trapezoidal wing area</t>
  </si>
  <si>
    <t>A</t>
  </si>
  <si>
    <t>Aspect ratio</t>
  </si>
  <si>
    <t>t_c</t>
  </si>
  <si>
    <t>Thickness-to-chord ratio (root)</t>
  </si>
  <si>
    <t>lambda</t>
  </si>
  <si>
    <t>Taper ratio</t>
  </si>
  <si>
    <t>Wing sweep at 25% MAC</t>
  </si>
  <si>
    <t>S_csw</t>
  </si>
  <si>
    <t>Control-surface area on wing</t>
  </si>
  <si>
    <t>ATA 53 / 55 — Fuselage &amp; Empennage</t>
  </si>
  <si>
    <t>Fuselage (ATA 53)</t>
  </si>
  <si>
    <t>Raymer 15.4</t>
  </si>
  <si>
    <t>W_fus = 0.499 * K_dwf * W_dg^0.35 * N_z^0.25 * L^0.5 * D^0.849 * W^0.685</t>
  </si>
  <si>
    <t>Placeholder — FEM estimate</t>
  </si>
  <si>
    <t>Horizontal Tail (ATA 55)</t>
  </si>
  <si>
    <t>Raymer 15.2</t>
  </si>
  <si>
    <t>W_HT = 3.316 * (1+F_w/B_h)^-2 * (W_dg*N_z/1000)^0.260 * S_ht^0.806</t>
  </si>
  <si>
    <t>Placeholder</t>
  </si>
  <si>
    <t>Vertical Tail (ATA 55)</t>
  </si>
  <si>
    <t>Raymer 15.3</t>
  </si>
  <si>
    <t>W_VT = 0.452 * (1+H_t/H_v)^0.5 * (W_dg*N_z)^0.488 * S_vt^0.718 * M^0.341 * L_t^-1 * (1+S_r/S_vt)^0.348 * A_vt^0.223 * (1+λ_vt)^0.25 * cos(Λ_vt)^-0.323</t>
  </si>
  <si>
    <t>K_dwf</t>
  </si>
  <si>
    <t>Delta wing factor (0.774 if delta wing, else 1)</t>
  </si>
  <si>
    <t>Ultimate load factor</t>
  </si>
  <si>
    <t>L_f</t>
  </si>
  <si>
    <t>Fuselage length (structural)</t>
  </si>
  <si>
    <t>D_f</t>
  </si>
  <si>
    <t>Fuselage depth (structural)</t>
  </si>
  <si>
    <t>W_f</t>
  </si>
  <si>
    <t>Fuselage width (structural)</t>
  </si>
  <si>
    <t>F_w</t>
  </si>
  <si>
    <t>Fuselage width at HT intersection</t>
  </si>
  <si>
    <t>B_h</t>
  </si>
  <si>
    <t>Horizontal tail span</t>
  </si>
  <si>
    <t>S_ht</t>
  </si>
  <si>
    <t>Horizontal tail area</t>
  </si>
  <si>
    <t>H_tHv</t>
  </si>
  <si>
    <t>0 for conventional tail, 1 for T-tail</t>
  </si>
  <si>
    <t>S_vt</t>
  </si>
  <si>
    <t>Vertical tail area</t>
  </si>
  <si>
    <t>Max Mach</t>
  </si>
  <si>
    <t>L_t</t>
  </si>
  <si>
    <t>Tail moment arm (wing MAC → tail MAC)</t>
  </si>
  <si>
    <t>S_r_Svt</t>
  </si>
  <si>
    <t>Rudder area / VT area</t>
  </si>
  <si>
    <t>A_vt</t>
  </si>
  <si>
    <t>Vertical tail aspect ratio</t>
  </si>
  <si>
    <t>lambda_vt</t>
  </si>
  <si>
    <t>VT taper ratio</t>
  </si>
  <si>
    <t>VT sweep</t>
  </si>
  <si>
    <t>ATA 28 / 71 / 75 — Propulsion, Air Induction, Fuel</t>
  </si>
  <si>
    <t>Air Induction (ATA 75)</t>
  </si>
  <si>
    <t>Raymer 15.10</t>
  </si>
  <si>
    <t>W_ai = 0.32 * N_en * L_d^0.5 * A_i^0.5 * P_2^0.5</t>
  </si>
  <si>
    <t>Placeholder — duct + diffuser</t>
  </si>
  <si>
    <t>Gas Turbine (ATA 71)</t>
  </si>
  <si>
    <t>Vendor engine spec — installed weight</t>
  </si>
  <si>
    <t>Raymer T/W scaling</t>
  </si>
  <si>
    <t>≈ T_e × empirical lb/lb_thrust (gas turbine ≈ 0.013×T)</t>
  </si>
  <si>
    <t>Turbo-Generator (ATA 71)</t>
  </si>
  <si>
    <t>Vendor turbogen — installed</t>
  </si>
  <si>
    <t>Motor + Power Electronics (ATA 71)</t>
  </si>
  <si>
    <t>Power density</t>
  </si>
  <si>
    <t>Motor + inverter mass via power density (kW/kg)</t>
  </si>
  <si>
    <t>Vendor electric drive kit</t>
  </si>
  <si>
    <t>Fuel System (ATA 28)</t>
  </si>
  <si>
    <t>Raymer 15.16</t>
  </si>
  <si>
    <t>W_fs = 7.45 * V_t^0.47 * (1+V_i/V_t)^-0.095 * (1+V_p/V_t) * N_t^0.066 * N_en^0.052 * (T_sfc*T_e/1000)^0.249</t>
  </si>
  <si>
    <t>Placeholder — pumps + lines + valves</t>
  </si>
  <si>
    <t>LNG Tank (ATA 28)</t>
  </si>
  <si>
    <t>Mass fraction</t>
  </si>
  <si>
    <t>Cryo tank ≈ tank_frac × LNG mass (typ. 0.5–1.0)</t>
  </si>
  <si>
    <t>Vendor cryogenic tank</t>
  </si>
  <si>
    <t>Energy density</t>
  </si>
  <si>
    <t>Battery pack mass = energy / specific energy (kWh/kg)</t>
  </si>
  <si>
    <t>Vendor pack</t>
  </si>
  <si>
    <t>L_d</t>
  </si>
  <si>
    <t>Duct length</t>
  </si>
  <si>
    <t>A_i</t>
  </si>
  <si>
    <t>Inlet capture area</t>
  </si>
  <si>
    <t>P_2</t>
  </si>
  <si>
    <t>Compressor face total pressure (max)</t>
  </si>
  <si>
    <t>psi</t>
  </si>
  <si>
    <t>T_e</t>
  </si>
  <si>
    <t>Engine thrust per engine</t>
  </si>
  <si>
    <t>lbf</t>
  </si>
  <si>
    <t>P_motor_kW</t>
  </si>
  <si>
    <t>Electric motor rated power</t>
  </si>
  <si>
    <t>PD_motor</t>
  </si>
  <si>
    <t>Motor power density</t>
  </si>
  <si>
    <t>PD_PE</t>
  </si>
  <si>
    <t>Power electronics power density</t>
  </si>
  <si>
    <t>V_t</t>
  </si>
  <si>
    <t>Total fuel volume</t>
  </si>
  <si>
    <t>V_i_Vt</t>
  </si>
  <si>
    <t>Integral fuel volume / total</t>
  </si>
  <si>
    <t>V_p_Vt</t>
  </si>
  <si>
    <t>Self-sealing volume / total</t>
  </si>
  <si>
    <t>N_t</t>
  </si>
  <si>
    <t>Number of fuel tanks</t>
  </si>
  <si>
    <t>T_sfc</t>
  </si>
  <si>
    <t>Engine TSFC</t>
  </si>
  <si>
    <t>lb/(lbf·hr)</t>
  </si>
  <si>
    <t>M_LNG</t>
  </si>
  <si>
    <t>LNG fuel mass</t>
  </si>
  <si>
    <t>tank_frac</t>
  </si>
  <si>
    <t>Cryo tank mass fraction of contents</t>
  </si>
  <si>
    <t>E_bat_kWh</t>
  </si>
  <si>
    <t>Battery energy capacity</t>
  </si>
  <si>
    <t>SE_bat</t>
  </si>
  <si>
    <t>Battery specific energy</t>
  </si>
  <si>
    <t>kWh/kg</t>
  </si>
  <si>
    <t>Sweep_w</t>
  </si>
  <si>
    <t>Sweep_vt</t>
  </si>
  <si>
    <t>Selected Component Summary — click ◉/○ in column A on rows below to pick a method</t>
  </si>
  <si>
    <t>Selected Method</t>
  </si>
  <si>
    <t>→ ATA 22 Auto Flight (split)</t>
  </si>
  <si>
    <t>→ ATA 23 Comms (split)</t>
  </si>
  <si>
    <t>→ ATA 34 Navigation (split)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</si>
</sst>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;\(#,##0.00\);\-"/>
    <numFmt numFmtId="165" formatCode="0.000;\(0.000\);\-"/>
    <numFmt numFmtId="167" formatCode="#,##0.0;\(#,##0.0\);\-"/>
    <numFmt numFmtId="168" formatCode="#,##0.000;\(#,##0.000\);\-"/>
    <numFmt numFmtId="169" formatCode="0.0%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55555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rgb="FF595959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2"/>
      <color rgb="FFFFFFFF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1F4E79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19">
    <xf numFmtId="0" fontId="0" fillId="0" borderId="0" xfId="0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/>
    <xf numFmtId="0" fontId="1" fillId="5" borderId="0" xfId="0" applyFont="1" applyFill="1"/>
    <xf numFmtId="164" fontId="0" fillId="0" borderId="0" xfId="0" applyNumberFormat="1"/>
    <xf numFmtId="164" fontId="1" fillId="3" borderId="0" xfId="0" applyNumberFormat="1" applyFont="1" applyFill="1"/>
    <xf numFmtId="164" fontId="4" fillId="2" borderId="0" xfId="0" applyNumberFormat="1" applyFont="1" applyFill="1"/>
    <xf numFmtId="164" fontId="1" fillId="5" borderId="0" xfId="0" applyNumberFormat="1" applyFont="1" applyFill="1"/>
    <xf numFmtId="165" fontId="1" fillId="5" borderId="0" xfId="0" applyNumberFormat="1" applyFont="1" applyFill="1"/>
    <xf numFmtId="164" fontId="5" fillId="0" borderId="0" xfId="0" applyNumberFormat="1" applyFont="1"/>
    <xf numFmtId="0" fontId="2" fillId="0" borderId="0" xfId="0" applyFont="1"/>
    <xf numFmtId="0" fontId="6" fillId="0" borderId="0" xfId="0" applyFont="1"/>
    <xf numFmtId="14" fontId="6" fillId="0" borderId="0" xfId="0" applyNumberFormat="1" applyFont="1"/>
    <xf numFmtId="0" fontId="5" fillId="0" borderId="0" xfId="0" applyFont="1"/>
    <xf numFmtId="0" fontId="0" fillId="6" borderId="0" xfId="0" applyFill="1"/>
    <xf numFmtId="0" fontId="4" fillId="5" borderId="0" xfId="0" applyFont="1" applyFill="1"/>
    <xf numFmtId="0" fontId="7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7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/>
    <xf numFmtId="0" fontId="10" fillId="3" borderId="0" xfId="0" applyFont="1" applyFill="1"/>
    <xf numFmtId="0" fontId="1" fillId="0" borderId="0" xfId="0" applyFont="1"/>
    <xf numFmtId="0" fontId="8" fillId="0" borderId="0" xfId="0" applyFont="1"/>
    <xf numFmtId="0" fontId="9" fillId="0" borderId="0" xfId="0" applyFont="1"/>
    <xf numFmtId="0" fontId="5" fillId="8" borderId="0" xfId="0" applyFont="1" applyFill="1"/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/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1" fillId="0" borderId="1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4" borderId="18" xfId="0" applyFont="1" applyFill="1" applyBorder="1"/>
    <xf numFmtId="164" fontId="1" fillId="4" borderId="18" xfId="0" applyNumberFormat="1" applyFont="1" applyFill="1" applyBorder="1"/>
    <xf numFmtId="167" fontId="0" fillId="3" borderId="0" xfId="0" applyNumberFormat="1" applyFill="1"/>
    <xf numFmtId="167" fontId="5" fillId="0" borderId="0" xfId="0" applyNumberFormat="1" applyFont="1"/>
    <xf numFmtId="167" fontId="1" fillId="4" borderId="18" xfId="0" applyNumberFormat="1" applyFont="1" applyFill="1" applyBorder="1"/>
    <xf numFmtId="167" fontId="1" fillId="3" borderId="0" xfId="0" applyNumberFormat="1" applyFont="1" applyFill="1"/>
    <xf numFmtId="167" fontId="0" fillId="0" borderId="0" xfId="0" applyNumberFormat="1"/>
    <xf numFmtId="167" fontId="4" fillId="2" borderId="0" xfId="0" applyNumberFormat="1" applyFont="1" applyFill="1"/>
    <xf numFmtId="168" fontId="0" fillId="3" borderId="0" xfId="0" applyNumberFormat="1" applyFill="1"/>
    <xf numFmtId="168" fontId="5" fillId="0" borderId="0" xfId="0" applyNumberFormat="1" applyFont="1"/>
    <xf numFmtId="168" fontId="1" fillId="4" borderId="18" xfId="0" applyNumberFormat="1" applyFont="1" applyFill="1" applyBorder="1"/>
    <xf numFmtId="168" fontId="1" fillId="3" borderId="0" xfId="0" applyNumberFormat="1" applyFont="1" applyFill="1"/>
    <xf numFmtId="168" fontId="0" fillId="0" borderId="0" xfId="0" applyNumberFormat="1"/>
    <xf numFmtId="168" fontId="4" fillId="2" borderId="0" xfId="0" applyNumberFormat="1" applyFont="1" applyFill="1"/>
    <xf numFmtId="167" fontId="5" fillId="8" borderId="13" xfId="0" applyNumberFormat="1" applyFont="1" applyFill="1" applyBorder="1"/>
    <xf numFmtId="167" fontId="8" fillId="0" borderId="13" xfId="0" applyNumberFormat="1" applyFont="1" applyBorder="1"/>
    <xf numFmtId="167" fontId="9" fillId="0" borderId="13" xfId="0" applyNumberFormat="1" applyFont="1" applyBorder="1"/>
    <xf numFmtId="167" fontId="5" fillId="8" borderId="16" xfId="0" applyNumberFormat="1" applyFont="1" applyFill="1" applyBorder="1"/>
    <xf numFmtId="167" fontId="8" fillId="0" borderId="16" xfId="0" applyNumberFormat="1" applyFont="1" applyBorder="1"/>
    <xf numFmtId="167" fontId="9" fillId="0" borderId="16" xfId="0" applyNumberFormat="1" applyFont="1" applyBorder="1"/>
    <xf numFmtId="167" fontId="0" fillId="0" borderId="13" xfId="0" applyNumberFormat="1" applyBorder="1"/>
    <xf numFmtId="167" fontId="0" fillId="0" borderId="16" xfId="0" applyNumberFormat="1" applyBorder="1"/>
    <xf numFmtId="169" fontId="0" fillId="0" borderId="0" xfId="0" applyNumberFormat="1"/>
    <xf numFmtId="0" fontId="12" fillId="0" borderId="0" xfId="0" applyFont="1"/>
    <xf numFmtId="0" fontId="0" fillId="0" borderId="0" xfId="0"/>
    <xf numFmtId="0" fontId="0" fillId="0" borderId="0" xfId="0" applyAlignment="1">
      <alignment wrapText="1"/>
    </xf>
    <xf numFmtId="0" fontId="1" fillId="6" borderId="0" xfId="0" applyFont="1" applyFill="1"/>
    <xf numFmtId="0" fontId="1" fillId="5" borderId="19" xfId="0" applyFont="1" applyFill="1" applyBorder="1"/>
    <xf numFmtId="167" fontId="1" fillId="5" borderId="19" xfId="0" applyNumberFormat="1" applyFont="1" applyFill="1" applyBorder="1"/>
    <xf numFmtId="167" fontId="0" fillId="5" borderId="0" xfId="0" applyNumberFormat="1" applyFill="1"/>
    <xf numFmtId="2" fontId="0" fillId="5" borderId="0" xfId="0" applyNumberFormat="1" applyFill="1"/>
    <xf numFmtId="169" fontId="2" fillId="5" borderId="0" xfId="0" applyNumberFormat="1" applyFont="1" applyFill="1"/>
    <xf numFmtId="0" fontId="13" fillId="0" borderId="0" xfId="0" applyFont="1"/>
    <xf numFmtId="0" fontId="0" fillId="0" borderId="0" xfId="0" applyAlignment="1">
      <alignment vertical="top" wrapText="1"/>
    </xf>
    <xf numFmtId="0" fontId="14" fillId="0" borderId="0" xfId="0" applyFont="1"/>
    <xf numFmtId="0" fontId="11" fillId="3" borderId="0" xfId="0" applyFont="1" applyFill="1"/>
    <xf numFmtId="0" fontId="1" fillId="9" borderId="0" xfId="0" applyFont="1" applyFill="1"/>
    <xf numFmtId="0" fontId="0" fillId="9" borderId="0" xfId="0" applyFill="1"/>
    <xf numFmtId="0" fontId="9" fillId="9" borderId="0" xfId="0" applyFont="1" applyFill="1"/>
    <xf numFmtId="0" fontId="1" fillId="10" borderId="0" xfId="0" applyFont="1" applyFill="1"/>
    <xf numFmtId="0" fontId="0" fillId="10" borderId="0" xfId="0" applyFill="1"/>
    <xf numFmtId="0" fontId="9" fillId="10" borderId="0" xfId="0" applyFont="1" applyFill="1"/>
    <xf numFmtId="0" fontId="15" fillId="0" borderId="0" xfId="0" applyFont="1"/>
    <xf numFmtId="3" fontId="11" fillId="5" borderId="0" xfId="0" applyNumberFormat="1" applyFont="1" applyFill="1"/>
    <xf numFmtId="3" fontId="9" fillId="0" borderId="0" xfId="0" applyNumberFormat="1" applyFont="1"/>
    <xf numFmtId="0" fontId="1" fillId="11" borderId="0" xfId="0" applyFont="1" applyFill="1"/>
    <xf numFmtId="0" fontId="0" fillId="11" borderId="0" xfId="0" applyFill="1"/>
    <xf numFmtId="0" fontId="9" fillId="11" borderId="0" xfId="0" applyFont="1" applyFill="1"/>
    <xf numFmtId="3" fontId="11" fillId="11" borderId="0" xfId="0" applyNumberFormat="1" applyFont="1" applyFill="1"/>
    <xf numFmtId="169" fontId="9" fillId="0" borderId="0" xfId="0" applyNumberFormat="1" applyFont="1"/>
    <xf numFmtId="0" fontId="16" fillId="0" borderId="0" xfId="0" applyFont="1"/>
    <xf numFmtId="0" fontId="0" fillId="0" borderId="1" xfId="0" applyBorder="1"/>
    <xf numFmtId="0" fontId="0" fillId="0" borderId="0" xfId="0" applyFill="1" applyBorder="1"/>
    <xf numFmtId="167" fontId="9" fillId="0" borderId="1" xfId="0" applyNumberFormat="1" applyFont="1" applyBorder="1"/>
    <xf numFmtId="167" fontId="0" fillId="0" borderId="1" xfId="0" applyNumberFormat="1" applyBorder="1"/>
    <xf numFmtId="167" fontId="0" fillId="0" borderId="0" xfId="0" applyNumberFormat="1" applyFill="1" applyBorder="1"/>
    <xf numFmtId="0" fontId="0" fillId="0" borderId="1" xfId="0" applyFill="1" applyBorder="1"/>
    <xf numFmtId="167" fontId="0" fillId="0" borderId="1" xfId="0" applyNumberFormat="1" applyFill="1" applyBorder="1"/>
    <xf numFmtId="167" fontId="5" fillId="0" borderId="1" xfId="0" applyNumberFormat="1" applyFont="1" applyBorder="1"/>
    <xf numFmtId="167" fontId="5" fillId="0" borderId="0" xfId="0" applyNumberFormat="1" applyFont="1" applyFill="1" applyBorder="1"/>
    <xf numFmtId="0" fontId="17" fillId="0" borderId="1" xfId="0" applyFont="1" applyBorder="1"/>
    <xf numFmtId="0" fontId="1" fillId="6" borderId="0" xfId="0" applyFont="1" applyFill="1" applyBorder="1"/>
    <xf numFmtId="0" fontId="0" fillId="5" borderId="0" xfId="0" applyFill="1" applyBorder="1"/>
    <xf numFmtId="0" fontId="1" fillId="5" borderId="0" xfId="0" applyFont="1" applyFill="1" applyBorder="1"/>
    <xf numFmtId="167" fontId="0" fillId="5" borderId="0" xfId="0" applyNumberFormat="1" applyFill="1" applyBorder="1"/>
    <xf numFmtId="0" fontId="0" fillId="5" borderId="2" xfId="0" applyFill="1" applyBorder="1"/>
    <xf numFmtId="0" fontId="1" fillId="5" borderId="2" xfId="0" applyFont="1" applyFill="1" applyBorder="1"/>
    <xf numFmtId="167" fontId="0" fillId="5" borderId="2" xfId="0" applyNumberFormat="1" applyFill="1" applyBorder="1"/>
    <xf numFmtId="0" fontId="18" fillId="12" borderId="3" xfId="0" applyFont="1" applyFill="1" applyBorder="1"/>
    <xf numFmtId="0" fontId="1" fillId="6" borderId="4" xfId="0" applyFont="1" applyFill="1" applyBorder="1"/>
    <xf numFmtId="0" fontId="0" fillId="5" borderId="4" xfId="0" applyFill="1" applyBorder="1"/>
    <xf numFmtId="0" fontId="0" fillId="5" borderId="5" xfId="0" applyFill="1" applyBorder="1"/>
    <xf numFmtId="0" fontId="17" fillId="0" borderId="6" xfId="0" applyFont="1" applyBorder="1"/>
    <xf numFmtId="0" fontId="1" fillId="6" borderId="7" xfId="0" applyFont="1" applyFill="1" applyBorder="1"/>
    <xf numFmtId="0" fontId="0" fillId="5" borderId="7" xfId="0" applyFill="1" applyBorder="1"/>
    <xf numFmtId="0" fontId="0" fillId="5" borderId="8" xfId="0" applyFill="1" applyBorder="1"/>
  </cellXfs>
  <cellStyles count="1">
    <cellStyle name="Normal" xfId="0" builtinId="0"/>
  </cellStyles>
  <dxfs count="52"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color rgb="FFA6A6A6"/>
      </font>
    </dxf>
    <dxf>
      <font>
        <b/>
        <i val="0"/>
        <color rgb="FF385723"/>
      </font>
    </dxf>
    <dxf>
      <fill>
        <patternFill patternType="solid">
          <fgColor indexed="64"/>
          <bgColor rgb="FFE2EFDA"/>
        </patternFill>
      </fill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7F2F00"/>
      </font>
      <fill>
        <patternFill patternType="solid">
          <fgColor indexed="64"/>
          <bgColor rgb="FFFFC000"/>
        </patternFill>
      </fill>
    </dxf>
    <dxf>
      <font>
        <b/>
        <i val="0"/>
        <color rgb="FF9C57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FFFFFF"/>
      </font>
      <fill>
        <patternFill patternType="solid">
          <fgColor indexed="64"/>
          <bgColor rgb="FF70AD47"/>
        </patternFill>
      </fill>
    </dxf>
    <dxf>
      <font>
        <b/>
        <i val="0"/>
        <color rgb="FFFFFFFF"/>
      </font>
      <fill>
        <patternFill patternType="solid">
          <fgColor indexed="64"/>
          <bgColor rgb="FF1F4E79"/>
        </patternFill>
      </fill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color rgb="FF0061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OEW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Pass</c:v>
          </c:tx>
          <c:spPr>
            <a:ln w="19050" cap="rnd">
              <a:solidFill>
                <a:srgbClr val="70AD47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Risk!$I$6:$I$166</c:f>
              <c:numCache>
                <c:formatCode>General</c:formatCode>
                <c:ptCount val="161"/>
                <c:pt idx="0">
                  <c:v>24080</c:v>
                </c:pt>
                <c:pt idx="1">
                  <c:v>24082</c:v>
                </c:pt>
                <c:pt idx="2">
                  <c:v>24084</c:v>
                </c:pt>
                <c:pt idx="3">
                  <c:v>24086</c:v>
                </c:pt>
                <c:pt idx="4">
                  <c:v>24088</c:v>
                </c:pt>
                <c:pt idx="5">
                  <c:v>24090</c:v>
                </c:pt>
                <c:pt idx="6">
                  <c:v>24092</c:v>
                </c:pt>
                <c:pt idx="7">
                  <c:v>24094</c:v>
                </c:pt>
                <c:pt idx="8">
                  <c:v>24096</c:v>
                </c:pt>
                <c:pt idx="9">
                  <c:v>24098</c:v>
                </c:pt>
                <c:pt idx="10">
                  <c:v>24100</c:v>
                </c:pt>
                <c:pt idx="11">
                  <c:v>24102</c:v>
                </c:pt>
                <c:pt idx="12">
                  <c:v>24104</c:v>
                </c:pt>
                <c:pt idx="13">
                  <c:v>24106</c:v>
                </c:pt>
                <c:pt idx="14">
                  <c:v>24108</c:v>
                </c:pt>
                <c:pt idx="15">
                  <c:v>24110</c:v>
                </c:pt>
                <c:pt idx="16">
                  <c:v>24112</c:v>
                </c:pt>
                <c:pt idx="17">
                  <c:v>24114</c:v>
                </c:pt>
                <c:pt idx="18">
                  <c:v>24116</c:v>
                </c:pt>
                <c:pt idx="19">
                  <c:v>24118</c:v>
                </c:pt>
                <c:pt idx="20">
                  <c:v>24120</c:v>
                </c:pt>
                <c:pt idx="21">
                  <c:v>24122</c:v>
                </c:pt>
                <c:pt idx="22">
                  <c:v>24124</c:v>
                </c:pt>
                <c:pt idx="23">
                  <c:v>24126</c:v>
                </c:pt>
                <c:pt idx="24">
                  <c:v>24128</c:v>
                </c:pt>
                <c:pt idx="25">
                  <c:v>24130</c:v>
                </c:pt>
                <c:pt idx="26">
                  <c:v>24132</c:v>
                </c:pt>
                <c:pt idx="27">
                  <c:v>24134</c:v>
                </c:pt>
                <c:pt idx="28">
                  <c:v>24136</c:v>
                </c:pt>
                <c:pt idx="29">
                  <c:v>24138</c:v>
                </c:pt>
                <c:pt idx="30">
                  <c:v>24140</c:v>
                </c:pt>
                <c:pt idx="31">
                  <c:v>24142</c:v>
                </c:pt>
                <c:pt idx="32">
                  <c:v>24144</c:v>
                </c:pt>
                <c:pt idx="33">
                  <c:v>24146</c:v>
                </c:pt>
                <c:pt idx="34">
                  <c:v>24148</c:v>
                </c:pt>
                <c:pt idx="35">
                  <c:v>24150</c:v>
                </c:pt>
                <c:pt idx="36">
                  <c:v>24152</c:v>
                </c:pt>
                <c:pt idx="37">
                  <c:v>24154</c:v>
                </c:pt>
                <c:pt idx="38">
                  <c:v>24156</c:v>
                </c:pt>
                <c:pt idx="39">
                  <c:v>24158</c:v>
                </c:pt>
                <c:pt idx="40">
                  <c:v>24160</c:v>
                </c:pt>
                <c:pt idx="41">
                  <c:v>24162</c:v>
                </c:pt>
                <c:pt idx="42">
                  <c:v>24164</c:v>
                </c:pt>
                <c:pt idx="43">
                  <c:v>24166</c:v>
                </c:pt>
                <c:pt idx="44">
                  <c:v>24168</c:v>
                </c:pt>
                <c:pt idx="45">
                  <c:v>24170</c:v>
                </c:pt>
                <c:pt idx="46">
                  <c:v>24172</c:v>
                </c:pt>
                <c:pt idx="47">
                  <c:v>24174</c:v>
                </c:pt>
                <c:pt idx="48">
                  <c:v>24176</c:v>
                </c:pt>
                <c:pt idx="49">
                  <c:v>24178</c:v>
                </c:pt>
                <c:pt idx="50">
                  <c:v>24180</c:v>
                </c:pt>
                <c:pt idx="51">
                  <c:v>24182</c:v>
                </c:pt>
                <c:pt idx="52">
                  <c:v>24184</c:v>
                </c:pt>
                <c:pt idx="53">
                  <c:v>24186</c:v>
                </c:pt>
                <c:pt idx="54">
                  <c:v>24188</c:v>
                </c:pt>
                <c:pt idx="55">
                  <c:v>24190</c:v>
                </c:pt>
                <c:pt idx="56">
                  <c:v>24192</c:v>
                </c:pt>
                <c:pt idx="57">
                  <c:v>24194</c:v>
                </c:pt>
                <c:pt idx="58">
                  <c:v>24196</c:v>
                </c:pt>
                <c:pt idx="59">
                  <c:v>24198</c:v>
                </c:pt>
                <c:pt idx="60">
                  <c:v>24200</c:v>
                </c:pt>
                <c:pt idx="61">
                  <c:v>24202</c:v>
                </c:pt>
                <c:pt idx="62">
                  <c:v>24204</c:v>
                </c:pt>
                <c:pt idx="63">
                  <c:v>24206</c:v>
                </c:pt>
                <c:pt idx="64">
                  <c:v>24208</c:v>
                </c:pt>
                <c:pt idx="65">
                  <c:v>24210</c:v>
                </c:pt>
                <c:pt idx="66">
                  <c:v>24212</c:v>
                </c:pt>
                <c:pt idx="67">
                  <c:v>24214</c:v>
                </c:pt>
                <c:pt idx="68">
                  <c:v>24216</c:v>
                </c:pt>
                <c:pt idx="69">
                  <c:v>24218</c:v>
                </c:pt>
                <c:pt idx="70">
                  <c:v>24220</c:v>
                </c:pt>
                <c:pt idx="71">
                  <c:v>24222</c:v>
                </c:pt>
                <c:pt idx="72">
                  <c:v>24224</c:v>
                </c:pt>
                <c:pt idx="73">
                  <c:v>24226</c:v>
                </c:pt>
                <c:pt idx="74">
                  <c:v>24228</c:v>
                </c:pt>
                <c:pt idx="75">
                  <c:v>24230</c:v>
                </c:pt>
                <c:pt idx="76">
                  <c:v>24232</c:v>
                </c:pt>
                <c:pt idx="77">
                  <c:v>24234</c:v>
                </c:pt>
                <c:pt idx="78">
                  <c:v>24236</c:v>
                </c:pt>
                <c:pt idx="79">
                  <c:v>24238</c:v>
                </c:pt>
                <c:pt idx="80">
                  <c:v>24240</c:v>
                </c:pt>
                <c:pt idx="81">
                  <c:v>24242</c:v>
                </c:pt>
                <c:pt idx="82">
                  <c:v>24244</c:v>
                </c:pt>
                <c:pt idx="83">
                  <c:v>24246</c:v>
                </c:pt>
                <c:pt idx="84">
                  <c:v>24248</c:v>
                </c:pt>
                <c:pt idx="85">
                  <c:v>24250</c:v>
                </c:pt>
                <c:pt idx="86">
                  <c:v>24252</c:v>
                </c:pt>
                <c:pt idx="87">
                  <c:v>24254</c:v>
                </c:pt>
                <c:pt idx="88">
                  <c:v>24256</c:v>
                </c:pt>
                <c:pt idx="89">
                  <c:v>24258</c:v>
                </c:pt>
                <c:pt idx="90">
                  <c:v>24260</c:v>
                </c:pt>
                <c:pt idx="91">
                  <c:v>24262</c:v>
                </c:pt>
                <c:pt idx="92">
                  <c:v>24264</c:v>
                </c:pt>
                <c:pt idx="93">
                  <c:v>24266</c:v>
                </c:pt>
                <c:pt idx="94">
                  <c:v>24268</c:v>
                </c:pt>
                <c:pt idx="95">
                  <c:v>24270</c:v>
                </c:pt>
                <c:pt idx="96">
                  <c:v>24272</c:v>
                </c:pt>
                <c:pt idx="97">
                  <c:v>24274</c:v>
                </c:pt>
                <c:pt idx="98">
                  <c:v>24276</c:v>
                </c:pt>
                <c:pt idx="99">
                  <c:v>24278</c:v>
                </c:pt>
                <c:pt idx="100">
                  <c:v>24280</c:v>
                </c:pt>
                <c:pt idx="101">
                  <c:v>24282</c:v>
                </c:pt>
                <c:pt idx="102">
                  <c:v>24284</c:v>
                </c:pt>
                <c:pt idx="103">
                  <c:v>24286</c:v>
                </c:pt>
                <c:pt idx="104">
                  <c:v>24288</c:v>
                </c:pt>
                <c:pt idx="105">
                  <c:v>24290</c:v>
                </c:pt>
                <c:pt idx="106">
                  <c:v>24292</c:v>
                </c:pt>
                <c:pt idx="107">
                  <c:v>24294</c:v>
                </c:pt>
                <c:pt idx="108">
                  <c:v>24296</c:v>
                </c:pt>
                <c:pt idx="109">
                  <c:v>24298</c:v>
                </c:pt>
                <c:pt idx="110">
                  <c:v>24300</c:v>
                </c:pt>
                <c:pt idx="111">
                  <c:v>24302</c:v>
                </c:pt>
                <c:pt idx="112">
                  <c:v>24304</c:v>
                </c:pt>
                <c:pt idx="113">
                  <c:v>24306</c:v>
                </c:pt>
                <c:pt idx="114">
                  <c:v>24308</c:v>
                </c:pt>
                <c:pt idx="115">
                  <c:v>24310</c:v>
                </c:pt>
                <c:pt idx="116">
                  <c:v>24312</c:v>
                </c:pt>
                <c:pt idx="117">
                  <c:v>24314</c:v>
                </c:pt>
                <c:pt idx="118">
                  <c:v>24316</c:v>
                </c:pt>
                <c:pt idx="119">
                  <c:v>24318</c:v>
                </c:pt>
                <c:pt idx="120">
                  <c:v>24320</c:v>
                </c:pt>
                <c:pt idx="121">
                  <c:v>24322</c:v>
                </c:pt>
                <c:pt idx="122">
                  <c:v>24324</c:v>
                </c:pt>
                <c:pt idx="123">
                  <c:v>24326</c:v>
                </c:pt>
                <c:pt idx="124">
                  <c:v>24328</c:v>
                </c:pt>
                <c:pt idx="125">
                  <c:v>24330</c:v>
                </c:pt>
                <c:pt idx="126">
                  <c:v>24332</c:v>
                </c:pt>
                <c:pt idx="127">
                  <c:v>24334</c:v>
                </c:pt>
                <c:pt idx="128">
                  <c:v>24336</c:v>
                </c:pt>
                <c:pt idx="129">
                  <c:v>24338</c:v>
                </c:pt>
                <c:pt idx="130">
                  <c:v>24340</c:v>
                </c:pt>
                <c:pt idx="131">
                  <c:v>24342</c:v>
                </c:pt>
                <c:pt idx="132">
                  <c:v>24344</c:v>
                </c:pt>
                <c:pt idx="133">
                  <c:v>24346</c:v>
                </c:pt>
                <c:pt idx="134">
                  <c:v>24348</c:v>
                </c:pt>
                <c:pt idx="135">
                  <c:v>24350</c:v>
                </c:pt>
                <c:pt idx="136">
                  <c:v>24352</c:v>
                </c:pt>
                <c:pt idx="137">
                  <c:v>24354</c:v>
                </c:pt>
                <c:pt idx="138">
                  <c:v>24356</c:v>
                </c:pt>
                <c:pt idx="139">
                  <c:v>24358</c:v>
                </c:pt>
                <c:pt idx="140">
                  <c:v>24360</c:v>
                </c:pt>
                <c:pt idx="141">
                  <c:v>24362</c:v>
                </c:pt>
                <c:pt idx="142">
                  <c:v>24364</c:v>
                </c:pt>
                <c:pt idx="143">
                  <c:v>24366</c:v>
                </c:pt>
                <c:pt idx="144">
                  <c:v>24368</c:v>
                </c:pt>
                <c:pt idx="145">
                  <c:v>24370</c:v>
                </c:pt>
                <c:pt idx="146">
                  <c:v>24372</c:v>
                </c:pt>
                <c:pt idx="147">
                  <c:v>24374</c:v>
                </c:pt>
                <c:pt idx="148">
                  <c:v>24376</c:v>
                </c:pt>
                <c:pt idx="149">
                  <c:v>24378</c:v>
                </c:pt>
                <c:pt idx="150">
                  <c:v>24380</c:v>
                </c:pt>
                <c:pt idx="151">
                  <c:v>24382</c:v>
                </c:pt>
                <c:pt idx="152">
                  <c:v>24384</c:v>
                </c:pt>
                <c:pt idx="153">
                  <c:v>24386</c:v>
                </c:pt>
                <c:pt idx="154">
                  <c:v>24388</c:v>
                </c:pt>
                <c:pt idx="155">
                  <c:v>24390</c:v>
                </c:pt>
                <c:pt idx="156">
                  <c:v>24392</c:v>
                </c:pt>
                <c:pt idx="157">
                  <c:v>24394</c:v>
                </c:pt>
                <c:pt idx="158">
                  <c:v>24396</c:v>
                </c:pt>
                <c:pt idx="159">
                  <c:v>24398</c:v>
                </c:pt>
                <c:pt idx="160">
                  <c:v>24400</c:v>
                </c:pt>
              </c:numCache>
            </c:numRef>
          </c:xVal>
          <c:yVal>
            <c:numRef>
              <c:f>Risk!$K$6:$K$166</c:f>
              <c:numCache>
                <c:formatCode>General</c:formatCode>
                <c:ptCount val="161"/>
                <c:pt idx="0">
                  <c:v>1.5775991539977931E-3</c:v>
                </c:pt>
                <c:pt idx="1">
                  <c:v>2.1083156943237326E-3</c:v>
                </c:pt>
                <c:pt idx="2">
                  <c:v>2.8069321464204559E-3</c:v>
                </c:pt>
                <c:pt idx="3">
                  <c:v>3.7229352474196682E-3</c:v>
                </c:pt>
                <c:pt idx="4">
                  <c:v>4.9192211432703241E-3</c:v>
                </c:pt>
                <c:pt idx="5">
                  <c:v>6.4753687702818318E-3</c:v>
                </c:pt>
                <c:pt idx="6">
                  <c:v>8.4916084747343069E-3</c:v>
                </c:pt>
                <c:pt idx="7">
                  <c:v>1.1093605373294041E-2</c:v>
                </c:pt>
                <c:pt idx="8">
                  <c:v>1.4438190234473703E-2</c:v>
                </c:pt>
                <c:pt idx="9">
                  <c:v>1.872018352898696E-2</c:v>
                </c:pt>
                <c:pt idx="10">
                  <c:v>2.4180470125876569E-2</c:v>
                </c:pt>
                <c:pt idx="11">
                  <c:v>3.1115492122810635E-2</c:v>
                </c:pt>
                <c:pt idx="12">
                  <c:v>3.9888334554441553E-2</c:v>
                </c:pt>
                <c:pt idx="13">
                  <c:v>5.0941582120205726E-2</c:v>
                </c:pt>
                <c:pt idx="14">
                  <c:v>6.4812123350207487E-2</c:v>
                </c:pt>
                <c:pt idx="15">
                  <c:v>8.2148070375015675E-2</c:v>
                </c:pt>
                <c:pt idx="16">
                  <c:v>0.10372794614846591</c:v>
                </c:pt>
                <c:pt idx="17">
                  <c:v>0.13048226497099868</c:v>
                </c:pt>
                <c:pt idx="18">
                  <c:v>0.16351759481828101</c:v>
                </c:pt>
                <c:pt idx="19">
                  <c:v>0.20414313967173225</c:v>
                </c:pt>
                <c:pt idx="20">
                  <c:v>0.25389981526662647</c:v>
                </c:pt>
                <c:pt idx="21">
                  <c:v>0.31459171112985973</c:v>
                </c:pt>
                <c:pt idx="22">
                  <c:v>0.38831973451741836</c:v>
                </c:pt>
                <c:pt idx="23">
                  <c:v>0.47751711738857483</c:v>
                </c:pt>
                <c:pt idx="24">
                  <c:v>0.58498633597927752</c:v>
                </c:pt>
                <c:pt idx="25">
                  <c:v>0.71393684471490948</c:v>
                </c:pt>
                <c:pt idx="26">
                  <c:v>0.86802286387034233</c:v>
                </c:pt>
                <c:pt idx="27">
                  <c:v>1.0513802862933999</c:v>
                </c:pt>
                <c:pt idx="28">
                  <c:v>1.2686615865270656</c:v>
                </c:pt>
                <c:pt idx="29">
                  <c:v>1.5250674308632475</c:v>
                </c:pt>
                <c:pt idx="30">
                  <c:v>1.8263735055343937</c:v>
                </c:pt>
                <c:pt idx="31">
                  <c:v>2.1789509099065367</c:v>
                </c:pt>
                <c:pt idx="32">
                  <c:v>2.5897783108123162</c:v>
                </c:pt>
                <c:pt idx="33">
                  <c:v>3.0664439326559552</c:v>
                </c:pt>
                <c:pt idx="34">
                  <c:v>3.6171353759639762</c:v>
                </c:pt>
                <c:pt idx="35">
                  <c:v>4.2506152253812175</c:v>
                </c:pt>
                <c:pt idx="36">
                  <c:v>4.9761804374561898</c:v>
                </c:pt>
                <c:pt idx="37">
                  <c:v>5.8036035991736865</c:v>
                </c:pt>
                <c:pt idx="38">
                  <c:v>6.7430543292887304</c:v>
                </c:pt>
                <c:pt idx="39">
                  <c:v>7.8049993636700083</c:v>
                </c:pt>
                <c:pt idx="40">
                  <c:v>9.0000802283802344</c:v>
                </c:pt>
                <c:pt idx="41">
                  <c:v>10.338967862516506</c:v>
                </c:pt>
                <c:pt idx="42">
                  <c:v>11.832194105828098</c:v>
                </c:pt>
                <c:pt idx="43">
                  <c:v>13.489960608730705</c:v>
                </c:pt>
                <c:pt idx="44">
                  <c:v>15.321926445031162</c:v>
                </c:pt>
                <c:pt idx="45">
                  <c:v>17.336976496265187</c:v>
                </c:pt>
                <c:pt idx="46">
                  <c:v>19.542973512070571</c:v>
                </c:pt>
                <c:pt idx="47">
                  <c:v>21.946497609894219</c:v>
                </c:pt>
                <c:pt idx="48">
                  <c:v>24.55257783175384</c:v>
                </c:pt>
                <c:pt idx="49">
                  <c:v>27.364421194352605</c:v>
                </c:pt>
                <c:pt idx="50">
                  <c:v>30.383145417503496</c:v>
                </c:pt>
                <c:pt idx="51">
                  <c:v>33.607522158954296</c:v>
                </c:pt>
                <c:pt idx="52">
                  <c:v>37.033738085549018</c:v>
                </c:pt>
                <c:pt idx="53">
                  <c:v>40.655181436835711</c:v>
                </c:pt>
                <c:pt idx="54">
                  <c:v>44.462261856399969</c:v>
                </c:pt>
                <c:pt idx="55">
                  <c:v>48.442271151785441</c:v>
                </c:pt>
                <c:pt idx="56">
                  <c:v>52.579292275700126</c:v>
                </c:pt>
                <c:pt idx="57">
                  <c:v>56.854163187100568</c:v>
                </c:pt>
                <c:pt idx="58">
                  <c:v>61.244501347786539</c:v>
                </c:pt>
                <c:pt idx="59">
                  <c:v>65.724793445703767</c:v>
                </c:pt>
                <c:pt idx="60">
                  <c:v>70.266553528544051</c:v>
                </c:pt>
                <c:pt idx="61">
                  <c:v>74.838551109824039</c:v>
                </c:pt>
                <c:pt idx="62">
                  <c:v>79.407109014528757</c:v>
                </c:pt>
                <c:pt idx="63">
                  <c:v>83.936468812599117</c:v>
                </c:pt>
                <c:pt idx="64">
                  <c:v>88.389219704453851</c:v>
                </c:pt>
                <c:pt idx="65">
                  <c:v>92.726784738365708</c:v>
                </c:pt>
                <c:pt idx="66">
                  <c:v>96.909956324075466</c:v>
                </c:pt>
                <c:pt idx="67">
                  <c:v>100.89947123129404</c:v>
                </c:pt>
                <c:pt idx="68">
                  <c:v>104.6566136951012</c:v>
                </c:pt>
                <c:pt idx="69">
                  <c:v>108.14383395769816</c:v>
                </c:pt>
                <c:pt idx="70">
                  <c:v>111.32536861513749</c:v>
                </c:pt>
                <c:pt idx="71">
                  <c:v>114.16784855601368</c:v>
                </c:pt>
                <c:pt idx="72">
                  <c:v>116.64088011153977</c:v>
                </c:pt>
                <c:pt idx="73">
                  <c:v>118.71758530328951</c:v>
                </c:pt>
                <c:pt idx="74">
                  <c:v>120.37508778057328</c:v>
                </c:pt>
                <c:pt idx="75">
                  <c:v>121.59493217175</c:v>
                </c:pt>
                <c:pt idx="76">
                  <c:v>122.36342610403403</c:v>
                </c:pt>
                <c:pt idx="77">
                  <c:v>122.67189603006805</c:v>
                </c:pt>
                <c:pt idx="78">
                  <c:v>122.51685017805659</c:v>
                </c:pt>
                <c:pt idx="79">
                  <c:v>121.90004434496429</c:v>
                </c:pt>
                <c:pt idx="80">
                  <c:v>120.82844879938254</c:v>
                </c:pt>
                <c:pt idx="81">
                  <c:v>119.31411716640885</c:v>
                </c:pt>
                <c:pt idx="82">
                  <c:v>117.37396074310058</c:v>
                </c:pt>
                <c:pt idx="83">
                  <c:v>115.0294341528092</c:v>
                </c:pt>
                <c:pt idx="84">
                  <c:v>112.30614050782775</c:v>
                </c:pt>
                <c:pt idx="85">
                  <c:v>109.23336623829876</c:v>
                </c:pt>
                <c:pt idx="86">
                  <c:v>105.84355739833894</c:v>
                </c:pt>
                <c:pt idx="87">
                  <c:v>102.1717505284745</c:v>
                </c:pt>
                <c:pt idx="88">
                  <c:v>98.254972002679196</c:v>
                </c:pt>
                <c:pt idx="89">
                  <c:v>94.13162020085845</c:v>
                </c:pt>
                <c:pt idx="90">
                  <c:v>89.840844822485082</c:v>
                </c:pt>
                <c:pt idx="91">
                  <c:v>85.421937209443627</c:v>
                </c:pt>
                <c:pt idx="92">
                  <c:v>80.913744706242426</c:v>
                </c:pt>
                <c:pt idx="93">
                  <c:v>76.35412089715085</c:v>
                </c:pt>
                <c:pt idx="94">
                  <c:v>71.779422077083026</c:v>
                </c:pt>
                <c:pt idx="95">
                  <c:v>67.22405859905065</c:v>
                </c:pt>
                <c:pt idx="96">
                  <c:v>62.720107864019198</c:v>
                </c:pt>
                <c:pt idx="97">
                  <c:v>58.296993749667855</c:v>
                </c:pt>
                <c:pt idx="98">
                  <c:v>53.981235282911719</c:v>
                </c:pt>
                <c:pt idx="99">
                  <c:v>49.796265413773426</c:v>
                </c:pt>
                <c:pt idx="100">
                  <c:v>45.762318906127952</c:v>
                </c:pt>
                <c:pt idx="101">
                  <c:v>41.896386676946399</c:v>
                </c:pt>
                <c:pt idx="102">
                  <c:v>38.21223243343514</c:v>
                </c:pt>
                <c:pt idx="103">
                  <c:v>34.720466209901019</c:v>
                </c:pt>
                <c:pt idx="104">
                  <c:v>31.428668415245824</c:v>
                </c:pt>
                <c:pt idx="105">
                  <c:v>28.341557278656204</c:v>
                </c:pt>
                <c:pt idx="106">
                  <c:v>25.461192125708685</c:v>
                </c:pt>
                <c:pt idx="107">
                  <c:v>22.787204720503723</c:v>
                </c:pt>
                <c:pt idx="108">
                  <c:v>20.31705095389049</c:v>
                </c:pt>
                <c:pt idx="109">
                  <c:v>18.04627541871438</c:v>
                </c:pt>
                <c:pt idx="110">
                  <c:v>15.96878186036146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AA-4661-87E8-08B976B40929}"/>
            </c:ext>
          </c:extLst>
        </c:ser>
        <c:ser>
          <c:idx val="1"/>
          <c:order val="1"/>
          <c:tx>
            <c:v>PDF Fail</c:v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Risk!$I$6:$I$166</c:f>
              <c:numCache>
                <c:formatCode>General</c:formatCode>
                <c:ptCount val="161"/>
                <c:pt idx="0">
                  <c:v>24080</c:v>
                </c:pt>
                <c:pt idx="1">
                  <c:v>24082</c:v>
                </c:pt>
                <c:pt idx="2">
                  <c:v>24084</c:v>
                </c:pt>
                <c:pt idx="3">
                  <c:v>24086</c:v>
                </c:pt>
                <c:pt idx="4">
                  <c:v>24088</c:v>
                </c:pt>
                <c:pt idx="5">
                  <c:v>24090</c:v>
                </c:pt>
                <c:pt idx="6">
                  <c:v>24092</c:v>
                </c:pt>
                <c:pt idx="7">
                  <c:v>24094</c:v>
                </c:pt>
                <c:pt idx="8">
                  <c:v>24096</c:v>
                </c:pt>
                <c:pt idx="9">
                  <c:v>24098</c:v>
                </c:pt>
                <c:pt idx="10">
                  <c:v>24100</c:v>
                </c:pt>
                <c:pt idx="11">
                  <c:v>24102</c:v>
                </c:pt>
                <c:pt idx="12">
                  <c:v>24104</c:v>
                </c:pt>
                <c:pt idx="13">
                  <c:v>24106</c:v>
                </c:pt>
                <c:pt idx="14">
                  <c:v>24108</c:v>
                </c:pt>
                <c:pt idx="15">
                  <c:v>24110</c:v>
                </c:pt>
                <c:pt idx="16">
                  <c:v>24112</c:v>
                </c:pt>
                <c:pt idx="17">
                  <c:v>24114</c:v>
                </c:pt>
                <c:pt idx="18">
                  <c:v>24116</c:v>
                </c:pt>
                <c:pt idx="19">
                  <c:v>24118</c:v>
                </c:pt>
                <c:pt idx="20">
                  <c:v>24120</c:v>
                </c:pt>
                <c:pt idx="21">
                  <c:v>24122</c:v>
                </c:pt>
                <c:pt idx="22">
                  <c:v>24124</c:v>
                </c:pt>
                <c:pt idx="23">
                  <c:v>24126</c:v>
                </c:pt>
                <c:pt idx="24">
                  <c:v>24128</c:v>
                </c:pt>
                <c:pt idx="25">
                  <c:v>24130</c:v>
                </c:pt>
                <c:pt idx="26">
                  <c:v>24132</c:v>
                </c:pt>
                <c:pt idx="27">
                  <c:v>24134</c:v>
                </c:pt>
                <c:pt idx="28">
                  <c:v>24136</c:v>
                </c:pt>
                <c:pt idx="29">
                  <c:v>24138</c:v>
                </c:pt>
                <c:pt idx="30">
                  <c:v>24140</c:v>
                </c:pt>
                <c:pt idx="31">
                  <c:v>24142</c:v>
                </c:pt>
                <c:pt idx="32">
                  <c:v>24144</c:v>
                </c:pt>
                <c:pt idx="33">
                  <c:v>24146</c:v>
                </c:pt>
                <c:pt idx="34">
                  <c:v>24148</c:v>
                </c:pt>
                <c:pt idx="35">
                  <c:v>24150</c:v>
                </c:pt>
                <c:pt idx="36">
                  <c:v>24152</c:v>
                </c:pt>
                <c:pt idx="37">
                  <c:v>24154</c:v>
                </c:pt>
                <c:pt idx="38">
                  <c:v>24156</c:v>
                </c:pt>
                <c:pt idx="39">
                  <c:v>24158</c:v>
                </c:pt>
                <c:pt idx="40">
                  <c:v>24160</c:v>
                </c:pt>
                <c:pt idx="41">
                  <c:v>24162</c:v>
                </c:pt>
                <c:pt idx="42">
                  <c:v>24164</c:v>
                </c:pt>
                <c:pt idx="43">
                  <c:v>24166</c:v>
                </c:pt>
                <c:pt idx="44">
                  <c:v>24168</c:v>
                </c:pt>
                <c:pt idx="45">
                  <c:v>24170</c:v>
                </c:pt>
                <c:pt idx="46">
                  <c:v>24172</c:v>
                </c:pt>
                <c:pt idx="47">
                  <c:v>24174</c:v>
                </c:pt>
                <c:pt idx="48">
                  <c:v>24176</c:v>
                </c:pt>
                <c:pt idx="49">
                  <c:v>24178</c:v>
                </c:pt>
                <c:pt idx="50">
                  <c:v>24180</c:v>
                </c:pt>
                <c:pt idx="51">
                  <c:v>24182</c:v>
                </c:pt>
                <c:pt idx="52">
                  <c:v>24184</c:v>
                </c:pt>
                <c:pt idx="53">
                  <c:v>24186</c:v>
                </c:pt>
                <c:pt idx="54">
                  <c:v>24188</c:v>
                </c:pt>
                <c:pt idx="55">
                  <c:v>24190</c:v>
                </c:pt>
                <c:pt idx="56">
                  <c:v>24192</c:v>
                </c:pt>
                <c:pt idx="57">
                  <c:v>24194</c:v>
                </c:pt>
                <c:pt idx="58">
                  <c:v>24196</c:v>
                </c:pt>
                <c:pt idx="59">
                  <c:v>24198</c:v>
                </c:pt>
                <c:pt idx="60">
                  <c:v>24200</c:v>
                </c:pt>
                <c:pt idx="61">
                  <c:v>24202</c:v>
                </c:pt>
                <c:pt idx="62">
                  <c:v>24204</c:v>
                </c:pt>
                <c:pt idx="63">
                  <c:v>24206</c:v>
                </c:pt>
                <c:pt idx="64">
                  <c:v>24208</c:v>
                </c:pt>
                <c:pt idx="65">
                  <c:v>24210</c:v>
                </c:pt>
                <c:pt idx="66">
                  <c:v>24212</c:v>
                </c:pt>
                <c:pt idx="67">
                  <c:v>24214</c:v>
                </c:pt>
                <c:pt idx="68">
                  <c:v>24216</c:v>
                </c:pt>
                <c:pt idx="69">
                  <c:v>24218</c:v>
                </c:pt>
                <c:pt idx="70">
                  <c:v>24220</c:v>
                </c:pt>
                <c:pt idx="71">
                  <c:v>24222</c:v>
                </c:pt>
                <c:pt idx="72">
                  <c:v>24224</c:v>
                </c:pt>
                <c:pt idx="73">
                  <c:v>24226</c:v>
                </c:pt>
                <c:pt idx="74">
                  <c:v>24228</c:v>
                </c:pt>
                <c:pt idx="75">
                  <c:v>24230</c:v>
                </c:pt>
                <c:pt idx="76">
                  <c:v>24232</c:v>
                </c:pt>
                <c:pt idx="77">
                  <c:v>24234</c:v>
                </c:pt>
                <c:pt idx="78">
                  <c:v>24236</c:v>
                </c:pt>
                <c:pt idx="79">
                  <c:v>24238</c:v>
                </c:pt>
                <c:pt idx="80">
                  <c:v>24240</c:v>
                </c:pt>
                <c:pt idx="81">
                  <c:v>24242</c:v>
                </c:pt>
                <c:pt idx="82">
                  <c:v>24244</c:v>
                </c:pt>
                <c:pt idx="83">
                  <c:v>24246</c:v>
                </c:pt>
                <c:pt idx="84">
                  <c:v>24248</c:v>
                </c:pt>
                <c:pt idx="85">
                  <c:v>24250</c:v>
                </c:pt>
                <c:pt idx="86">
                  <c:v>24252</c:v>
                </c:pt>
                <c:pt idx="87">
                  <c:v>24254</c:v>
                </c:pt>
                <c:pt idx="88">
                  <c:v>24256</c:v>
                </c:pt>
                <c:pt idx="89">
                  <c:v>24258</c:v>
                </c:pt>
                <c:pt idx="90">
                  <c:v>24260</c:v>
                </c:pt>
                <c:pt idx="91">
                  <c:v>24262</c:v>
                </c:pt>
                <c:pt idx="92">
                  <c:v>24264</c:v>
                </c:pt>
                <c:pt idx="93">
                  <c:v>24266</c:v>
                </c:pt>
                <c:pt idx="94">
                  <c:v>24268</c:v>
                </c:pt>
                <c:pt idx="95">
                  <c:v>24270</c:v>
                </c:pt>
                <c:pt idx="96">
                  <c:v>24272</c:v>
                </c:pt>
                <c:pt idx="97">
                  <c:v>24274</c:v>
                </c:pt>
                <c:pt idx="98">
                  <c:v>24276</c:v>
                </c:pt>
                <c:pt idx="99">
                  <c:v>24278</c:v>
                </c:pt>
                <c:pt idx="100">
                  <c:v>24280</c:v>
                </c:pt>
                <c:pt idx="101">
                  <c:v>24282</c:v>
                </c:pt>
                <c:pt idx="102">
                  <c:v>24284</c:v>
                </c:pt>
                <c:pt idx="103">
                  <c:v>24286</c:v>
                </c:pt>
                <c:pt idx="104">
                  <c:v>24288</c:v>
                </c:pt>
                <c:pt idx="105">
                  <c:v>24290</c:v>
                </c:pt>
                <c:pt idx="106">
                  <c:v>24292</c:v>
                </c:pt>
                <c:pt idx="107">
                  <c:v>24294</c:v>
                </c:pt>
                <c:pt idx="108">
                  <c:v>24296</c:v>
                </c:pt>
                <c:pt idx="109">
                  <c:v>24298</c:v>
                </c:pt>
                <c:pt idx="110">
                  <c:v>24300</c:v>
                </c:pt>
                <c:pt idx="111">
                  <c:v>24302</c:v>
                </c:pt>
                <c:pt idx="112">
                  <c:v>24304</c:v>
                </c:pt>
                <c:pt idx="113">
                  <c:v>24306</c:v>
                </c:pt>
                <c:pt idx="114">
                  <c:v>24308</c:v>
                </c:pt>
                <c:pt idx="115">
                  <c:v>24310</c:v>
                </c:pt>
                <c:pt idx="116">
                  <c:v>24312</c:v>
                </c:pt>
                <c:pt idx="117">
                  <c:v>24314</c:v>
                </c:pt>
                <c:pt idx="118">
                  <c:v>24316</c:v>
                </c:pt>
                <c:pt idx="119">
                  <c:v>24318</c:v>
                </c:pt>
                <c:pt idx="120">
                  <c:v>24320</c:v>
                </c:pt>
                <c:pt idx="121">
                  <c:v>24322</c:v>
                </c:pt>
                <c:pt idx="122">
                  <c:v>24324</c:v>
                </c:pt>
                <c:pt idx="123">
                  <c:v>24326</c:v>
                </c:pt>
                <c:pt idx="124">
                  <c:v>24328</c:v>
                </c:pt>
                <c:pt idx="125">
                  <c:v>24330</c:v>
                </c:pt>
                <c:pt idx="126">
                  <c:v>24332</c:v>
                </c:pt>
                <c:pt idx="127">
                  <c:v>24334</c:v>
                </c:pt>
                <c:pt idx="128">
                  <c:v>24336</c:v>
                </c:pt>
                <c:pt idx="129">
                  <c:v>24338</c:v>
                </c:pt>
                <c:pt idx="130">
                  <c:v>24340</c:v>
                </c:pt>
                <c:pt idx="131">
                  <c:v>24342</c:v>
                </c:pt>
                <c:pt idx="132">
                  <c:v>24344</c:v>
                </c:pt>
                <c:pt idx="133">
                  <c:v>24346</c:v>
                </c:pt>
                <c:pt idx="134">
                  <c:v>24348</c:v>
                </c:pt>
                <c:pt idx="135">
                  <c:v>24350</c:v>
                </c:pt>
                <c:pt idx="136">
                  <c:v>24352</c:v>
                </c:pt>
                <c:pt idx="137">
                  <c:v>24354</c:v>
                </c:pt>
                <c:pt idx="138">
                  <c:v>24356</c:v>
                </c:pt>
                <c:pt idx="139">
                  <c:v>24358</c:v>
                </c:pt>
                <c:pt idx="140">
                  <c:v>24360</c:v>
                </c:pt>
                <c:pt idx="141">
                  <c:v>24362</c:v>
                </c:pt>
                <c:pt idx="142">
                  <c:v>24364</c:v>
                </c:pt>
                <c:pt idx="143">
                  <c:v>24366</c:v>
                </c:pt>
                <c:pt idx="144">
                  <c:v>24368</c:v>
                </c:pt>
                <c:pt idx="145">
                  <c:v>24370</c:v>
                </c:pt>
                <c:pt idx="146">
                  <c:v>24372</c:v>
                </c:pt>
                <c:pt idx="147">
                  <c:v>24374</c:v>
                </c:pt>
                <c:pt idx="148">
                  <c:v>24376</c:v>
                </c:pt>
                <c:pt idx="149">
                  <c:v>24378</c:v>
                </c:pt>
                <c:pt idx="150">
                  <c:v>24380</c:v>
                </c:pt>
                <c:pt idx="151">
                  <c:v>24382</c:v>
                </c:pt>
                <c:pt idx="152">
                  <c:v>24384</c:v>
                </c:pt>
                <c:pt idx="153">
                  <c:v>24386</c:v>
                </c:pt>
                <c:pt idx="154">
                  <c:v>24388</c:v>
                </c:pt>
                <c:pt idx="155">
                  <c:v>24390</c:v>
                </c:pt>
                <c:pt idx="156">
                  <c:v>24392</c:v>
                </c:pt>
                <c:pt idx="157">
                  <c:v>24394</c:v>
                </c:pt>
                <c:pt idx="158">
                  <c:v>24396</c:v>
                </c:pt>
                <c:pt idx="159">
                  <c:v>24398</c:v>
                </c:pt>
                <c:pt idx="160">
                  <c:v>24400</c:v>
                </c:pt>
              </c:numCache>
            </c:numRef>
          </c:xVal>
          <c:yVal>
            <c:numRef>
              <c:f>Risk!$L$6:$L$166</c:f>
              <c:numCache>
                <c:formatCode>General</c:formatCode>
                <c:ptCount val="1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15.96878186036146</c:v>
                </c:pt>
                <c:pt idx="111">
                  <c:v>14.077103091128265</c:v>
                </c:pt>
                <c:pt idx="112">
                  <c:v>12.362664674627929</c:v>
                </c:pt>
                <c:pt idx="113">
                  <c:v>10.816037485733267</c:v>
                </c:pt>
                <c:pt idx="114">
                  <c:v>9.4271750977357005</c:v>
                </c:pt>
                <c:pt idx="115">
                  <c:v>8.1856328090709418</c:v>
                </c:pt>
                <c:pt idx="116">
                  <c:v>7.0807659680502022</c:v>
                </c:pt>
                <c:pt idx="117">
                  <c:v>6.1019060605034534</c:v>
                </c:pt>
                <c:pt idx="118">
                  <c:v>5.2385137715730075</c:v>
                </c:pt>
                <c:pt idx="119">
                  <c:v>4.4803089033110339</c:v>
                </c:pt>
                <c:pt idx="120">
                  <c:v>3.8173776131880839</c:v>
                </c:pt>
                <c:pt idx="121">
                  <c:v>3.2402579285940738</c:v>
                </c:pt>
                <c:pt idx="122">
                  <c:v>2.7400048865538542</c:v>
                </c:pt>
                <c:pt idx="123">
                  <c:v>2.3082369475053683</c:v>
                </c:pt>
                <c:pt idx="124">
                  <c:v>1.9371655415157343</c:v>
                </c:pt>
                <c:pt idx="125">
                  <c:v>1.619609731633801</c:v>
                </c:pt>
                <c:pt idx="126">
                  <c:v>1.3489980309360894</c:v>
                </c:pt>
                <c:pt idx="127">
                  <c:v>1.1193593971871301</c:v>
                </c:pt>
                <c:pt idx="128">
                  <c:v>0.92530536253681706</c:v>
                </c:pt>
                <c:pt idx="129">
                  <c:v>0.76200514610088577</c:v>
                </c:pt>
                <c:pt idx="130">
                  <c:v>0.62515545512002546</c:v>
                </c:pt>
                <c:pt idx="131">
                  <c:v>0.51094651554153847</c:v>
                </c:pt>
                <c:pt idx="132">
                  <c:v>0.41602569429026393</c:v>
                </c:pt>
                <c:pt idx="133">
                  <c:v>0.33745989108644436</c:v>
                </c:pt>
                <c:pt idx="134">
                  <c:v>0.27269769413111655</c:v>
                </c:pt>
                <c:pt idx="135">
                  <c:v>0.21953211678798024</c:v>
                </c:pt>
                <c:pt idx="136">
                  <c:v>0.1760645658050122</c:v>
                </c:pt>
                <c:pt idx="137">
                  <c:v>0.14067053875014796</c:v>
                </c:pt>
                <c:pt idx="138">
                  <c:v>0.11196741124302871</c:v>
                </c:pt>
                <c:pt idx="139">
                  <c:v>8.8784554380627961E-2</c:v>
                </c:pt>
                <c:pt idx="140">
                  <c:v>7.0135919818744258E-2</c:v>
                </c:pt>
                <c:pt idx="141">
                  <c:v>5.5195143975142025E-2</c:v>
                </c:pt>
                <c:pt idx="142">
                  <c:v>4.3273152946301345E-2</c:v>
                </c:pt>
                <c:pt idx="143">
                  <c:v>3.3798194785571521E-2</c:v>
                </c:pt>
                <c:pt idx="144">
                  <c:v>2.6298184328641224E-2</c:v>
                </c:pt>
                <c:pt idx="145">
                  <c:v>2.0385216176993123E-2</c:v>
                </c:pt>
                <c:pt idx="146">
                  <c:v>1.5742082107388145E-2</c:v>
                </c:pt>
                <c:pt idx="147">
                  <c:v>1.2110618426263205E-2</c:v>
                </c:pt>
                <c:pt idx="148">
                  <c:v>9.2817050647745758E-3</c:v>
                </c:pt>
                <c:pt idx="149">
                  <c:v>7.086740058902561E-3</c:v>
                </c:pt>
                <c:pt idx="150">
                  <c:v>5.3904191665369488E-3</c:v>
                </c:pt>
                <c:pt idx="151">
                  <c:v>4.0846595839386058E-3</c:v>
                </c:pt>
                <c:pt idx="152">
                  <c:v>3.0835180448733207E-3</c:v>
                </c:pt>
                <c:pt idx="153">
                  <c:v>2.3189661860473108E-3</c:v>
                </c:pt>
                <c:pt idx="154">
                  <c:v>1.737399265073276E-3</c:v>
                </c:pt>
                <c:pt idx="155">
                  <c:v>1.2967675867336459E-3</c:v>
                </c:pt>
                <c:pt idx="156">
                  <c:v>9.6423292158196426E-4</c:v>
                </c:pt>
                <c:pt idx="157">
                  <c:v>7.1426449069148738E-4</c:v>
                </c:pt>
                <c:pt idx="158">
                  <c:v>5.2710053876644733E-4</c:v>
                </c:pt>
                <c:pt idx="159">
                  <c:v>3.8751200022733298E-4</c:v>
                </c:pt>
                <c:pt idx="160">
                  <c:v>2.838142176313941E-4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AA-4661-87E8-08B976B40929}"/>
            </c:ext>
          </c:extLst>
        </c:ser>
        <c:ser>
          <c:idx val="2"/>
          <c:order val="2"/>
          <c:tx>
            <c:v>Target</c:v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General</c:formatCode>
                <c:ptCount val="2"/>
                <c:pt idx="0">
                  <c:v>24300</c:v>
                </c:pt>
                <c:pt idx="1">
                  <c:v>24300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141.08000073031582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AA-4661-87E8-08B976B40929}"/>
            </c:ext>
          </c:extLst>
        </c:ser>
        <c:ser>
          <c:idx val="3"/>
          <c:order val="3"/>
          <c:tx>
            <c:v>Adjusted Mean</c:v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Risk!$P$6:$P$7</c:f>
              <c:numCache>
                <c:formatCode>General</c:formatCode>
                <c:ptCount val="2"/>
                <c:pt idx="0">
                  <c:v>24234.331279583337</c:v>
                </c:pt>
                <c:pt idx="1">
                  <c:v>24234.331279583337</c:v>
                </c:pt>
              </c:numCache>
            </c:numRef>
          </c:xVal>
          <c:yVal>
            <c:numRef>
              <c:f>Risk!$Q$6:$Q$7</c:f>
              <c:numCache>
                <c:formatCode>General</c:formatCode>
                <c:ptCount val="2"/>
                <c:pt idx="0">
                  <c:v>0</c:v>
                </c:pt>
                <c:pt idx="1">
                  <c:v>122.67826150462245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AA-4661-87E8-08B976B40929}"/>
            </c:ext>
          </c:extLst>
        </c:ser>
        <c:ser>
          <c:idx val="4"/>
          <c:order val="4"/>
          <c:tx>
            <c:v>P95</c:v>
          </c:tx>
          <c:spPr>
            <a:ln w="190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Risk!$R$6:$R$7</c:f>
              <c:numCache>
                <c:formatCode>General</c:formatCode>
                <c:ptCount val="2"/>
                <c:pt idx="0">
                  <c:v>24287.825683825089</c:v>
                </c:pt>
                <c:pt idx="1">
                  <c:v>24287.825683825089</c:v>
                </c:pt>
              </c:numCache>
            </c:numRef>
          </c:xVal>
          <c:yVal>
            <c:numRef>
              <c:f>Risk!$S$6:$S$7</c:f>
              <c:numCache>
                <c:formatCode>General</c:formatCode>
                <c:ptCount val="2"/>
                <c:pt idx="0">
                  <c:v>0</c:v>
                </c:pt>
                <c:pt idx="1">
                  <c:v>141.08000073031582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AA-4661-87E8-08B976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659263"/>
        <c:axId val="541612223"/>
      </c:scatterChart>
      <c:valAx>
        <c:axId val="541659263"/>
        <c:scaling>
          <c:orientation val="minMax"/>
          <c:max val="24400"/>
          <c:min val="240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OEW (lbm)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12223"/>
        <c:crosses val="autoZero"/>
        <c:crossBetween val="midCat"/>
      </c:valAx>
      <c:valAx>
        <c:axId val="541612223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59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2</xdr:row>
      <xdr:rowOff>74083</xdr:rowOff>
    </xdr:from>
    <xdr:to>
      <xdr:col>6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132521</xdr:colOff>
      <xdr:row>32</xdr:row>
      <xdr:rowOff>49696</xdr:rowOff>
    </xdr:from>
    <xdr:to>
      <xdr:col>21</xdr:col>
      <xdr:colOff>513522</xdr:colOff>
      <xdr:row>69</xdr:row>
      <xdr:rowOff>16566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36D25D-9543-CAC3-41E9-16CA792334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3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Q195"/>
  <sheetViews>
    <sheetView zoomScale="32" workbookViewId="0">
      <pane ySplit="10" topLeftCell="A85" activePane="bottomLeft" state="frozen"/>
      <selection pane="bottomLeft" activeCell="Q98" sqref="Q98"/>
    </sheetView>
  </sheetViews>
  <sheetFormatPr defaultRowHeight="14.4" outlineLevelCol="1" x14ac:dyDescent="0.3"/>
  <cols>
    <col min="1" max="1" width="12" bestFit="1" customWidth="1"/>
    <col min="2" max="2" width="33.33203125" customWidth="1"/>
    <col min="3" max="4" width="13.88671875" customWidth="1"/>
    <col min="5" max="5" width="16.6640625" customWidth="1"/>
    <col min="6" max="8" width="12" customWidth="1"/>
    <col min="9" max="11" width="16.6640625" hidden="1" customWidth="1" outlineLevel="1"/>
    <col min="12" max="12" width="37" customWidth="1" collapsed="1"/>
    <col min="13" max="13" width="9.88671875" customWidth="1"/>
    <col min="14" max="14" width="7.77734375" customWidth="1"/>
    <col min="15" max="15" width="53.33203125" bestFit="1" customWidth="1"/>
    <col min="16" max="16" width="16.6640625" bestFit="1" customWidth="1"/>
    <col min="17" max="17" width="19.88671875" bestFit="1" customWidth="1"/>
  </cols>
  <sheetData>
    <row r="1" spans="1:17" ht="23.4" customHeight="1" x14ac:dyDescent="0.3">
      <c r="A1" s="2" t="s">
        <v>265</v>
      </c>
      <c r="B1" s="14" t="s">
        <v>433</v>
      </c>
      <c r="C1" s="1"/>
      <c r="E1" s="23" t="s">
        <v>295</v>
      </c>
      <c r="F1" s="23"/>
      <c r="G1" s="23"/>
      <c r="H1" s="23"/>
      <c r="I1" s="23"/>
      <c r="J1" s="23"/>
      <c r="K1" s="23"/>
      <c r="L1" s="23"/>
      <c r="M1" s="20"/>
      <c r="N1" s="20"/>
    </row>
    <row r="2" spans="1:17" ht="23.4" customHeight="1" x14ac:dyDescent="0.3">
      <c r="A2" s="2" t="s">
        <v>266</v>
      </c>
      <c r="B2" s="14" t="s">
        <v>267</v>
      </c>
      <c r="E2" s="24"/>
      <c r="F2" s="24"/>
      <c r="G2" s="24"/>
      <c r="H2" s="24"/>
      <c r="I2" s="24"/>
      <c r="J2" s="24"/>
      <c r="K2" s="24"/>
      <c r="L2" s="24"/>
      <c r="M2" s="19"/>
      <c r="N2" s="19"/>
    </row>
    <row r="3" spans="1:17" ht="23.4" customHeight="1" x14ac:dyDescent="0.3">
      <c r="A3" s="2" t="s">
        <v>268</v>
      </c>
      <c r="B3" s="15">
        <v>46158</v>
      </c>
      <c r="E3" s="24"/>
      <c r="F3" s="24"/>
      <c r="G3" s="24"/>
      <c r="H3" s="24"/>
      <c r="I3" s="24"/>
      <c r="J3" s="24"/>
      <c r="K3" s="24"/>
      <c r="L3" s="24"/>
      <c r="M3" s="19"/>
      <c r="N3" s="19"/>
    </row>
    <row r="4" spans="1:17" ht="23.4" customHeight="1" x14ac:dyDescent="0.3">
      <c r="A4" s="2" t="s">
        <v>269</v>
      </c>
      <c r="B4" s="16"/>
      <c r="E4" s="24"/>
      <c r="F4" s="24"/>
      <c r="G4" s="24"/>
      <c r="H4" s="24"/>
      <c r="I4" s="24"/>
      <c r="J4" s="24"/>
      <c r="K4" s="24"/>
      <c r="L4" s="24"/>
      <c r="M4" s="19"/>
      <c r="N4" s="19"/>
    </row>
    <row r="5" spans="1:17" ht="23.4" customHeight="1" x14ac:dyDescent="0.3">
      <c r="A5" s="2" t="s">
        <v>270</v>
      </c>
      <c r="B5" s="16" t="s">
        <v>271</v>
      </c>
      <c r="E5" s="24"/>
      <c r="F5" s="24"/>
      <c r="G5" s="24"/>
      <c r="H5" s="24"/>
      <c r="I5" s="24"/>
      <c r="J5" s="24"/>
      <c r="K5" s="24"/>
      <c r="L5" s="24"/>
      <c r="M5" s="19"/>
      <c r="N5" s="19"/>
    </row>
    <row r="6" spans="1:17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7" ht="18" x14ac:dyDescent="0.35">
      <c r="A7" s="21" t="s">
        <v>0</v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13"/>
      <c r="N7" s="13"/>
      <c r="O7" s="13"/>
    </row>
    <row r="8" spans="1:17" x14ac:dyDescent="0.3">
      <c r="A8" s="22" t="s">
        <v>1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1"/>
      <c r="N8" s="1"/>
      <c r="O8" s="1"/>
    </row>
    <row r="10" spans="1:17" x14ac:dyDescent="0.3">
      <c r="A10" s="3" t="s">
        <v>2</v>
      </c>
      <c r="B10" s="2" t="s">
        <v>3</v>
      </c>
      <c r="C10" s="3" t="s">
        <v>5</v>
      </c>
      <c r="D10" s="3" t="s">
        <v>322</v>
      </c>
      <c r="E10" s="3" t="s">
        <v>323</v>
      </c>
      <c r="F10" s="3" t="s">
        <v>324</v>
      </c>
      <c r="G10" s="3" t="s">
        <v>325</v>
      </c>
      <c r="H10" s="3" t="s">
        <v>326</v>
      </c>
      <c r="I10" s="3" t="s">
        <v>327</v>
      </c>
      <c r="J10" s="3" t="s">
        <v>328</v>
      </c>
      <c r="K10" s="3" t="s">
        <v>329</v>
      </c>
      <c r="L10" s="3" t="s">
        <v>6</v>
      </c>
      <c r="M10" s="3" t="s">
        <v>330</v>
      </c>
      <c r="N10" s="3" t="s">
        <v>331</v>
      </c>
      <c r="O10" s="2" t="s">
        <v>4</v>
      </c>
      <c r="P10" s="3" t="s">
        <v>450</v>
      </c>
      <c r="Q10" s="3" t="s">
        <v>451</v>
      </c>
    </row>
    <row r="11" spans="1:17" x14ac:dyDescent="0.3">
      <c r="A11" s="4" t="s">
        <v>7</v>
      </c>
      <c r="B11" s="4" t="s">
        <v>8</v>
      </c>
      <c r="C11" s="5"/>
      <c r="D11" s="45"/>
      <c r="E11" s="45"/>
      <c r="F11" s="51"/>
      <c r="G11" s="51"/>
      <c r="H11" s="51"/>
      <c r="I11" s="45"/>
      <c r="J11" s="45"/>
      <c r="K11" s="45"/>
      <c r="L11" s="5"/>
      <c r="M11" s="45"/>
      <c r="N11" s="45"/>
      <c r="O11" s="5"/>
      <c r="P11" s="49"/>
      <c r="Q11" s="49"/>
    </row>
    <row r="12" spans="1:17" x14ac:dyDescent="0.3">
      <c r="A12">
        <v>21</v>
      </c>
      <c r="B12" t="s">
        <v>9</v>
      </c>
      <c r="C12" s="12">
        <v>1</v>
      </c>
      <c r="D12" s="46">
        <v>77.161699999999996</v>
      </c>
      <c r="E12" s="49">
        <f>IFERROR(C12*D12,0)</f>
        <v>77.161699999999996</v>
      </c>
      <c r="F12" s="52">
        <v>37.729660000000003</v>
      </c>
      <c r="G12" s="52">
        <v>-1.3123360000000002</v>
      </c>
      <c r="H12" s="52">
        <v>5.9055119999999999</v>
      </c>
      <c r="I12" s="49">
        <f>IFERROR(E12*F12,0)</f>
        <v>2911.2847060220001</v>
      </c>
      <c r="J12" s="49">
        <f>IFERROR(E12*G12,0)</f>
        <v>-101.26207673120001</v>
      </c>
      <c r="K12" s="49">
        <f>IFERROR(E12*H12,0)</f>
        <v>455.67934529039997</v>
      </c>
      <c r="L12" t="s">
        <v>213</v>
      </c>
      <c r="M12" s="49"/>
      <c r="N12" s="49"/>
      <c r="O12" t="s">
        <v>334</v>
      </c>
      <c r="P12" s="49">
        <f>E12*0.025</f>
        <v>1.9290425</v>
      </c>
      <c r="Q12" s="49">
        <f>E12*0.0125</f>
        <v>0.96452125</v>
      </c>
    </row>
    <row r="13" spans="1:17" x14ac:dyDescent="0.3">
      <c r="A13">
        <v>21</v>
      </c>
      <c r="B13" t="s">
        <v>10</v>
      </c>
      <c r="C13" s="12">
        <v>1</v>
      </c>
      <c r="D13" s="46">
        <v>77.161699999999996</v>
      </c>
      <c r="E13" s="49">
        <f>IFERROR(C13*D13,0)</f>
        <v>77.161699999999996</v>
      </c>
      <c r="F13" s="52">
        <v>37.729660000000003</v>
      </c>
      <c r="G13" s="52">
        <v>1.3123360000000002</v>
      </c>
      <c r="H13" s="52">
        <v>5.9055119999999999</v>
      </c>
      <c r="I13" s="49">
        <f>IFERROR(E13*F13,0)</f>
        <v>2911.2847060220001</v>
      </c>
      <c r="J13" s="49">
        <f>IFERROR(E13*G13,0)</f>
        <v>101.26207673120001</v>
      </c>
      <c r="K13" s="49">
        <f>IFERROR(E13*H13,0)</f>
        <v>455.67934529039997</v>
      </c>
      <c r="L13" t="s">
        <v>214</v>
      </c>
      <c r="M13" s="49"/>
      <c r="N13" s="49"/>
      <c r="O13" t="s">
        <v>334</v>
      </c>
      <c r="P13" s="49">
        <f>E13*0.025</f>
        <v>1.9290425</v>
      </c>
      <c r="Q13" s="49">
        <f>E13*0.0125</f>
        <v>0.96452125</v>
      </c>
    </row>
    <row r="14" spans="1:17" x14ac:dyDescent="0.3">
      <c r="A14">
        <v>21</v>
      </c>
      <c r="B14" t="s">
        <v>11</v>
      </c>
      <c r="C14" s="12">
        <v>1</v>
      </c>
      <c r="D14" s="46">
        <v>39.683159999999994</v>
      </c>
      <c r="E14" s="49">
        <f>IFERROR(C14*D14,0)</f>
        <v>39.683159999999994</v>
      </c>
      <c r="F14" s="52">
        <v>34.448819999999998</v>
      </c>
      <c r="G14" s="52">
        <v>0</v>
      </c>
      <c r="H14" s="52">
        <v>4.9212600000000002</v>
      </c>
      <c r="I14" s="49">
        <f>IFERROR(E14*F14,0)</f>
        <v>1367.0380358711998</v>
      </c>
      <c r="J14" s="49">
        <f>IFERROR(E14*G14,0)</f>
        <v>0</v>
      </c>
      <c r="K14" s="49">
        <f>IFERROR(E14*H14,0)</f>
        <v>195.29114798159998</v>
      </c>
      <c r="M14" s="49"/>
      <c r="N14" s="49"/>
      <c r="O14" t="s">
        <v>335</v>
      </c>
      <c r="P14" s="49">
        <f>E14*0.025</f>
        <v>0.99207899999999993</v>
      </c>
      <c r="Q14" s="49">
        <f>E14*0.0125</f>
        <v>0.49603949999999997</v>
      </c>
    </row>
    <row r="15" spans="1:17" ht="15" thickBot="1" x14ac:dyDescent="0.35">
      <c r="A15" s="43"/>
      <c r="B15" s="43" t="s">
        <v>12</v>
      </c>
      <c r="C15" s="44"/>
      <c r="D15" s="47"/>
      <c r="E15" s="47">
        <f>SUM(E12:E14)</f>
        <v>194.00655999999998</v>
      </c>
      <c r="F15" s="53">
        <f>IFERROR(SUM(I12:I14)/E15,0)</f>
        <v>37.058579090909099</v>
      </c>
      <c r="G15" s="53">
        <f>IFERROR(SUM(J12:J14)/E15,0)</f>
        <v>0</v>
      </c>
      <c r="H15" s="53">
        <f>IFERROR(SUM(K12:K14)/E15,0)</f>
        <v>5.7041877272727275</v>
      </c>
      <c r="I15" s="47">
        <f>SUM(I12:I14)</f>
        <v>7189.6074479152003</v>
      </c>
      <c r="J15" s="47">
        <f>SUM(J12:J14)</f>
        <v>0</v>
      </c>
      <c r="K15" s="47">
        <f>SUM(K12:K14)</f>
        <v>1106.6498385624</v>
      </c>
      <c r="L15" s="43"/>
      <c r="M15" s="47">
        <f>Target!C5</f>
        <v>187.39269999999999</v>
      </c>
      <c r="N15" s="47">
        <f>IF(M15="","",E15-M15)</f>
        <v>6.6138599999999883</v>
      </c>
      <c r="O15" s="43"/>
      <c r="P15" s="49"/>
      <c r="Q15" s="49"/>
    </row>
    <row r="16" spans="1:17" ht="15" thickTop="1" x14ac:dyDescent="0.3">
      <c r="A16" s="4" t="s">
        <v>13</v>
      </c>
      <c r="B16" s="4" t="s">
        <v>14</v>
      </c>
      <c r="C16" s="8"/>
      <c r="D16" s="48"/>
      <c r="E16" s="48"/>
      <c r="F16" s="54"/>
      <c r="G16" s="54"/>
      <c r="H16" s="54"/>
      <c r="I16" s="48"/>
      <c r="J16" s="48"/>
      <c r="K16" s="48"/>
      <c r="L16" s="4"/>
      <c r="M16" s="48"/>
      <c r="N16" s="48"/>
      <c r="O16" s="4"/>
      <c r="P16" s="49"/>
      <c r="Q16" s="49"/>
    </row>
    <row r="17" spans="1:17" x14ac:dyDescent="0.3">
      <c r="A17">
        <v>22</v>
      </c>
      <c r="B17" t="s">
        <v>15</v>
      </c>
      <c r="C17" s="12">
        <v>1</v>
      </c>
      <c r="D17" s="46">
        <v>17.636959999999998</v>
      </c>
      <c r="E17" s="49">
        <f>IFERROR(C17*D17,0)</f>
        <v>17.636959999999998</v>
      </c>
      <c r="F17" s="52">
        <v>11.482939999999999</v>
      </c>
      <c r="G17" s="52">
        <v>-0.65616800000000008</v>
      </c>
      <c r="H17" s="52">
        <v>5.9055119999999999</v>
      </c>
      <c r="I17" s="49">
        <f>IFERROR(E17*F17,0)</f>
        <v>202.52415346239997</v>
      </c>
      <c r="J17" s="49">
        <f>IFERROR(E17*G17,0)</f>
        <v>-11.57280876928</v>
      </c>
      <c r="K17" s="49">
        <f>IFERROR(E17*H17,0)</f>
        <v>104.15527892351999</v>
      </c>
      <c r="L17" t="s">
        <v>215</v>
      </c>
      <c r="M17" s="49"/>
      <c r="N17" s="49"/>
      <c r="O17" t="s">
        <v>336</v>
      </c>
      <c r="P17" s="49">
        <f>E17*0.0125</f>
        <v>0.22046199999999999</v>
      </c>
      <c r="Q17" s="49">
        <f>E17*0.0125</f>
        <v>0.22046199999999999</v>
      </c>
    </row>
    <row r="18" spans="1:17" x14ac:dyDescent="0.3">
      <c r="A18">
        <v>22</v>
      </c>
      <c r="B18" t="s">
        <v>16</v>
      </c>
      <c r="C18" s="12">
        <v>1</v>
      </c>
      <c r="D18" s="46">
        <v>17.636959999999998</v>
      </c>
      <c r="E18" s="49">
        <f>IFERROR(C18*D18,0)</f>
        <v>17.636959999999998</v>
      </c>
      <c r="F18" s="52">
        <v>11.482939999999999</v>
      </c>
      <c r="G18" s="52">
        <v>0.65616800000000008</v>
      </c>
      <c r="H18" s="52">
        <v>5.9055119999999999</v>
      </c>
      <c r="I18" s="49">
        <f>IFERROR(E18*F18,0)</f>
        <v>202.52415346239997</v>
      </c>
      <c r="J18" s="49">
        <f>IFERROR(E18*G18,0)</f>
        <v>11.57280876928</v>
      </c>
      <c r="K18" s="49">
        <f>IFERROR(E18*H18,0)</f>
        <v>104.15527892351999</v>
      </c>
      <c r="L18" t="s">
        <v>215</v>
      </c>
      <c r="M18" s="49"/>
      <c r="N18" s="49"/>
      <c r="O18" t="s">
        <v>336</v>
      </c>
      <c r="P18" s="49">
        <f>E18*0.0125</f>
        <v>0.22046199999999999</v>
      </c>
      <c r="Q18" s="49">
        <f>E18*0.0125</f>
        <v>0.22046199999999999</v>
      </c>
    </row>
    <row r="19" spans="1:17" x14ac:dyDescent="0.3">
      <c r="A19">
        <v>22</v>
      </c>
      <c r="B19" t="s">
        <v>17</v>
      </c>
      <c r="C19" s="12">
        <v>1</v>
      </c>
      <c r="D19" s="46">
        <v>6.613859999999999</v>
      </c>
      <c r="E19" s="49">
        <f>IFERROR(C19*D19,0)</f>
        <v>6.613859999999999</v>
      </c>
      <c r="F19" s="52">
        <v>13.12336</v>
      </c>
      <c r="G19" s="52">
        <v>0</v>
      </c>
      <c r="H19" s="52">
        <v>4.9212600000000002</v>
      </c>
      <c r="I19" s="49">
        <f>IFERROR(E19*F19,0)</f>
        <v>86.796065769599991</v>
      </c>
      <c r="J19" s="49">
        <f>IFERROR(E19*G19,0)</f>
        <v>0</v>
      </c>
      <c r="K19" s="49">
        <f>IFERROR(E19*H19,0)</f>
        <v>32.548524663599999</v>
      </c>
      <c r="L19" t="s">
        <v>216</v>
      </c>
      <c r="M19" s="49"/>
      <c r="N19" s="49"/>
      <c r="O19" t="s">
        <v>337</v>
      </c>
      <c r="P19" s="49">
        <f>E19*0.0125</f>
        <v>8.267324999999999E-2</v>
      </c>
      <c r="Q19" s="49">
        <f>E19*0.0125</f>
        <v>8.267324999999999E-2</v>
      </c>
    </row>
    <row r="20" spans="1:17" ht="15" thickBot="1" x14ac:dyDescent="0.35">
      <c r="A20" s="43"/>
      <c r="B20" s="43" t="s">
        <v>18</v>
      </c>
      <c r="C20" s="44"/>
      <c r="D20" s="47"/>
      <c r="E20" s="47">
        <f>SUM(E17:E19)</f>
        <v>41.887779999999992</v>
      </c>
      <c r="F20" s="53">
        <f>IFERROR(SUM(I17:I19)/E20,0)</f>
        <v>11.741953684210527</v>
      </c>
      <c r="G20" s="53">
        <f>IFERROR(SUM(J17:J19)/E20,0)</f>
        <v>0</v>
      </c>
      <c r="H20" s="53">
        <f>IFERROR(SUM(K17:K19)/E20,0)</f>
        <v>5.7501037894736848</v>
      </c>
      <c r="I20" s="47">
        <f>SUM(I17:I19)</f>
        <v>491.84437269439991</v>
      </c>
      <c r="J20" s="47">
        <f>SUM(J17:J19)</f>
        <v>0</v>
      </c>
      <c r="K20" s="47">
        <f>SUM(K17:K19)</f>
        <v>240.85908251063998</v>
      </c>
      <c r="L20" s="43"/>
      <c r="M20" s="47">
        <f>Target!C6</f>
        <v>41.887779999999999</v>
      </c>
      <c r="N20" s="47">
        <f>IF(M20="","",E20-M20)</f>
        <v>-7.1054273576010019E-15</v>
      </c>
      <c r="O20" s="43"/>
      <c r="P20" s="49"/>
      <c r="Q20" s="49"/>
    </row>
    <row r="21" spans="1:17" ht="15" thickTop="1" x14ac:dyDescent="0.3">
      <c r="A21" s="4" t="s">
        <v>19</v>
      </c>
      <c r="B21" s="4" t="s">
        <v>20</v>
      </c>
      <c r="C21" s="8"/>
      <c r="D21" s="48"/>
      <c r="E21" s="48"/>
      <c r="F21" s="54"/>
      <c r="G21" s="54"/>
      <c r="H21" s="54"/>
      <c r="I21" s="48"/>
      <c r="J21" s="48"/>
      <c r="K21" s="48"/>
      <c r="L21" s="4"/>
      <c r="M21" s="48"/>
      <c r="N21" s="48"/>
      <c r="O21" s="4"/>
      <c r="P21" s="49"/>
      <c r="Q21" s="49"/>
    </row>
    <row r="22" spans="1:17" x14ac:dyDescent="0.3">
      <c r="A22">
        <v>23</v>
      </c>
      <c r="B22" t="s">
        <v>21</v>
      </c>
      <c r="C22" s="12">
        <v>1</v>
      </c>
      <c r="D22" s="46">
        <v>8.8184799999999992</v>
      </c>
      <c r="E22" s="49">
        <f>IFERROR(C22*D22,0)</f>
        <v>8.8184799999999992</v>
      </c>
      <c r="F22" s="52">
        <v>10.498688000000001</v>
      </c>
      <c r="G22" s="52">
        <v>-0.65616800000000008</v>
      </c>
      <c r="H22" s="52">
        <v>6.2335959999999995</v>
      </c>
      <c r="I22" s="49">
        <f>IFERROR(E22*F22,0)</f>
        <v>92.582470154239999</v>
      </c>
      <c r="J22" s="49">
        <f>IFERROR(E22*G22,0)</f>
        <v>-5.78640438464</v>
      </c>
      <c r="K22" s="49">
        <f>IFERROR(E22*H22,0)</f>
        <v>54.97084165407999</v>
      </c>
      <c r="M22" s="49"/>
      <c r="N22" s="49"/>
      <c r="O22" t="s">
        <v>338</v>
      </c>
      <c r="P22" s="49">
        <f>E22*0.0125</f>
        <v>0.110231</v>
      </c>
      <c r="Q22" s="49">
        <f>E22*0.0125</f>
        <v>0.110231</v>
      </c>
    </row>
    <row r="23" spans="1:17" x14ac:dyDescent="0.3">
      <c r="A23">
        <v>23</v>
      </c>
      <c r="B23" t="s">
        <v>22</v>
      </c>
      <c r="C23" s="12">
        <v>1</v>
      </c>
      <c r="D23" s="46">
        <v>8.8184799999999992</v>
      </c>
      <c r="E23" s="49">
        <f>IFERROR(C23*D23,0)</f>
        <v>8.8184799999999992</v>
      </c>
      <c r="F23" s="52">
        <v>10.498688000000001</v>
      </c>
      <c r="G23" s="52">
        <v>0.65616800000000008</v>
      </c>
      <c r="H23" s="52">
        <v>6.2335959999999995</v>
      </c>
      <c r="I23" s="49">
        <f>IFERROR(E23*F23,0)</f>
        <v>92.582470154239999</v>
      </c>
      <c r="J23" s="49">
        <f>IFERROR(E23*G23,0)</f>
        <v>5.78640438464</v>
      </c>
      <c r="K23" s="49">
        <f>IFERROR(E23*H23,0)</f>
        <v>54.97084165407999</v>
      </c>
      <c r="M23" s="49"/>
      <c r="N23" s="49"/>
      <c r="O23" t="s">
        <v>338</v>
      </c>
      <c r="P23" s="49">
        <f>E23*0.0125</f>
        <v>0.110231</v>
      </c>
      <c r="Q23" s="49">
        <f>E23*0.0125</f>
        <v>0.110231</v>
      </c>
    </row>
    <row r="24" spans="1:17" x14ac:dyDescent="0.3">
      <c r="A24">
        <v>23</v>
      </c>
      <c r="B24" t="s">
        <v>23</v>
      </c>
      <c r="C24" s="12">
        <v>1</v>
      </c>
      <c r="D24" s="46">
        <v>26.455439999999996</v>
      </c>
      <c r="E24" s="49">
        <f>IFERROR(C24*D24,0)</f>
        <v>26.455439999999996</v>
      </c>
      <c r="F24" s="52">
        <v>45.931759999999997</v>
      </c>
      <c r="G24" s="52">
        <v>0</v>
      </c>
      <c r="H24" s="52">
        <v>8.5301840000000002</v>
      </c>
      <c r="I24" s="49">
        <f>IFERROR(E24*F24,0)</f>
        <v>1215.1449207743997</v>
      </c>
      <c r="J24" s="49">
        <f>IFERROR(E24*G24,0)</f>
        <v>0</v>
      </c>
      <c r="K24" s="49">
        <f>IFERROR(E24*H24,0)</f>
        <v>225.66977100095997</v>
      </c>
      <c r="L24" t="s">
        <v>217</v>
      </c>
      <c r="M24" s="49"/>
      <c r="N24" s="49"/>
      <c r="O24" t="s">
        <v>339</v>
      </c>
      <c r="P24" s="49">
        <f>E24*0.0125</f>
        <v>0.33069299999999996</v>
      </c>
      <c r="Q24" s="49">
        <f>E24*0.0125</f>
        <v>0.33069299999999996</v>
      </c>
    </row>
    <row r="25" spans="1:17" x14ac:dyDescent="0.3">
      <c r="A25">
        <v>23</v>
      </c>
      <c r="B25" t="s">
        <v>24</v>
      </c>
      <c r="C25" s="12">
        <v>1</v>
      </c>
      <c r="D25" s="46">
        <v>11.023099999999999</v>
      </c>
      <c r="E25" s="49">
        <f>IFERROR(C25*D25,0)</f>
        <v>11.023099999999999</v>
      </c>
      <c r="F25" s="52">
        <v>55.774279999999997</v>
      </c>
      <c r="G25" s="52">
        <v>0</v>
      </c>
      <c r="H25" s="52">
        <v>6.56168</v>
      </c>
      <c r="I25" s="49">
        <f>IFERROR(E25*F25,0)</f>
        <v>614.80546586799994</v>
      </c>
      <c r="J25" s="49">
        <f>IFERROR(E25*G25,0)</f>
        <v>0</v>
      </c>
      <c r="K25" s="49">
        <f>IFERROR(E25*H25,0)</f>
        <v>72.330054808</v>
      </c>
      <c r="L25" t="s">
        <v>218</v>
      </c>
      <c r="M25" s="49"/>
      <c r="N25" s="49"/>
      <c r="O25" t="s">
        <v>340</v>
      </c>
      <c r="P25" s="49">
        <f>E25*0.0125</f>
        <v>0.13778874999999999</v>
      </c>
      <c r="Q25" s="49">
        <f>E25*0.0125</f>
        <v>0.13778874999999999</v>
      </c>
    </row>
    <row r="26" spans="1:17" ht="15" thickBot="1" x14ac:dyDescent="0.35">
      <c r="A26" s="43"/>
      <c r="B26" s="43" t="s">
        <v>25</v>
      </c>
      <c r="C26" s="44"/>
      <c r="D26" s="47"/>
      <c r="E26" s="47">
        <f>SUM(E22:E25)</f>
        <v>55.115499999999997</v>
      </c>
      <c r="F26" s="53">
        <f>IFERROR(SUM(I22:I25)/E26,0)</f>
        <v>36.561680959999997</v>
      </c>
      <c r="G26" s="53">
        <f>IFERROR(SUM(J22:J25)/E26,0)</f>
        <v>0</v>
      </c>
      <c r="H26" s="53">
        <f>IFERROR(SUM(K22:K25)/E26,0)</f>
        <v>7.4015750399999991</v>
      </c>
      <c r="I26" s="47">
        <f>SUM(I22:I25)</f>
        <v>2015.1153269508795</v>
      </c>
      <c r="J26" s="47">
        <f>SUM(J22:J25)</f>
        <v>0</v>
      </c>
      <c r="K26" s="47">
        <f>SUM(K22:K25)</f>
        <v>407.94150911711995</v>
      </c>
      <c r="L26" s="43"/>
      <c r="M26" s="47">
        <f>Target!C7</f>
        <v>55.115499999999997</v>
      </c>
      <c r="N26" s="47">
        <f>IF(M26="","",E26-M26)</f>
        <v>0</v>
      </c>
      <c r="O26" s="43"/>
      <c r="P26" s="49"/>
      <c r="Q26" s="49"/>
    </row>
    <row r="27" spans="1:17" ht="15" thickTop="1" x14ac:dyDescent="0.3">
      <c r="A27" s="4" t="s">
        <v>26</v>
      </c>
      <c r="B27" s="4" t="s">
        <v>27</v>
      </c>
      <c r="C27" s="8"/>
      <c r="D27" s="48"/>
      <c r="E27" s="48"/>
      <c r="F27" s="54"/>
      <c r="G27" s="54"/>
      <c r="H27" s="54"/>
      <c r="I27" s="48"/>
      <c r="J27" s="48"/>
      <c r="K27" s="48"/>
      <c r="L27" s="4"/>
      <c r="M27" s="48"/>
      <c r="N27" s="48"/>
      <c r="O27" s="4"/>
      <c r="P27" s="49"/>
      <c r="Q27" s="49"/>
    </row>
    <row r="28" spans="1:17" x14ac:dyDescent="0.3">
      <c r="A28">
        <v>24</v>
      </c>
      <c r="B28" t="s">
        <v>28</v>
      </c>
      <c r="C28" s="12">
        <v>1</v>
      </c>
      <c r="D28" s="46">
        <v>77.161699999999996</v>
      </c>
      <c r="E28" s="49">
        <f t="shared" ref="E28:E33" si="0">IFERROR(C28*D28,0)</f>
        <v>77.161699999999996</v>
      </c>
      <c r="F28" s="52">
        <v>41.0105</v>
      </c>
      <c r="G28" s="52">
        <v>-1.64042</v>
      </c>
      <c r="H28" s="52">
        <v>7.2178480000000009</v>
      </c>
      <c r="I28" s="49">
        <f>IFERROR(E28*F28,0)</f>
        <v>3164.4398978499999</v>
      </c>
      <c r="J28" s="49">
        <f>IFERROR(E28*G28,0)</f>
        <v>-126.577595914</v>
      </c>
      <c r="K28" s="49">
        <f>IFERROR(E28*H28,0)</f>
        <v>556.94142202160003</v>
      </c>
      <c r="L28" t="s">
        <v>219</v>
      </c>
      <c r="M28" s="49"/>
      <c r="N28" s="49"/>
      <c r="O28" t="s">
        <v>341</v>
      </c>
      <c r="P28" s="49">
        <f>E28*0.015</f>
        <v>1.1574255</v>
      </c>
      <c r="Q28" s="49">
        <f>E28*0.0125</f>
        <v>0.96452125</v>
      </c>
    </row>
    <row r="29" spans="1:17" x14ac:dyDescent="0.3">
      <c r="A29">
        <v>24</v>
      </c>
      <c r="B29" t="s">
        <v>29</v>
      </c>
      <c r="C29" s="12">
        <v>1</v>
      </c>
      <c r="D29" s="46">
        <v>77.161699999999996</v>
      </c>
      <c r="E29" s="49">
        <f t="shared" si="0"/>
        <v>77.161699999999996</v>
      </c>
      <c r="F29" s="52">
        <v>41.0105</v>
      </c>
      <c r="G29" s="52">
        <v>1.64042</v>
      </c>
      <c r="H29" s="52">
        <v>7.2178480000000009</v>
      </c>
      <c r="I29" s="49">
        <f>IFERROR(E29*F29,0)</f>
        <v>3164.4398978499999</v>
      </c>
      <c r="J29" s="49">
        <f>IFERROR(E29*G29,0)</f>
        <v>126.577595914</v>
      </c>
      <c r="K29" s="49">
        <f>IFERROR(E29*H29,0)</f>
        <v>556.94142202160003</v>
      </c>
      <c r="L29" t="s">
        <v>220</v>
      </c>
      <c r="M29" s="49"/>
      <c r="N29" s="49"/>
      <c r="O29" t="s">
        <v>341</v>
      </c>
      <c r="P29" s="49">
        <f>E29*0.015</f>
        <v>1.1574255</v>
      </c>
      <c r="Q29" s="49">
        <f>E29*0.0125</f>
        <v>0.96452125</v>
      </c>
    </row>
    <row r="30" spans="1:17" x14ac:dyDescent="0.3">
      <c r="A30">
        <v>24</v>
      </c>
      <c r="B30" t="s">
        <v>30</v>
      </c>
      <c r="C30" s="12">
        <v>1</v>
      </c>
      <c r="D30" s="46">
        <v>55.115499999999997</v>
      </c>
      <c r="E30" s="49">
        <f t="shared" si="0"/>
        <v>55.115499999999997</v>
      </c>
      <c r="F30" s="52">
        <v>63.976379999999999</v>
      </c>
      <c r="G30" s="52">
        <v>0</v>
      </c>
      <c r="H30" s="52">
        <v>7.8740159999999992</v>
      </c>
      <c r="I30" s="49">
        <f>IFERROR(E30*F30,0)</f>
        <v>3526.09017189</v>
      </c>
      <c r="J30" s="49">
        <f>IFERROR(E30*G30,0)</f>
        <v>0</v>
      </c>
      <c r="K30" s="49">
        <f>IFERROR(E30*H30,0)</f>
        <v>433.98032884799994</v>
      </c>
      <c r="L30" t="s">
        <v>221</v>
      </c>
      <c r="M30" s="49"/>
      <c r="N30" s="49"/>
      <c r="O30" t="s">
        <v>342</v>
      </c>
      <c r="P30" s="49">
        <f>E30*0.015</f>
        <v>0.82673249999999998</v>
      </c>
      <c r="Q30" s="49">
        <f>E30*0.0125</f>
        <v>0.68894374999999997</v>
      </c>
    </row>
    <row r="31" spans="1:17" x14ac:dyDescent="0.3">
      <c r="A31">
        <v>24</v>
      </c>
      <c r="B31" t="s">
        <v>31</v>
      </c>
      <c r="C31" s="12">
        <v>2</v>
      </c>
      <c r="D31" s="46">
        <v>48.501639999999995</v>
      </c>
      <c r="E31" s="49">
        <f t="shared" si="0"/>
        <v>97.00327999999999</v>
      </c>
      <c r="F31" s="52">
        <v>9.1863519999999994</v>
      </c>
      <c r="G31" s="52">
        <v>0</v>
      </c>
      <c r="H31" s="52">
        <v>2.9527559999999999</v>
      </c>
      <c r="I31" s="49">
        <f>IFERROR(E31*F31,0)</f>
        <v>891.1062752345598</v>
      </c>
      <c r="J31" s="49">
        <f>IFERROR(E31*G31,0)</f>
        <v>0</v>
      </c>
      <c r="K31" s="49">
        <f>IFERROR(E31*H31,0)</f>
        <v>286.42701703967998</v>
      </c>
      <c r="L31" t="s">
        <v>222</v>
      </c>
      <c r="M31" s="49"/>
      <c r="N31" s="49"/>
      <c r="O31" t="s">
        <v>343</v>
      </c>
      <c r="P31" s="49">
        <f>E31*0.0125</f>
        <v>1.2125409999999999</v>
      </c>
      <c r="Q31" s="49">
        <f>E31*0.0125</f>
        <v>1.2125409999999999</v>
      </c>
    </row>
    <row r="32" spans="1:17" x14ac:dyDescent="0.3">
      <c r="A32">
        <v>24</v>
      </c>
      <c r="B32" t="s">
        <v>32</v>
      </c>
      <c r="C32" s="12">
        <v>1</v>
      </c>
      <c r="D32" s="46">
        <v>39.683159999999994</v>
      </c>
      <c r="E32" s="49">
        <f t="shared" si="0"/>
        <v>39.683159999999994</v>
      </c>
      <c r="F32" s="52">
        <v>9.8425200000000004</v>
      </c>
      <c r="G32" s="52">
        <v>-0.9842519999999999</v>
      </c>
      <c r="H32" s="52">
        <v>4.5931759999999997</v>
      </c>
      <c r="I32" s="49">
        <f>IFERROR(E32*F32,0)</f>
        <v>390.58229596319995</v>
      </c>
      <c r="J32" s="49">
        <f>IFERROR(E32*G32,0)</f>
        <v>-39.05822959631999</v>
      </c>
      <c r="K32" s="49">
        <f>IFERROR(E32*H32,0)</f>
        <v>182.27173811615995</v>
      </c>
      <c r="M32" s="49"/>
      <c r="N32" s="49"/>
      <c r="O32" t="s">
        <v>344</v>
      </c>
      <c r="P32" s="49">
        <f>E32*0.015</f>
        <v>0.59524739999999987</v>
      </c>
      <c r="Q32" s="49">
        <f>E32*0.0125</f>
        <v>0.49603949999999997</v>
      </c>
    </row>
    <row r="33" spans="1:17" x14ac:dyDescent="0.3">
      <c r="A33">
        <v>24</v>
      </c>
      <c r="B33" t="s">
        <v>33</v>
      </c>
      <c r="C33" s="12">
        <v>1</v>
      </c>
      <c r="D33" s="46">
        <v>39.683159999999994</v>
      </c>
      <c r="E33" s="49">
        <f t="shared" si="0"/>
        <v>39.683159999999994</v>
      </c>
      <c r="F33" s="52">
        <v>9.8425200000000004</v>
      </c>
      <c r="G33" s="52">
        <v>0.9842519999999999</v>
      </c>
      <c r="H33" s="52">
        <v>4.5931759999999997</v>
      </c>
      <c r="I33" s="49">
        <f>IFERROR(E33*F33,0)</f>
        <v>390.58229596319995</v>
      </c>
      <c r="J33" s="49">
        <f>IFERROR(E33*G33,0)</f>
        <v>39.05822959631999</v>
      </c>
      <c r="K33" s="49">
        <f>IFERROR(E33*H33,0)</f>
        <v>182.27173811615995</v>
      </c>
      <c r="M33" s="49"/>
      <c r="N33" s="49"/>
      <c r="O33" t="s">
        <v>344</v>
      </c>
      <c r="P33" s="49">
        <f>E33*0.015</f>
        <v>0.59524739999999987</v>
      </c>
      <c r="Q33" s="49">
        <f>E33*0.0125</f>
        <v>0.49603949999999997</v>
      </c>
    </row>
    <row r="34" spans="1:17" ht="15" thickBot="1" x14ac:dyDescent="0.35">
      <c r="A34" s="43"/>
      <c r="B34" s="43" t="s">
        <v>34</v>
      </c>
      <c r="C34" s="44"/>
      <c r="D34" s="47"/>
      <c r="E34" s="47">
        <f>SUM(E28:E33)</f>
        <v>385.80849999999998</v>
      </c>
      <c r="F34" s="53">
        <f>IFERROR(SUM(I28:I33)/E34,0)</f>
        <v>29.878141188571433</v>
      </c>
      <c r="G34" s="53">
        <f>IFERROR(SUM(J28:J33)/E34,0)</f>
        <v>0</v>
      </c>
      <c r="H34" s="53">
        <f>IFERROR(SUM(K28:K33)/E34,0)</f>
        <v>5.6992877714285708</v>
      </c>
      <c r="I34" s="47">
        <f>SUM(I28:I33)</f>
        <v>11527.240834750961</v>
      </c>
      <c r="J34" s="47">
        <f>SUM(J28:J33)</f>
        <v>0</v>
      </c>
      <c r="K34" s="47">
        <f>SUM(K28:K33)</f>
        <v>2198.8336661631997</v>
      </c>
      <c r="L34" s="43"/>
      <c r="M34" s="47">
        <f>Target!C8</f>
        <v>374.78539999999998</v>
      </c>
      <c r="N34" s="47">
        <f>IF(M34="","",E34-M34)</f>
        <v>11.023099999999999</v>
      </c>
      <c r="O34" s="43"/>
      <c r="P34" s="49"/>
      <c r="Q34" s="49"/>
    </row>
    <row r="35" spans="1:17" ht="15" thickTop="1" x14ac:dyDescent="0.3">
      <c r="A35" s="4" t="s">
        <v>35</v>
      </c>
      <c r="B35" s="4" t="s">
        <v>36</v>
      </c>
      <c r="C35" s="8"/>
      <c r="D35" s="48"/>
      <c r="E35" s="48"/>
      <c r="F35" s="54"/>
      <c r="G35" s="54"/>
      <c r="H35" s="54"/>
      <c r="I35" s="48"/>
      <c r="J35" s="48"/>
      <c r="K35" s="48"/>
      <c r="L35" s="4"/>
      <c r="M35" s="48"/>
      <c r="N35" s="48"/>
      <c r="O35" s="4"/>
      <c r="P35" s="49"/>
      <c r="Q35" s="49"/>
    </row>
    <row r="36" spans="1:17" x14ac:dyDescent="0.3">
      <c r="A36">
        <v>25</v>
      </c>
      <c r="B36" t="s">
        <v>37</v>
      </c>
      <c r="C36" s="12">
        <v>2</v>
      </c>
      <c r="D36" s="46">
        <v>77.161699999999996</v>
      </c>
      <c r="E36" s="49">
        <f t="shared" ref="E36:E42" si="1">IFERROR(C36*D36,0)</f>
        <v>154.32339999999999</v>
      </c>
      <c r="F36" s="52">
        <v>10.498688000000001</v>
      </c>
      <c r="G36" s="52">
        <v>0</v>
      </c>
      <c r="H36" s="52">
        <v>5.2493440000000007</v>
      </c>
      <c r="I36" s="49">
        <f>IFERROR(E36*F36,0)</f>
        <v>1620.1932276992002</v>
      </c>
      <c r="J36" s="49">
        <f>IFERROR(E36*G36,0)</f>
        <v>0</v>
      </c>
      <c r="K36" s="49">
        <f>IFERROR(E36*H36,0)</f>
        <v>810.09661384960009</v>
      </c>
      <c r="L36" t="s">
        <v>223</v>
      </c>
      <c r="M36" s="49"/>
      <c r="N36" s="49"/>
      <c r="O36" t="s">
        <v>345</v>
      </c>
      <c r="P36" s="49">
        <f>E36*0.0375</f>
        <v>5.7871274999999995</v>
      </c>
      <c r="Q36" s="49">
        <f>E36*0.0125</f>
        <v>1.9290425</v>
      </c>
    </row>
    <row r="37" spans="1:17" x14ac:dyDescent="0.3">
      <c r="A37">
        <v>25</v>
      </c>
      <c r="B37" t="s">
        <v>38</v>
      </c>
      <c r="C37" s="12">
        <v>9</v>
      </c>
      <c r="D37" s="46">
        <v>99.207899999999995</v>
      </c>
      <c r="E37" s="49">
        <f t="shared" si="1"/>
        <v>892.87109999999996</v>
      </c>
      <c r="F37" s="52">
        <v>27.887139999999999</v>
      </c>
      <c r="G37" s="52">
        <v>0</v>
      </c>
      <c r="H37" s="52">
        <v>5.2493440000000007</v>
      </c>
      <c r="I37" s="49">
        <f>IFERROR(E37*F37,0)</f>
        <v>24899.621367653999</v>
      </c>
      <c r="J37" s="49">
        <f>IFERROR(E37*G37,0)</f>
        <v>0</v>
      </c>
      <c r="K37" s="49">
        <f>IFERROR(E37*H37,0)</f>
        <v>4686.9875515584008</v>
      </c>
      <c r="L37" t="s">
        <v>224</v>
      </c>
      <c r="M37" s="49"/>
      <c r="N37" s="49"/>
      <c r="O37" t="s">
        <v>346</v>
      </c>
      <c r="P37" s="49">
        <f>E37*0.05</f>
        <v>44.643554999999999</v>
      </c>
      <c r="Q37" s="49">
        <f>E37*0.0125</f>
        <v>11.16088875</v>
      </c>
    </row>
    <row r="38" spans="1:17" x14ac:dyDescent="0.3">
      <c r="A38">
        <v>25</v>
      </c>
      <c r="B38" t="s">
        <v>39</v>
      </c>
      <c r="C38" s="12">
        <v>1</v>
      </c>
      <c r="D38" s="46">
        <v>198.41579999999999</v>
      </c>
      <c r="E38" s="49">
        <f t="shared" si="1"/>
        <v>198.41579999999999</v>
      </c>
      <c r="F38" s="52">
        <v>16.404199999999999</v>
      </c>
      <c r="G38" s="52">
        <v>-1.3123360000000002</v>
      </c>
      <c r="H38" s="52">
        <v>5.5774279999999994</v>
      </c>
      <c r="I38" s="49">
        <f>IFERROR(E38*F38,0)</f>
        <v>3254.8524663599997</v>
      </c>
      <c r="J38" s="49">
        <f>IFERROR(E38*G38,0)</f>
        <v>-260.38819730880004</v>
      </c>
      <c r="K38" s="49">
        <f>IFERROR(E38*H38,0)</f>
        <v>1106.6498385623997</v>
      </c>
      <c r="M38" s="49"/>
      <c r="N38" s="49"/>
      <c r="O38" t="s">
        <v>347</v>
      </c>
      <c r="P38" s="49">
        <f>E38*0.0625</f>
        <v>12.400987499999999</v>
      </c>
      <c r="Q38" s="49">
        <f>E38*0.0125</f>
        <v>2.4801975000000001</v>
      </c>
    </row>
    <row r="39" spans="1:17" x14ac:dyDescent="0.3">
      <c r="A39">
        <v>25</v>
      </c>
      <c r="B39" t="s">
        <v>40</v>
      </c>
      <c r="C39" s="12">
        <v>1</v>
      </c>
      <c r="D39" s="46">
        <v>132.27719999999999</v>
      </c>
      <c r="E39" s="49">
        <f t="shared" si="1"/>
        <v>132.27719999999999</v>
      </c>
      <c r="F39" s="52">
        <v>45.931759999999997</v>
      </c>
      <c r="G39" s="52">
        <v>1.3123360000000002</v>
      </c>
      <c r="H39" s="52">
        <v>5.5774279999999994</v>
      </c>
      <c r="I39" s="49">
        <f>IFERROR(E39*F39,0)</f>
        <v>6075.7246038719995</v>
      </c>
      <c r="J39" s="49">
        <f>IFERROR(E39*G39,0)</f>
        <v>173.59213153920001</v>
      </c>
      <c r="K39" s="49">
        <f>IFERROR(E39*H39,0)</f>
        <v>737.76655904159986</v>
      </c>
      <c r="M39" s="49"/>
      <c r="N39" s="49"/>
      <c r="O39" t="s">
        <v>348</v>
      </c>
      <c r="P39" s="49">
        <f>E39*0.0625</f>
        <v>8.2673249999999996</v>
      </c>
      <c r="Q39" s="49">
        <f>E39*0.0125</f>
        <v>1.653465</v>
      </c>
    </row>
    <row r="40" spans="1:17" x14ac:dyDescent="0.3">
      <c r="A40">
        <v>25</v>
      </c>
      <c r="B40" t="s">
        <v>41</v>
      </c>
      <c r="C40" s="12">
        <v>1</v>
      </c>
      <c r="D40" s="46">
        <v>88.184799999999996</v>
      </c>
      <c r="E40" s="49">
        <f t="shared" si="1"/>
        <v>88.184799999999996</v>
      </c>
      <c r="F40" s="52">
        <v>18.044619999999998</v>
      </c>
      <c r="G40" s="52">
        <v>1.3123360000000002</v>
      </c>
      <c r="H40" s="52">
        <v>5.5774279999999994</v>
      </c>
      <c r="I40" s="49">
        <f>IFERROR(E40*F40,0)</f>
        <v>1591.2612057759998</v>
      </c>
      <c r="J40" s="49">
        <f>IFERROR(E40*G40,0)</f>
        <v>115.7280876928</v>
      </c>
      <c r="K40" s="49">
        <f>IFERROR(E40*H40,0)</f>
        <v>491.84437269439991</v>
      </c>
      <c r="M40" s="49"/>
      <c r="N40" s="49"/>
      <c r="O40" t="s">
        <v>349</v>
      </c>
      <c r="P40" s="49">
        <f>E40*0.05</f>
        <v>4.4092399999999996</v>
      </c>
      <c r="Q40" s="49">
        <f>E40*0.0125</f>
        <v>1.1023099999999999</v>
      </c>
    </row>
    <row r="41" spans="1:17" x14ac:dyDescent="0.3">
      <c r="A41">
        <v>25</v>
      </c>
      <c r="B41" t="s">
        <v>42</v>
      </c>
      <c r="C41" s="12">
        <v>1</v>
      </c>
      <c r="D41" s="46">
        <v>121.25409999999999</v>
      </c>
      <c r="E41" s="49">
        <f t="shared" si="1"/>
        <v>121.25409999999999</v>
      </c>
      <c r="F41" s="52">
        <v>50.853020000000001</v>
      </c>
      <c r="G41" s="52">
        <v>0</v>
      </c>
      <c r="H41" s="52">
        <v>5.5774279999999994</v>
      </c>
      <c r="I41" s="49">
        <f>IFERROR(E41*F41,0)</f>
        <v>6166.1371723819993</v>
      </c>
      <c r="J41" s="49">
        <f>IFERROR(E41*G41,0)</f>
        <v>0</v>
      </c>
      <c r="K41" s="49">
        <f>IFERROR(E41*H41,0)</f>
        <v>676.2860124547999</v>
      </c>
      <c r="M41" s="49"/>
      <c r="N41" s="49"/>
      <c r="O41" t="s">
        <v>350</v>
      </c>
      <c r="P41" s="49">
        <f>E41*0.05</f>
        <v>6.0627050000000002</v>
      </c>
      <c r="Q41" s="49">
        <f>E41*0.0125</f>
        <v>1.5156762500000001</v>
      </c>
    </row>
    <row r="42" spans="1:17" x14ac:dyDescent="0.3">
      <c r="A42">
        <v>25</v>
      </c>
      <c r="B42" t="s">
        <v>43</v>
      </c>
      <c r="C42" s="12">
        <v>1</v>
      </c>
      <c r="D42" s="46">
        <v>264.55439999999999</v>
      </c>
      <c r="E42" s="49">
        <f t="shared" si="1"/>
        <v>264.55439999999999</v>
      </c>
      <c r="F42" s="52">
        <v>27.887139999999999</v>
      </c>
      <c r="G42" s="52">
        <v>0</v>
      </c>
      <c r="H42" s="52">
        <v>7.8740159999999992</v>
      </c>
      <c r="I42" s="49">
        <f>IFERROR(E42*F42,0)</f>
        <v>7377.6655904159988</v>
      </c>
      <c r="J42" s="49">
        <f>IFERROR(E42*G42,0)</f>
        <v>0</v>
      </c>
      <c r="K42" s="49">
        <f>IFERROR(E42*H42,0)</f>
        <v>2083.1055784703999</v>
      </c>
      <c r="L42" t="s">
        <v>225</v>
      </c>
      <c r="M42" s="49"/>
      <c r="N42" s="49"/>
      <c r="O42" t="s">
        <v>351</v>
      </c>
      <c r="P42" s="49">
        <f>E42*0.05</f>
        <v>13.22772</v>
      </c>
      <c r="Q42" s="49">
        <f>E42*0.0125</f>
        <v>3.3069299999999999</v>
      </c>
    </row>
    <row r="43" spans="1:17" ht="15" thickBot="1" x14ac:dyDescent="0.35">
      <c r="A43" s="43"/>
      <c r="B43" s="43" t="s">
        <v>44</v>
      </c>
      <c r="C43" s="44"/>
      <c r="D43" s="47"/>
      <c r="E43" s="47">
        <f>SUM(E36:E42)</f>
        <v>1851.8807999999999</v>
      </c>
      <c r="F43" s="53">
        <f>IFERROR(SUM(I36:I42)/E43,0)</f>
        <v>27.531715666666667</v>
      </c>
      <c r="G43" s="53">
        <f>IFERROR(SUM(J36:J42)/E43,0)</f>
        <v>1.5623047619047602E-2</v>
      </c>
      <c r="H43" s="53">
        <f>IFERROR(SUM(K36:K42)/E43,0)</f>
        <v>5.71998830952381</v>
      </c>
      <c r="I43" s="47">
        <f>SUM(I36:I42)</f>
        <v>50985.455634159196</v>
      </c>
      <c r="J43" s="47">
        <f>SUM(J36:J42)</f>
        <v>28.932021923199969</v>
      </c>
      <c r="K43" s="47">
        <f>SUM(K36:K42)</f>
        <v>10592.736526631601</v>
      </c>
      <c r="L43" s="43"/>
      <c r="M43" s="47">
        <f>Target!C9</f>
        <v>1807.7883999999999</v>
      </c>
      <c r="N43" s="47">
        <f>IF(M43="","",E43-M43)</f>
        <v>44.092399999999998</v>
      </c>
      <c r="O43" s="43"/>
      <c r="P43" s="49"/>
      <c r="Q43" s="49"/>
    </row>
    <row r="44" spans="1:17" ht="15" thickTop="1" x14ac:dyDescent="0.3">
      <c r="A44" s="4" t="s">
        <v>45</v>
      </c>
      <c r="B44" s="4" t="s">
        <v>46</v>
      </c>
      <c r="C44" s="8"/>
      <c r="D44" s="48"/>
      <c r="E44" s="48"/>
      <c r="F44" s="54"/>
      <c r="G44" s="54"/>
      <c r="H44" s="54"/>
      <c r="I44" s="48"/>
      <c r="J44" s="48"/>
      <c r="K44" s="48"/>
      <c r="L44" s="4"/>
      <c r="M44" s="48"/>
      <c r="N44" s="48"/>
      <c r="O44" s="4"/>
      <c r="P44" s="49"/>
      <c r="Q44" s="49"/>
    </row>
    <row r="45" spans="1:17" x14ac:dyDescent="0.3">
      <c r="A45">
        <v>26</v>
      </c>
      <c r="B45" t="s">
        <v>47</v>
      </c>
      <c r="C45" s="12">
        <v>1</v>
      </c>
      <c r="D45" s="46">
        <v>17.636959999999998</v>
      </c>
      <c r="E45" s="49">
        <f>IFERROR(C45*D45,0)</f>
        <v>17.636959999999998</v>
      </c>
      <c r="F45" s="52">
        <v>39.370080000000002</v>
      </c>
      <c r="G45" s="52">
        <v>-1.9685039999999998</v>
      </c>
      <c r="H45" s="52">
        <v>7.5459319999999996</v>
      </c>
      <c r="I45" s="49">
        <f>IFERROR(E45*F45,0)</f>
        <v>694.36852615679993</v>
      </c>
      <c r="J45" s="49">
        <f>IFERROR(E45*G45,0)</f>
        <v>-34.718426307839991</v>
      </c>
      <c r="K45" s="49">
        <f>IFERROR(E45*H45,0)</f>
        <v>133.08730084671998</v>
      </c>
      <c r="M45" s="49"/>
      <c r="N45" s="49"/>
      <c r="O45" t="s">
        <v>352</v>
      </c>
      <c r="P45" s="49">
        <f>E45*0.0125</f>
        <v>0.22046199999999999</v>
      </c>
      <c r="Q45" s="49">
        <f>E45*0.0125</f>
        <v>0.22046199999999999</v>
      </c>
    </row>
    <row r="46" spans="1:17" x14ac:dyDescent="0.3">
      <c r="A46">
        <v>26</v>
      </c>
      <c r="B46" t="s">
        <v>48</v>
      </c>
      <c r="C46" s="12">
        <v>1</v>
      </c>
      <c r="D46" s="46">
        <v>17.636959999999998</v>
      </c>
      <c r="E46" s="49">
        <f>IFERROR(C46*D46,0)</f>
        <v>17.636959999999998</v>
      </c>
      <c r="F46" s="52">
        <v>39.370080000000002</v>
      </c>
      <c r="G46" s="52">
        <v>1.9685039999999998</v>
      </c>
      <c r="H46" s="52">
        <v>7.5459319999999996</v>
      </c>
      <c r="I46" s="49">
        <f>IFERROR(E46*F46,0)</f>
        <v>694.36852615679993</v>
      </c>
      <c r="J46" s="49">
        <f>IFERROR(E46*G46,0)</f>
        <v>34.718426307839991</v>
      </c>
      <c r="K46" s="49">
        <f>IFERROR(E46*H46,0)</f>
        <v>133.08730084671998</v>
      </c>
      <c r="M46" s="49"/>
      <c r="N46" s="49"/>
      <c r="O46" t="s">
        <v>352</v>
      </c>
      <c r="P46" s="49">
        <f>E46*0.0125</f>
        <v>0.22046199999999999</v>
      </c>
      <c r="Q46" s="49">
        <f>E46*0.0125</f>
        <v>0.22046199999999999</v>
      </c>
    </row>
    <row r="47" spans="1:17" x14ac:dyDescent="0.3">
      <c r="A47">
        <v>26</v>
      </c>
      <c r="B47" t="s">
        <v>49</v>
      </c>
      <c r="C47" s="12">
        <v>1</v>
      </c>
      <c r="D47" s="46">
        <v>13.227719999999998</v>
      </c>
      <c r="E47" s="49">
        <f>IFERROR(C47*D47,0)</f>
        <v>13.227719999999998</v>
      </c>
      <c r="F47" s="52">
        <v>62.33596</v>
      </c>
      <c r="G47" s="52">
        <v>0</v>
      </c>
      <c r="H47" s="52">
        <v>7.5459319999999996</v>
      </c>
      <c r="I47" s="49">
        <f>IFERROR(E47*F47,0)</f>
        <v>824.56262481119984</v>
      </c>
      <c r="J47" s="49">
        <f>IFERROR(E47*G47,0)</f>
        <v>0</v>
      </c>
      <c r="K47" s="49">
        <f>IFERROR(E47*H47,0)</f>
        <v>99.815475635039974</v>
      </c>
      <c r="M47" s="49"/>
      <c r="N47" s="49"/>
      <c r="O47" t="s">
        <v>353</v>
      </c>
      <c r="P47" s="49">
        <f>E47*0.0125</f>
        <v>0.16534649999999998</v>
      </c>
      <c r="Q47" s="49">
        <f>E47*0.0125</f>
        <v>0.16534649999999998</v>
      </c>
    </row>
    <row r="48" spans="1:17" x14ac:dyDescent="0.3">
      <c r="A48">
        <v>26</v>
      </c>
      <c r="B48" t="s">
        <v>50</v>
      </c>
      <c r="C48" s="12">
        <v>2</v>
      </c>
      <c r="D48" s="46">
        <v>15.432339999999998</v>
      </c>
      <c r="E48" s="49">
        <f>IFERROR(C48*D48,0)</f>
        <v>30.864679999999996</v>
      </c>
      <c r="F48" s="52">
        <v>54.133859999999999</v>
      </c>
      <c r="G48" s="52">
        <v>0</v>
      </c>
      <c r="H48" s="52">
        <v>3.28084</v>
      </c>
      <c r="I48" s="49">
        <f>IFERROR(E48*F48,0)</f>
        <v>1670.8242660647998</v>
      </c>
      <c r="J48" s="49">
        <f>IFERROR(E48*G48,0)</f>
        <v>0</v>
      </c>
      <c r="K48" s="49">
        <f>IFERROR(E48*H48,0)</f>
        <v>101.26207673119998</v>
      </c>
      <c r="M48" s="49"/>
      <c r="N48" s="49"/>
      <c r="O48" t="s">
        <v>354</v>
      </c>
      <c r="P48" s="49">
        <f>E48*0.0125</f>
        <v>0.3858085</v>
      </c>
      <c r="Q48" s="49">
        <f>E48*0.0125</f>
        <v>0.3858085</v>
      </c>
    </row>
    <row r="49" spans="1:17" ht="15" thickBot="1" x14ac:dyDescent="0.35">
      <c r="A49" s="43"/>
      <c r="B49" s="43" t="s">
        <v>51</v>
      </c>
      <c r="C49" s="44"/>
      <c r="D49" s="47"/>
      <c r="E49" s="47">
        <f>SUM(E45:E48)</f>
        <v>79.366319999999988</v>
      </c>
      <c r="F49" s="53">
        <f>IFERROR(SUM(I45:I48)/E49,0)</f>
        <v>48.939196666666668</v>
      </c>
      <c r="G49" s="53">
        <f>IFERROR(SUM(J45:J48)/E49,0)</f>
        <v>0</v>
      </c>
      <c r="H49" s="53">
        <f>IFERROR(SUM(K45:K48)/E49,0)</f>
        <v>5.8872851111111109</v>
      </c>
      <c r="I49" s="47">
        <f>SUM(I45:I48)</f>
        <v>3884.1239431895997</v>
      </c>
      <c r="J49" s="47">
        <f>SUM(J45:J48)</f>
        <v>0</v>
      </c>
      <c r="K49" s="47">
        <f>SUM(K45:K48)</f>
        <v>467.25215405967992</v>
      </c>
      <c r="L49" s="43"/>
      <c r="M49" s="47">
        <f>Target!C10</f>
        <v>77.161699999999996</v>
      </c>
      <c r="N49" s="47">
        <f>IF(M49="","",E49-M49)</f>
        <v>2.2046199999999914</v>
      </c>
      <c r="O49" s="43"/>
      <c r="P49" s="49"/>
      <c r="Q49" s="49"/>
    </row>
    <row r="50" spans="1:17" ht="15" thickTop="1" x14ac:dyDescent="0.3">
      <c r="A50" s="4" t="s">
        <v>52</v>
      </c>
      <c r="B50" s="4" t="s">
        <v>53</v>
      </c>
      <c r="C50" s="8"/>
      <c r="D50" s="48"/>
      <c r="E50" s="48"/>
      <c r="F50" s="54"/>
      <c r="G50" s="54"/>
      <c r="H50" s="54"/>
      <c r="I50" s="48"/>
      <c r="J50" s="48"/>
      <c r="K50" s="48"/>
      <c r="L50" s="4"/>
      <c r="M50" s="48"/>
      <c r="N50" s="48"/>
      <c r="O50" s="4"/>
      <c r="P50" s="49"/>
      <c r="Q50" s="49"/>
    </row>
    <row r="51" spans="1:17" x14ac:dyDescent="0.3">
      <c r="A51">
        <v>27</v>
      </c>
      <c r="B51" t="s">
        <v>54</v>
      </c>
      <c r="C51" s="12">
        <v>1</v>
      </c>
      <c r="D51" s="46">
        <v>39.683159999999994</v>
      </c>
      <c r="E51" s="49">
        <f t="shared" ref="E51:E59" si="2">IFERROR(C51*D51,0)</f>
        <v>39.683159999999994</v>
      </c>
      <c r="F51" s="52">
        <v>36.089239999999997</v>
      </c>
      <c r="G51" s="52">
        <v>-24.606300000000001</v>
      </c>
      <c r="H51" s="52">
        <v>7.2178480000000009</v>
      </c>
      <c r="I51" s="49">
        <f>IFERROR(E51*F51,0)</f>
        <v>1432.1350851983996</v>
      </c>
      <c r="J51" s="49">
        <f>IFERROR(E51*G51,0)</f>
        <v>-976.45573990799983</v>
      </c>
      <c r="K51" s="49">
        <f>IFERROR(E51*H51,0)</f>
        <v>286.42701703967998</v>
      </c>
      <c r="M51" s="49"/>
      <c r="N51" s="49"/>
      <c r="O51" t="s">
        <v>355</v>
      </c>
      <c r="P51" s="49">
        <f>E51*0.025</f>
        <v>0.99207899999999993</v>
      </c>
      <c r="Q51" s="49">
        <f>E51*0.0125</f>
        <v>0.49603949999999997</v>
      </c>
    </row>
    <row r="52" spans="1:17" x14ac:dyDescent="0.3">
      <c r="A52">
        <v>27</v>
      </c>
      <c r="B52" t="s">
        <v>55</v>
      </c>
      <c r="C52" s="12">
        <v>1</v>
      </c>
      <c r="D52" s="46">
        <v>39.683159999999994</v>
      </c>
      <c r="E52" s="49">
        <f t="shared" si="2"/>
        <v>39.683159999999994</v>
      </c>
      <c r="F52" s="52">
        <v>36.089239999999997</v>
      </c>
      <c r="G52" s="52">
        <v>24.606300000000001</v>
      </c>
      <c r="H52" s="52">
        <v>7.2178480000000009</v>
      </c>
      <c r="I52" s="49">
        <f>IFERROR(E52*F52,0)</f>
        <v>1432.1350851983996</v>
      </c>
      <c r="J52" s="49">
        <f>IFERROR(E52*G52,0)</f>
        <v>976.45573990799983</v>
      </c>
      <c r="K52" s="49">
        <f>IFERROR(E52*H52,0)</f>
        <v>286.42701703967998</v>
      </c>
      <c r="M52" s="49"/>
      <c r="N52" s="49"/>
      <c r="O52" t="s">
        <v>356</v>
      </c>
      <c r="P52" s="49">
        <f>E52*0.025</f>
        <v>0.99207899999999993</v>
      </c>
      <c r="Q52" s="49">
        <f>E52*0.0125</f>
        <v>0.49603949999999997</v>
      </c>
    </row>
    <row r="53" spans="1:17" x14ac:dyDescent="0.3">
      <c r="A53">
        <v>27</v>
      </c>
      <c r="B53" t="s">
        <v>56</v>
      </c>
      <c r="C53" s="12">
        <v>1</v>
      </c>
      <c r="D53" s="46">
        <v>48.501639999999995</v>
      </c>
      <c r="E53" s="49">
        <f t="shared" si="2"/>
        <v>48.501639999999995</v>
      </c>
      <c r="F53" s="52">
        <v>63.976379999999999</v>
      </c>
      <c r="G53" s="52">
        <v>-6.56168</v>
      </c>
      <c r="H53" s="52">
        <v>16.404199999999999</v>
      </c>
      <c r="I53" s="49">
        <f>IFERROR(E53*F53,0)</f>
        <v>3102.9593512631996</v>
      </c>
      <c r="J53" s="49">
        <f>IFERROR(E53*G53,0)</f>
        <v>-318.25224115519995</v>
      </c>
      <c r="K53" s="49">
        <f>IFERROR(E53*H53,0)</f>
        <v>795.63060288799988</v>
      </c>
      <c r="L53" t="s">
        <v>226</v>
      </c>
      <c r="M53" s="49"/>
      <c r="N53" s="49"/>
      <c r="O53" t="s">
        <v>357</v>
      </c>
      <c r="P53" s="49">
        <f>E53*0.025</f>
        <v>1.2125409999999999</v>
      </c>
      <c r="Q53" s="49">
        <f>E53*0.0125</f>
        <v>0.60627049999999993</v>
      </c>
    </row>
    <row r="54" spans="1:17" x14ac:dyDescent="0.3">
      <c r="A54">
        <v>27</v>
      </c>
      <c r="B54" t="s">
        <v>57</v>
      </c>
      <c r="C54" s="12">
        <v>1</v>
      </c>
      <c r="D54" s="46">
        <v>48.501639999999995</v>
      </c>
      <c r="E54" s="49">
        <f t="shared" si="2"/>
        <v>48.501639999999995</v>
      </c>
      <c r="F54" s="52">
        <v>63.976379999999999</v>
      </c>
      <c r="G54" s="52">
        <v>6.56168</v>
      </c>
      <c r="H54" s="52">
        <v>16.404199999999999</v>
      </c>
      <c r="I54" s="49">
        <f>IFERROR(E54*F54,0)</f>
        <v>3102.9593512631996</v>
      </c>
      <c r="J54" s="49">
        <f>IFERROR(E54*G54,0)</f>
        <v>318.25224115519995</v>
      </c>
      <c r="K54" s="49">
        <f>IFERROR(E54*H54,0)</f>
        <v>795.63060288799988</v>
      </c>
      <c r="L54" t="s">
        <v>226</v>
      </c>
      <c r="M54" s="49"/>
      <c r="N54" s="49"/>
      <c r="O54" t="s">
        <v>358</v>
      </c>
      <c r="P54" s="49">
        <f>E54*0.025</f>
        <v>1.2125409999999999</v>
      </c>
      <c r="Q54" s="49">
        <f>E54*0.0125</f>
        <v>0.60627049999999993</v>
      </c>
    </row>
    <row r="55" spans="1:17" x14ac:dyDescent="0.3">
      <c r="A55">
        <v>27</v>
      </c>
      <c r="B55" t="s">
        <v>58</v>
      </c>
      <c r="C55" s="12">
        <v>1</v>
      </c>
      <c r="D55" s="46">
        <v>66.138599999999997</v>
      </c>
      <c r="E55" s="49">
        <f t="shared" si="2"/>
        <v>66.138599999999997</v>
      </c>
      <c r="F55" s="52">
        <v>63.976379999999999</v>
      </c>
      <c r="G55" s="52">
        <v>0</v>
      </c>
      <c r="H55" s="52">
        <v>13.779528000000001</v>
      </c>
      <c r="I55" s="49">
        <f>IFERROR(E55*F55,0)</f>
        <v>4231.3082062679996</v>
      </c>
      <c r="J55" s="49">
        <f>IFERROR(E55*G55,0)</f>
        <v>0</v>
      </c>
      <c r="K55" s="49">
        <f>IFERROR(E55*H55,0)</f>
        <v>911.35869058080004</v>
      </c>
      <c r="M55" s="49"/>
      <c r="N55" s="49"/>
      <c r="O55" t="s">
        <v>359</v>
      </c>
      <c r="P55" s="49">
        <f>E55*0.025</f>
        <v>1.653465</v>
      </c>
      <c r="Q55" s="49">
        <f>E55*0.0125</f>
        <v>0.82673249999999998</v>
      </c>
    </row>
    <row r="56" spans="1:17" x14ac:dyDescent="0.3">
      <c r="A56">
        <v>27</v>
      </c>
      <c r="B56" t="s">
        <v>59</v>
      </c>
      <c r="C56" s="12">
        <v>1</v>
      </c>
      <c r="D56" s="46">
        <v>121.25409999999999</v>
      </c>
      <c r="E56" s="49">
        <f t="shared" si="2"/>
        <v>121.25409999999999</v>
      </c>
      <c r="F56" s="52">
        <v>34.448819999999998</v>
      </c>
      <c r="G56" s="52">
        <v>-13.12336</v>
      </c>
      <c r="H56" s="52">
        <v>6.56168</v>
      </c>
      <c r="I56" s="49">
        <f>IFERROR(E56*F56,0)</f>
        <v>4177.0606651619992</v>
      </c>
      <c r="J56" s="49">
        <f>IFERROR(E56*G56,0)</f>
        <v>-1591.261205776</v>
      </c>
      <c r="K56" s="49">
        <f>IFERROR(E56*H56,0)</f>
        <v>795.630602888</v>
      </c>
      <c r="M56" s="49"/>
      <c r="N56" s="49"/>
      <c r="O56" t="s">
        <v>360</v>
      </c>
      <c r="P56" s="49">
        <f>E56*0.03</f>
        <v>3.6376229999999996</v>
      </c>
      <c r="Q56" s="49">
        <f>E56*0.015</f>
        <v>1.8188114999999998</v>
      </c>
    </row>
    <row r="57" spans="1:17" x14ac:dyDescent="0.3">
      <c r="A57">
        <v>27</v>
      </c>
      <c r="B57" t="s">
        <v>60</v>
      </c>
      <c r="C57" s="12">
        <v>1</v>
      </c>
      <c r="D57" s="46">
        <v>121.25409999999999</v>
      </c>
      <c r="E57" s="49">
        <f t="shared" si="2"/>
        <v>121.25409999999999</v>
      </c>
      <c r="F57" s="52">
        <v>34.448819999999998</v>
      </c>
      <c r="G57" s="52">
        <v>13.12336</v>
      </c>
      <c r="H57" s="52">
        <v>6.56168</v>
      </c>
      <c r="I57" s="49">
        <f>IFERROR(E57*F57,0)</f>
        <v>4177.0606651619992</v>
      </c>
      <c r="J57" s="49">
        <f>IFERROR(E57*G57,0)</f>
        <v>1591.261205776</v>
      </c>
      <c r="K57" s="49">
        <f>IFERROR(E57*H57,0)</f>
        <v>795.630602888</v>
      </c>
      <c r="M57" s="49"/>
      <c r="N57" s="49"/>
      <c r="O57" t="s">
        <v>361</v>
      </c>
      <c r="P57" s="49">
        <f>E57*0.03</f>
        <v>3.6376229999999996</v>
      </c>
      <c r="Q57" s="49">
        <f>E57*0.015</f>
        <v>1.8188114999999998</v>
      </c>
    </row>
    <row r="58" spans="1:17" x14ac:dyDescent="0.3">
      <c r="A58">
        <v>27</v>
      </c>
      <c r="B58" t="s">
        <v>61</v>
      </c>
      <c r="C58" s="12">
        <v>4</v>
      </c>
      <c r="D58" s="46">
        <v>26.455439999999996</v>
      </c>
      <c r="E58" s="49">
        <f t="shared" si="2"/>
        <v>105.82175999999998</v>
      </c>
      <c r="F58" s="52">
        <v>35.433072000000003</v>
      </c>
      <c r="G58" s="52">
        <v>0</v>
      </c>
      <c r="H58" s="52">
        <v>6.8897640000000004</v>
      </c>
      <c r="I58" s="49">
        <f>IFERROR(E58*F58,0)</f>
        <v>3749.5900412467199</v>
      </c>
      <c r="J58" s="49">
        <f>IFERROR(E58*G58,0)</f>
        <v>0</v>
      </c>
      <c r="K58" s="49">
        <f>IFERROR(E58*H58,0)</f>
        <v>729.08695246463992</v>
      </c>
      <c r="L58" t="s">
        <v>227</v>
      </c>
      <c r="M58" s="49"/>
      <c r="N58" s="49"/>
      <c r="O58" t="s">
        <v>362</v>
      </c>
      <c r="P58" s="49">
        <f>E58*0.025</f>
        <v>2.6455439999999997</v>
      </c>
      <c r="Q58" s="49">
        <f>E58*0.0125</f>
        <v>1.3227719999999998</v>
      </c>
    </row>
    <row r="59" spans="1:17" x14ac:dyDescent="0.3">
      <c r="A59">
        <v>27</v>
      </c>
      <c r="B59" t="s">
        <v>62</v>
      </c>
      <c r="C59" s="12">
        <v>8</v>
      </c>
      <c r="D59" s="46">
        <v>22.046199999999999</v>
      </c>
      <c r="E59" s="49">
        <f t="shared" si="2"/>
        <v>176.36959999999999</v>
      </c>
      <c r="F59" s="52">
        <v>39.370080000000002</v>
      </c>
      <c r="G59" s="52">
        <v>0</v>
      </c>
      <c r="H59" s="52">
        <v>8.2020999999999997</v>
      </c>
      <c r="I59" s="49">
        <f>IFERROR(E59*F59,0)</f>
        <v>6943.685261568</v>
      </c>
      <c r="J59" s="49">
        <f>IFERROR(E59*G59,0)</f>
        <v>0</v>
      </c>
      <c r="K59" s="49">
        <f>IFERROR(E59*H59,0)</f>
        <v>1446.6010961599998</v>
      </c>
      <c r="L59" t="s">
        <v>228</v>
      </c>
      <c r="M59" s="49"/>
      <c r="N59" s="49"/>
      <c r="O59" t="s">
        <v>363</v>
      </c>
      <c r="P59" s="49">
        <f>E59*0.015</f>
        <v>2.6455439999999997</v>
      </c>
      <c r="Q59" s="49">
        <f>E59*0.0125</f>
        <v>2.2046199999999998</v>
      </c>
    </row>
    <row r="60" spans="1:17" ht="15" thickBot="1" x14ac:dyDescent="0.35">
      <c r="A60" s="43"/>
      <c r="B60" s="43" t="s">
        <v>63</v>
      </c>
      <c r="C60" s="44"/>
      <c r="D60" s="47"/>
      <c r="E60" s="47">
        <f>SUM(E51:E59)</f>
        <v>767.20776000000001</v>
      </c>
      <c r="F60" s="53">
        <f>IFERROR(SUM(I51:I59)/E60,0)</f>
        <v>42.164450620689649</v>
      </c>
      <c r="G60" s="53">
        <f>IFERROR(SUM(J51:J59)/E60,0)</f>
        <v>0</v>
      </c>
      <c r="H60" s="53">
        <f>IFERROR(SUM(K51:K59)/E60,0)</f>
        <v>8.9186052873563213</v>
      </c>
      <c r="I60" s="47">
        <f>SUM(I51:I59)</f>
        <v>32348.893712329918</v>
      </c>
      <c r="J60" s="47">
        <f>SUM(J51:J59)</f>
        <v>0</v>
      </c>
      <c r="K60" s="47">
        <f>SUM(K51:K59)</f>
        <v>6842.423184836799</v>
      </c>
      <c r="L60" s="43"/>
      <c r="M60" s="47">
        <f>Target!C11</f>
        <v>749.57079999999996</v>
      </c>
      <c r="N60" s="47">
        <f>IF(M60="","",E60-M60)</f>
        <v>17.636960000000045</v>
      </c>
      <c r="O60" s="43"/>
      <c r="P60" s="49"/>
      <c r="Q60" s="49"/>
    </row>
    <row r="61" spans="1:17" ht="15" thickTop="1" x14ac:dyDescent="0.3">
      <c r="A61" s="4" t="s">
        <v>64</v>
      </c>
      <c r="B61" s="4" t="s">
        <v>65</v>
      </c>
      <c r="C61" s="8"/>
      <c r="D61" s="48"/>
      <c r="E61" s="48"/>
      <c r="F61" s="54"/>
      <c r="G61" s="54"/>
      <c r="H61" s="54"/>
      <c r="I61" s="48"/>
      <c r="J61" s="48"/>
      <c r="K61" s="48"/>
      <c r="L61" s="4"/>
      <c r="M61" s="48"/>
      <c r="N61" s="48"/>
      <c r="O61" s="4"/>
      <c r="P61" s="49"/>
      <c r="Q61" s="49"/>
    </row>
    <row r="62" spans="1:17" x14ac:dyDescent="0.3">
      <c r="A62">
        <v>28</v>
      </c>
      <c r="B62" t="s">
        <v>66</v>
      </c>
      <c r="C62" s="12">
        <v>1</v>
      </c>
      <c r="D62" s="46">
        <v>5511.5499999999993</v>
      </c>
      <c r="E62" s="49">
        <f>IFERROR(C62*D62,0)</f>
        <v>5511.5499999999993</v>
      </c>
      <c r="F62" s="52">
        <v>34.448819999999998</v>
      </c>
      <c r="G62" s="52">
        <v>-9.8425200000000004</v>
      </c>
      <c r="H62" s="52">
        <v>6.56168</v>
      </c>
      <c r="I62" s="49">
        <f>IFERROR(E62*F62,0)</f>
        <v>189866.39387099995</v>
      </c>
      <c r="J62" s="49">
        <f>IFERROR(E62*G62,0)</f>
        <v>-54247.541105999997</v>
      </c>
      <c r="K62" s="49">
        <f>IFERROR(E62*H62,0)</f>
        <v>36165.027403999993</v>
      </c>
      <c r="L62" t="s">
        <v>229</v>
      </c>
      <c r="M62" s="49"/>
      <c r="N62" s="49"/>
      <c r="O62" t="s">
        <v>364</v>
      </c>
      <c r="P62" s="49">
        <f>E62*0.005</f>
        <v>27.557749999999999</v>
      </c>
      <c r="Q62" s="49">
        <f>E62*0.005</f>
        <v>27.557749999999999</v>
      </c>
    </row>
    <row r="63" spans="1:17" x14ac:dyDescent="0.3">
      <c r="A63">
        <v>28</v>
      </c>
      <c r="B63" t="s">
        <v>67</v>
      </c>
      <c r="C63" s="12">
        <v>1</v>
      </c>
      <c r="D63" s="46">
        <v>5511.5499999999993</v>
      </c>
      <c r="E63" s="49">
        <f>IFERROR(C63*D63,0)</f>
        <v>5511.5499999999993</v>
      </c>
      <c r="F63" s="52">
        <v>34.448819999999998</v>
      </c>
      <c r="G63" s="52">
        <v>9.8425200000000004</v>
      </c>
      <c r="H63" s="52">
        <v>6.56168</v>
      </c>
      <c r="I63" s="49">
        <f>IFERROR(E63*F63,0)</f>
        <v>189866.39387099995</v>
      </c>
      <c r="J63" s="49">
        <f>IFERROR(E63*G63,0)</f>
        <v>54247.541105999997</v>
      </c>
      <c r="K63" s="49">
        <f>IFERROR(E63*H63,0)</f>
        <v>36165.027403999993</v>
      </c>
      <c r="L63" t="s">
        <v>229</v>
      </c>
      <c r="M63" s="49"/>
      <c r="N63" s="49"/>
      <c r="O63" t="s">
        <v>364</v>
      </c>
      <c r="P63" s="49">
        <f>E63*0.005</f>
        <v>27.557749999999999</v>
      </c>
      <c r="Q63" s="49">
        <f>E63*0.005</f>
        <v>27.557749999999999</v>
      </c>
    </row>
    <row r="64" spans="1:17" x14ac:dyDescent="0.3">
      <c r="A64">
        <v>28</v>
      </c>
      <c r="B64" t="s">
        <v>68</v>
      </c>
      <c r="C64" s="12">
        <v>1</v>
      </c>
      <c r="D64" s="46">
        <v>2866.0059999999999</v>
      </c>
      <c r="E64" s="49">
        <f>IFERROR(C64*D64,0)</f>
        <v>2866.0059999999999</v>
      </c>
      <c r="F64" s="52">
        <v>32.808399999999999</v>
      </c>
      <c r="G64" s="52">
        <v>0</v>
      </c>
      <c r="H64" s="52">
        <v>5.2493440000000007</v>
      </c>
      <c r="I64" s="49">
        <f>IFERROR(E64*F64,0)</f>
        <v>94029.071250399997</v>
      </c>
      <c r="J64" s="49">
        <f>IFERROR(E64*G64,0)</f>
        <v>0</v>
      </c>
      <c r="K64" s="49">
        <f>IFERROR(E64*H64,0)</f>
        <v>15044.651400064002</v>
      </c>
      <c r="L64" t="s">
        <v>230</v>
      </c>
      <c r="M64" s="49"/>
      <c r="N64" s="49"/>
      <c r="O64" t="s">
        <v>365</v>
      </c>
      <c r="P64" s="49">
        <f>E64*0.005</f>
        <v>14.330029999999999</v>
      </c>
      <c r="Q64" s="49">
        <f>E64*0.005</f>
        <v>14.330029999999999</v>
      </c>
    </row>
    <row r="65" spans="1:17" x14ac:dyDescent="0.3">
      <c r="A65">
        <v>28</v>
      </c>
      <c r="B65" t="s">
        <v>69</v>
      </c>
      <c r="C65" s="12">
        <v>4</v>
      </c>
      <c r="D65" s="46">
        <v>13.227719999999998</v>
      </c>
      <c r="E65" s="49">
        <f>IFERROR(C65*D65,0)</f>
        <v>52.910879999999992</v>
      </c>
      <c r="F65" s="52">
        <v>34.448819999999998</v>
      </c>
      <c r="G65" s="52">
        <v>0</v>
      </c>
      <c r="H65" s="52">
        <v>5.9055119999999999</v>
      </c>
      <c r="I65" s="49">
        <f>IFERROR(E65*F65,0)</f>
        <v>1822.7173811615996</v>
      </c>
      <c r="J65" s="49">
        <f>IFERROR(E65*G65,0)</f>
        <v>0</v>
      </c>
      <c r="K65" s="49">
        <f>IFERROR(E65*H65,0)</f>
        <v>312.46583677055992</v>
      </c>
      <c r="M65" s="49"/>
      <c r="N65" s="49"/>
      <c r="O65" t="s">
        <v>366</v>
      </c>
      <c r="P65" s="49">
        <f>E65*0.0125</f>
        <v>0.66138599999999992</v>
      </c>
      <c r="Q65" s="49">
        <f>E65*0.0125</f>
        <v>0.66138599999999992</v>
      </c>
    </row>
    <row r="66" spans="1:17" x14ac:dyDescent="0.3">
      <c r="A66">
        <v>28</v>
      </c>
      <c r="B66" t="s">
        <v>70</v>
      </c>
      <c r="C66" s="12">
        <v>1</v>
      </c>
      <c r="D66" s="46">
        <v>88.184799999999996</v>
      </c>
      <c r="E66" s="49">
        <f>IFERROR(C66*D66,0)</f>
        <v>88.184799999999996</v>
      </c>
      <c r="F66" s="52">
        <v>36.089239999999997</v>
      </c>
      <c r="G66" s="52">
        <v>0</v>
      </c>
      <c r="H66" s="52">
        <v>5.9055119999999999</v>
      </c>
      <c r="I66" s="49">
        <f>IFERROR(E66*F66,0)</f>
        <v>3182.5224115519995</v>
      </c>
      <c r="J66" s="49">
        <f>IFERROR(E66*G66,0)</f>
        <v>0</v>
      </c>
      <c r="K66" s="49">
        <f>IFERROR(E66*H66,0)</f>
        <v>520.77639461759998</v>
      </c>
      <c r="L66" t="s">
        <v>231</v>
      </c>
      <c r="M66" s="49"/>
      <c r="N66" s="49"/>
      <c r="O66" t="s">
        <v>367</v>
      </c>
      <c r="P66" s="49">
        <f>E66*0.03</f>
        <v>2.6455439999999997</v>
      </c>
      <c r="Q66" s="49">
        <f>E66*0.0125</f>
        <v>1.1023099999999999</v>
      </c>
    </row>
    <row r="67" spans="1:17" ht="15" thickBot="1" x14ac:dyDescent="0.35">
      <c r="A67" s="43"/>
      <c r="B67" s="43" t="s">
        <v>71</v>
      </c>
      <c r="C67" s="44"/>
      <c r="D67" s="47"/>
      <c r="E67" s="47">
        <f>SUM(E62:E66)</f>
        <v>14030.201679999998</v>
      </c>
      <c r="F67" s="53">
        <f>IFERROR(SUM(I62:I66)/E67,0)</f>
        <v>34.124035399120046</v>
      </c>
      <c r="G67" s="53">
        <f>IFERROR(SUM(J62:J66)/E67,0)</f>
        <v>0</v>
      </c>
      <c r="H67" s="53">
        <f>IFERROR(SUM(K62:K66)/E67,0)</f>
        <v>6.2870050232558139</v>
      </c>
      <c r="I67" s="47">
        <f>SUM(I62:I66)</f>
        <v>478767.09878511349</v>
      </c>
      <c r="J67" s="47">
        <f>SUM(J62:J66)</f>
        <v>0</v>
      </c>
      <c r="K67" s="47">
        <f>SUM(K62:K66)</f>
        <v>88207.948439452142</v>
      </c>
      <c r="L67" s="43"/>
      <c r="M67" s="47">
        <f>Target!C12</f>
        <v>13889.105999999998</v>
      </c>
      <c r="N67" s="47">
        <f>IF(M67="","",E67-M67)</f>
        <v>141.09568000000036</v>
      </c>
      <c r="O67" s="43"/>
      <c r="P67" s="49"/>
      <c r="Q67" s="49"/>
    </row>
    <row r="68" spans="1:17" ht="15" thickTop="1" x14ac:dyDescent="0.3">
      <c r="A68" s="4" t="s">
        <v>72</v>
      </c>
      <c r="B68" s="4" t="s">
        <v>73</v>
      </c>
      <c r="C68" s="8"/>
      <c r="D68" s="48"/>
      <c r="E68" s="48"/>
      <c r="F68" s="54"/>
      <c r="G68" s="54"/>
      <c r="H68" s="54"/>
      <c r="I68" s="48"/>
      <c r="J68" s="48"/>
      <c r="K68" s="48"/>
      <c r="L68" s="4"/>
      <c r="M68" s="48"/>
      <c r="N68" s="48"/>
      <c r="O68" s="4"/>
      <c r="P68" s="49"/>
      <c r="Q68" s="49"/>
    </row>
    <row r="69" spans="1:17" x14ac:dyDescent="0.3">
      <c r="A69">
        <v>29</v>
      </c>
      <c r="B69" t="s">
        <v>74</v>
      </c>
      <c r="C69" s="12">
        <v>1</v>
      </c>
      <c r="D69" s="46">
        <v>26.455439999999996</v>
      </c>
      <c r="E69" s="49">
        <f>IFERROR(C69*D69,0)</f>
        <v>26.455439999999996</v>
      </c>
      <c r="F69" s="52">
        <v>41.0105</v>
      </c>
      <c r="G69" s="52">
        <v>-1.64042</v>
      </c>
      <c r="H69" s="52">
        <v>6.56168</v>
      </c>
      <c r="I69" s="49">
        <f>IFERROR(E69*F69,0)</f>
        <v>1084.9508221199999</v>
      </c>
      <c r="J69" s="49">
        <f>IFERROR(E69*G69,0)</f>
        <v>-43.398032884799996</v>
      </c>
      <c r="K69" s="49">
        <f>IFERROR(E69*H69,0)</f>
        <v>173.59213153919998</v>
      </c>
      <c r="L69" t="s">
        <v>232</v>
      </c>
      <c r="M69" s="49"/>
      <c r="N69" s="49"/>
      <c r="O69" t="s">
        <v>368</v>
      </c>
      <c r="P69" s="49">
        <f>E69*0.015</f>
        <v>0.3968315999999999</v>
      </c>
      <c r="Q69" s="49">
        <f>E69*0.0125</f>
        <v>0.33069299999999996</v>
      </c>
    </row>
    <row r="70" spans="1:17" x14ac:dyDescent="0.3">
      <c r="A70">
        <v>29</v>
      </c>
      <c r="B70" t="s">
        <v>75</v>
      </c>
      <c r="C70" s="12">
        <v>1</v>
      </c>
      <c r="D70" s="46">
        <v>26.455439999999996</v>
      </c>
      <c r="E70" s="49">
        <f>IFERROR(C70*D70,0)</f>
        <v>26.455439999999996</v>
      </c>
      <c r="F70" s="52">
        <v>41.0105</v>
      </c>
      <c r="G70" s="52">
        <v>1.64042</v>
      </c>
      <c r="H70" s="52">
        <v>6.56168</v>
      </c>
      <c r="I70" s="49">
        <f>IFERROR(E70*F70,0)</f>
        <v>1084.9508221199999</v>
      </c>
      <c r="J70" s="49">
        <f>IFERROR(E70*G70,0)</f>
        <v>43.398032884799996</v>
      </c>
      <c r="K70" s="49">
        <f>IFERROR(E70*H70,0)</f>
        <v>173.59213153919998</v>
      </c>
      <c r="L70" t="s">
        <v>233</v>
      </c>
      <c r="M70" s="49"/>
      <c r="N70" s="49"/>
      <c r="O70" t="s">
        <v>368</v>
      </c>
      <c r="P70" s="49">
        <f>E70*0.015</f>
        <v>0.3968315999999999</v>
      </c>
      <c r="Q70" s="49">
        <f>E70*0.0125</f>
        <v>0.33069299999999996</v>
      </c>
    </row>
    <row r="71" spans="1:17" x14ac:dyDescent="0.3">
      <c r="A71">
        <v>29</v>
      </c>
      <c r="B71" t="s">
        <v>76</v>
      </c>
      <c r="C71" s="12">
        <v>1</v>
      </c>
      <c r="D71" s="46">
        <v>33.069299999999998</v>
      </c>
      <c r="E71" s="49">
        <f>IFERROR(C71*D71,0)</f>
        <v>33.069299999999998</v>
      </c>
      <c r="F71" s="52">
        <v>44.291339999999998</v>
      </c>
      <c r="G71" s="52">
        <v>-1.3123360000000002</v>
      </c>
      <c r="H71" s="52">
        <v>6.2335959999999995</v>
      </c>
      <c r="I71" s="49">
        <f>IFERROR(E71*F71,0)</f>
        <v>1464.6836098619999</v>
      </c>
      <c r="J71" s="49">
        <f>IFERROR(E71*G71,0)</f>
        <v>-43.398032884800003</v>
      </c>
      <c r="K71" s="49">
        <f>IFERROR(E71*H71,0)</f>
        <v>206.14065620279996</v>
      </c>
      <c r="M71" s="49"/>
      <c r="N71" s="49"/>
      <c r="O71" t="s">
        <v>369</v>
      </c>
      <c r="P71" s="49">
        <f>E71*0.015</f>
        <v>0.49603949999999997</v>
      </c>
      <c r="Q71" s="49">
        <f>E71*0.0125</f>
        <v>0.41336624999999999</v>
      </c>
    </row>
    <row r="72" spans="1:17" x14ac:dyDescent="0.3">
      <c r="A72">
        <v>29</v>
      </c>
      <c r="B72" t="s">
        <v>77</v>
      </c>
      <c r="C72" s="12">
        <v>1</v>
      </c>
      <c r="D72" s="46">
        <v>33.069299999999998</v>
      </c>
      <c r="E72" s="49">
        <f>IFERROR(C72*D72,0)</f>
        <v>33.069299999999998</v>
      </c>
      <c r="F72" s="52">
        <v>44.291339999999998</v>
      </c>
      <c r="G72" s="52">
        <v>1.3123360000000002</v>
      </c>
      <c r="H72" s="52">
        <v>6.2335959999999995</v>
      </c>
      <c r="I72" s="49">
        <f>IFERROR(E72*F72,0)</f>
        <v>1464.6836098619999</v>
      </c>
      <c r="J72" s="49">
        <f>IFERROR(E72*G72,0)</f>
        <v>43.398032884800003</v>
      </c>
      <c r="K72" s="49">
        <f>IFERROR(E72*H72,0)</f>
        <v>206.14065620279996</v>
      </c>
      <c r="M72" s="49"/>
      <c r="N72" s="49"/>
      <c r="O72" t="s">
        <v>369</v>
      </c>
      <c r="P72" s="49">
        <f>E72*0.015</f>
        <v>0.49603949999999997</v>
      </c>
      <c r="Q72" s="49">
        <f>E72*0.0125</f>
        <v>0.41336624999999999</v>
      </c>
    </row>
    <row r="73" spans="1:17" ht="15" thickBot="1" x14ac:dyDescent="0.35">
      <c r="A73" s="43"/>
      <c r="B73" s="43" t="s">
        <v>78</v>
      </c>
      <c r="C73" s="44"/>
      <c r="D73" s="47"/>
      <c r="E73" s="47">
        <f>SUM(E69:E72)</f>
        <v>119.04947999999999</v>
      </c>
      <c r="F73" s="53">
        <f>IFERROR(SUM(I69:I72)/E73,0)</f>
        <v>42.833188888888884</v>
      </c>
      <c r="G73" s="53">
        <f>IFERROR(SUM(J69:J72)/E73,0)</f>
        <v>0</v>
      </c>
      <c r="H73" s="53">
        <f>IFERROR(SUM(K69:K72)/E73,0)</f>
        <v>6.3794111111111116</v>
      </c>
      <c r="I73" s="47">
        <f>SUM(I69:I72)</f>
        <v>5099.2688639639991</v>
      </c>
      <c r="J73" s="47">
        <f>SUM(J69:J72)</f>
        <v>0</v>
      </c>
      <c r="K73" s="47">
        <f>SUM(K69:K72)</f>
        <v>759.46557548399994</v>
      </c>
      <c r="L73" s="43"/>
      <c r="M73" s="47">
        <f>Target!C13</f>
        <v>114.64023999999999</v>
      </c>
      <c r="N73" s="47">
        <f>IF(M73="","",E73-M73)</f>
        <v>4.4092399999999969</v>
      </c>
      <c r="O73" s="43"/>
      <c r="P73" s="49"/>
      <c r="Q73" s="49"/>
    </row>
    <row r="74" spans="1:17" ht="15" thickTop="1" x14ac:dyDescent="0.3">
      <c r="A74" s="4" t="s">
        <v>79</v>
      </c>
      <c r="B74" s="4" t="s">
        <v>80</v>
      </c>
      <c r="C74" s="8"/>
      <c r="D74" s="48"/>
      <c r="E74" s="48"/>
      <c r="F74" s="54"/>
      <c r="G74" s="54"/>
      <c r="H74" s="54"/>
      <c r="I74" s="48"/>
      <c r="J74" s="48"/>
      <c r="K74" s="48"/>
      <c r="L74" s="4"/>
      <c r="M74" s="48"/>
      <c r="N74" s="48"/>
      <c r="O74" s="4"/>
      <c r="P74" s="49"/>
      <c r="Q74" s="49"/>
    </row>
    <row r="75" spans="1:17" x14ac:dyDescent="0.3">
      <c r="A75">
        <v>30</v>
      </c>
      <c r="B75" t="s">
        <v>81</v>
      </c>
      <c r="C75" s="12">
        <v>1</v>
      </c>
      <c r="D75" s="46">
        <v>77.161699999999996</v>
      </c>
      <c r="E75" s="49">
        <f>IFERROR(C75*D75,0)</f>
        <v>77.161699999999996</v>
      </c>
      <c r="F75" s="52">
        <v>34.448819999999998</v>
      </c>
      <c r="G75" s="52">
        <v>0</v>
      </c>
      <c r="H75" s="52">
        <v>6.2335959999999995</v>
      </c>
      <c r="I75" s="49">
        <f>IFERROR(E75*F75,0)</f>
        <v>2658.1295141939995</v>
      </c>
      <c r="J75" s="49">
        <f>IFERROR(E75*G75,0)</f>
        <v>0</v>
      </c>
      <c r="K75" s="49">
        <f>IFERROR(E75*H75,0)</f>
        <v>480.99486447319993</v>
      </c>
      <c r="L75" t="s">
        <v>234</v>
      </c>
      <c r="M75" s="49"/>
      <c r="N75" s="49"/>
      <c r="O75" t="s">
        <v>370</v>
      </c>
      <c r="P75" s="49">
        <f>E75*0.0375</f>
        <v>2.8935637499999998</v>
      </c>
      <c r="Q75" s="49">
        <f>E75*0.015</f>
        <v>1.1574255</v>
      </c>
    </row>
    <row r="76" spans="1:17" x14ac:dyDescent="0.3">
      <c r="A76">
        <v>30</v>
      </c>
      <c r="B76" t="s">
        <v>82</v>
      </c>
      <c r="C76" s="12">
        <v>2</v>
      </c>
      <c r="D76" s="46">
        <v>6.613859999999999</v>
      </c>
      <c r="E76" s="49">
        <f>IFERROR(C76*D76,0)</f>
        <v>13.227719999999998</v>
      </c>
      <c r="F76" s="52">
        <v>39.370080000000002</v>
      </c>
      <c r="G76" s="52">
        <v>0</v>
      </c>
      <c r="H76" s="52">
        <v>7.2178480000000009</v>
      </c>
      <c r="I76" s="49">
        <f>IFERROR(E76*F76,0)</f>
        <v>520.77639461759998</v>
      </c>
      <c r="J76" s="49">
        <f>IFERROR(E76*G76,0)</f>
        <v>0</v>
      </c>
      <c r="K76" s="49">
        <f>IFERROR(E76*H76,0)</f>
        <v>95.475672346560003</v>
      </c>
      <c r="M76" s="49"/>
      <c r="N76" s="49"/>
      <c r="O76" t="s">
        <v>371</v>
      </c>
      <c r="P76" s="49">
        <f>E76*0.0125</f>
        <v>0.16534649999999998</v>
      </c>
      <c r="Q76" s="49">
        <f>E76*0.0125</f>
        <v>0.16534649999999998</v>
      </c>
    </row>
    <row r="77" spans="1:17" x14ac:dyDescent="0.3">
      <c r="A77">
        <v>30</v>
      </c>
      <c r="B77" t="s">
        <v>83</v>
      </c>
      <c r="C77" s="12">
        <v>1</v>
      </c>
      <c r="D77" s="46">
        <v>17.636959999999998</v>
      </c>
      <c r="E77" s="49">
        <f>IFERROR(C77*D77,0)</f>
        <v>17.636959999999998</v>
      </c>
      <c r="F77" s="52">
        <v>9.8425200000000004</v>
      </c>
      <c r="G77" s="52">
        <v>0</v>
      </c>
      <c r="H77" s="52">
        <v>6.56168</v>
      </c>
      <c r="I77" s="49">
        <f>IFERROR(E77*F77,0)</f>
        <v>173.59213153919998</v>
      </c>
      <c r="J77" s="49">
        <f>IFERROR(E77*G77,0)</f>
        <v>0</v>
      </c>
      <c r="K77" s="49">
        <f>IFERROR(E77*H77,0)</f>
        <v>115.72808769279999</v>
      </c>
      <c r="M77" s="49"/>
      <c r="N77" s="49"/>
      <c r="O77" t="s">
        <v>372</v>
      </c>
      <c r="P77" s="49">
        <f>E77*0.0125</f>
        <v>0.22046199999999999</v>
      </c>
      <c r="Q77" s="49">
        <f>E77*0.0125</f>
        <v>0.22046199999999999</v>
      </c>
    </row>
    <row r="78" spans="1:17" ht="15" thickBot="1" x14ac:dyDescent="0.35">
      <c r="A78" s="43"/>
      <c r="B78" s="43" t="s">
        <v>84</v>
      </c>
      <c r="C78" s="44"/>
      <c r="D78" s="47"/>
      <c r="E78" s="47">
        <f>SUM(E75:E77)</f>
        <v>108.02638</v>
      </c>
      <c r="F78" s="53">
        <f>IFERROR(SUM(I75:I77)/E78,0)</f>
        <v>31.034068163265303</v>
      </c>
      <c r="G78" s="53">
        <f>IFERROR(SUM(J75:J77)/E78,0)</f>
        <v>0</v>
      </c>
      <c r="H78" s="53">
        <f>IFERROR(SUM(K75:K77)/E78,0)</f>
        <v>6.4076813877551011</v>
      </c>
      <c r="I78" s="47">
        <f>SUM(I75:I77)</f>
        <v>3352.4980403507998</v>
      </c>
      <c r="J78" s="47">
        <f>SUM(J75:J77)</f>
        <v>0</v>
      </c>
      <c r="K78" s="47">
        <f>SUM(K75:K77)</f>
        <v>692.19862451255995</v>
      </c>
      <c r="L78" s="43"/>
      <c r="M78" s="47">
        <f>Target!C14</f>
        <v>105.82175999999998</v>
      </c>
      <c r="N78" s="47">
        <f>IF(M78="","",E78-M78)</f>
        <v>2.2046200000000198</v>
      </c>
      <c r="O78" s="43"/>
      <c r="P78" s="49"/>
      <c r="Q78" s="49"/>
    </row>
    <row r="79" spans="1:17" ht="15" thickTop="1" x14ac:dyDescent="0.3">
      <c r="A79" s="4" t="s">
        <v>85</v>
      </c>
      <c r="B79" s="4" t="s">
        <v>86</v>
      </c>
      <c r="C79" s="8"/>
      <c r="D79" s="48"/>
      <c r="E79" s="48"/>
      <c r="F79" s="54"/>
      <c r="G79" s="54"/>
      <c r="H79" s="54"/>
      <c r="I79" s="48"/>
      <c r="J79" s="48"/>
      <c r="K79" s="48"/>
      <c r="L79" s="4"/>
      <c r="M79" s="48"/>
      <c r="N79" s="48"/>
      <c r="O79" s="4"/>
      <c r="P79" s="49"/>
      <c r="Q79" s="49"/>
    </row>
    <row r="80" spans="1:17" x14ac:dyDescent="0.3">
      <c r="A80">
        <v>31</v>
      </c>
      <c r="B80" t="s">
        <v>87</v>
      </c>
      <c r="C80" s="12">
        <v>1</v>
      </c>
      <c r="D80" s="46">
        <v>17.636959999999998</v>
      </c>
      <c r="E80" s="49">
        <f>IFERROR(C80*D80,0)</f>
        <v>17.636959999999998</v>
      </c>
      <c r="F80" s="52">
        <v>55.774279999999997</v>
      </c>
      <c r="G80" s="52">
        <v>0</v>
      </c>
      <c r="H80" s="52">
        <v>6.56168</v>
      </c>
      <c r="I80" s="49">
        <f>IFERROR(E80*F80,0)</f>
        <v>983.68874538879982</v>
      </c>
      <c r="J80" s="49">
        <f>IFERROR(E80*G80,0)</f>
        <v>0</v>
      </c>
      <c r="K80" s="49">
        <f>IFERROR(E80*H80,0)</f>
        <v>115.72808769279999</v>
      </c>
      <c r="L80" t="s">
        <v>218</v>
      </c>
      <c r="M80" s="49"/>
      <c r="N80" s="49"/>
      <c r="O80" t="s">
        <v>373</v>
      </c>
      <c r="P80" s="49">
        <f>E80*0.0125</f>
        <v>0.22046199999999999</v>
      </c>
      <c r="Q80" s="49">
        <f>E80*0.0125</f>
        <v>0.22046199999999999</v>
      </c>
    </row>
    <row r="81" spans="1:17" x14ac:dyDescent="0.3">
      <c r="A81">
        <v>31</v>
      </c>
      <c r="B81" t="s">
        <v>88</v>
      </c>
      <c r="C81" s="12">
        <v>4</v>
      </c>
      <c r="D81" s="46">
        <v>22.046199999999999</v>
      </c>
      <c r="E81" s="49">
        <f>IFERROR(C81*D81,0)</f>
        <v>88.184799999999996</v>
      </c>
      <c r="F81" s="52">
        <v>9.8425200000000004</v>
      </c>
      <c r="G81" s="52">
        <v>0</v>
      </c>
      <c r="H81" s="52">
        <v>5.9055119999999999</v>
      </c>
      <c r="I81" s="49">
        <f>IFERROR(E81*F81,0)</f>
        <v>867.960657696</v>
      </c>
      <c r="J81" s="49">
        <f>IFERROR(E81*G81,0)</f>
        <v>0</v>
      </c>
      <c r="K81" s="49">
        <f>IFERROR(E81*H81,0)</f>
        <v>520.77639461759998</v>
      </c>
      <c r="L81" t="s">
        <v>235</v>
      </c>
      <c r="M81" s="49"/>
      <c r="N81" s="49"/>
      <c r="O81" t="s">
        <v>374</v>
      </c>
      <c r="P81" s="49">
        <f>E81*0.0125</f>
        <v>1.1023099999999999</v>
      </c>
      <c r="Q81" s="49">
        <f>E81*0.0125</f>
        <v>1.1023099999999999</v>
      </c>
    </row>
    <row r="82" spans="1:17" ht="15" thickBot="1" x14ac:dyDescent="0.35">
      <c r="A82" s="43"/>
      <c r="B82" s="43" t="s">
        <v>89</v>
      </c>
      <c r="C82" s="44"/>
      <c r="D82" s="47"/>
      <c r="E82" s="47">
        <f>SUM(E80:E81)</f>
        <v>105.82176</v>
      </c>
      <c r="F82" s="53">
        <f>IFERROR(SUM(I80:I81)/E82,0)</f>
        <v>17.497813333333333</v>
      </c>
      <c r="G82" s="53">
        <f>IFERROR(SUM(J80:J81)/E82,0)</f>
        <v>0</v>
      </c>
      <c r="H82" s="53">
        <f>IFERROR(SUM(K80:K81)/E82,0)</f>
        <v>6.0148733333333322</v>
      </c>
      <c r="I82" s="47">
        <f>SUM(I80:I81)</f>
        <v>1851.6494030847998</v>
      </c>
      <c r="J82" s="47">
        <f>SUM(J80:J81)</f>
        <v>0</v>
      </c>
      <c r="K82" s="47">
        <f>SUM(K80:K81)</f>
        <v>636.50448231039991</v>
      </c>
      <c r="L82" s="43"/>
      <c r="M82" s="47">
        <f>Target!C15</f>
        <v>101.41251999999999</v>
      </c>
      <c r="N82" s="47">
        <f>IF(M82="","",E82-M82)</f>
        <v>4.4092400000000112</v>
      </c>
      <c r="O82" s="43"/>
      <c r="P82" s="49"/>
      <c r="Q82" s="49"/>
    </row>
    <row r="83" spans="1:17" ht="15" thickTop="1" x14ac:dyDescent="0.3">
      <c r="A83" s="4" t="s">
        <v>90</v>
      </c>
      <c r="B83" s="4" t="s">
        <v>91</v>
      </c>
      <c r="C83" s="8"/>
      <c r="D83" s="48"/>
      <c r="E83" s="48"/>
      <c r="F83" s="54"/>
      <c r="G83" s="54"/>
      <c r="H83" s="54"/>
      <c r="I83" s="48"/>
      <c r="J83" s="48"/>
      <c r="K83" s="48"/>
      <c r="L83" s="4"/>
      <c r="M83" s="48"/>
      <c r="N83" s="48"/>
      <c r="O83" s="4"/>
      <c r="P83" s="49"/>
      <c r="Q83" s="49"/>
    </row>
    <row r="84" spans="1:17" x14ac:dyDescent="0.3">
      <c r="A84">
        <v>32</v>
      </c>
      <c r="B84" t="s">
        <v>92</v>
      </c>
      <c r="C84" s="12">
        <v>1</v>
      </c>
      <c r="D84" s="46">
        <v>308.64679999999998</v>
      </c>
      <c r="E84" s="49">
        <f>IFERROR(C84*D84,0)</f>
        <v>308.64679999999998</v>
      </c>
      <c r="F84" s="52">
        <v>14.763780000000001</v>
      </c>
      <c r="G84" s="52">
        <v>0</v>
      </c>
      <c r="H84" s="52">
        <v>1.9685039999999998</v>
      </c>
      <c r="I84" s="49">
        <f>IFERROR(E84*F84,0)</f>
        <v>4556.7934529040003</v>
      </c>
      <c r="J84" s="49">
        <f>IFERROR(E84*G84,0)</f>
        <v>0</v>
      </c>
      <c r="K84" s="49">
        <f>IFERROR(E84*H84,0)</f>
        <v>607.57246038719995</v>
      </c>
      <c r="L84" t="s">
        <v>236</v>
      </c>
      <c r="M84" s="49"/>
      <c r="N84" s="49"/>
      <c r="O84" t="s">
        <v>375</v>
      </c>
      <c r="P84" s="49">
        <f>E84*0.025</f>
        <v>7.71617</v>
      </c>
      <c r="Q84" s="49">
        <f>E84*0.0125</f>
        <v>3.858085</v>
      </c>
    </row>
    <row r="85" spans="1:17" x14ac:dyDescent="0.3">
      <c r="A85">
        <v>32</v>
      </c>
      <c r="B85" t="s">
        <v>93</v>
      </c>
      <c r="C85" s="12">
        <v>1</v>
      </c>
      <c r="D85" s="46">
        <v>771.61699999999996</v>
      </c>
      <c r="E85" s="49">
        <f>IFERROR(C85*D85,0)</f>
        <v>771.61699999999996</v>
      </c>
      <c r="F85" s="52">
        <v>37.729660000000003</v>
      </c>
      <c r="G85" s="52">
        <v>-5.9055119999999999</v>
      </c>
      <c r="H85" s="52">
        <v>2.6246720000000003</v>
      </c>
      <c r="I85" s="49">
        <f>IFERROR(E85*F85,0)</f>
        <v>29112.84706022</v>
      </c>
      <c r="J85" s="49">
        <f>IFERROR(E85*G85,0)</f>
        <v>-4556.7934529039994</v>
      </c>
      <c r="K85" s="49">
        <f>IFERROR(E85*H85,0)</f>
        <v>2025.2415346240002</v>
      </c>
      <c r="M85" s="49"/>
      <c r="N85" s="49"/>
      <c r="O85" t="s">
        <v>376</v>
      </c>
      <c r="P85" s="49">
        <f>E85*0.025</f>
        <v>19.290424999999999</v>
      </c>
      <c r="Q85" s="49">
        <f>E85*0.0125</f>
        <v>9.6452124999999995</v>
      </c>
    </row>
    <row r="86" spans="1:17" x14ac:dyDescent="0.3">
      <c r="A86">
        <v>32</v>
      </c>
      <c r="B86" t="s">
        <v>94</v>
      </c>
      <c r="C86" s="12">
        <v>1</v>
      </c>
      <c r="D86" s="46">
        <v>771.61699999999996</v>
      </c>
      <c r="E86" s="49">
        <f>IFERROR(C86*D86,0)</f>
        <v>771.61699999999996</v>
      </c>
      <c r="F86" s="52">
        <v>37.729660000000003</v>
      </c>
      <c r="G86" s="52">
        <v>5.9055119999999999</v>
      </c>
      <c r="H86" s="52">
        <v>2.6246720000000003</v>
      </c>
      <c r="I86" s="49">
        <f>IFERROR(E86*F86,0)</f>
        <v>29112.84706022</v>
      </c>
      <c r="J86" s="49">
        <f>IFERROR(E86*G86,0)</f>
        <v>4556.7934529039994</v>
      </c>
      <c r="K86" s="49">
        <f>IFERROR(E86*H86,0)</f>
        <v>2025.2415346240002</v>
      </c>
      <c r="M86" s="49"/>
      <c r="N86" s="49"/>
      <c r="O86" t="s">
        <v>376</v>
      </c>
      <c r="P86" s="49">
        <f>E86*0.025</f>
        <v>19.290424999999999</v>
      </c>
      <c r="Q86" s="49">
        <f>E86*0.0125</f>
        <v>9.6452124999999995</v>
      </c>
    </row>
    <row r="87" spans="1:17" x14ac:dyDescent="0.3">
      <c r="A87">
        <v>32</v>
      </c>
      <c r="B87" t="s">
        <v>95</v>
      </c>
      <c r="C87" s="12">
        <v>4</v>
      </c>
      <c r="D87" s="46">
        <v>77.161699999999996</v>
      </c>
      <c r="E87" s="49">
        <f>IFERROR(C87*D87,0)</f>
        <v>308.64679999999998</v>
      </c>
      <c r="F87" s="52">
        <v>37.729660000000003</v>
      </c>
      <c r="G87" s="52">
        <v>0</v>
      </c>
      <c r="H87" s="52">
        <v>1.9685039999999998</v>
      </c>
      <c r="I87" s="49">
        <f>IFERROR(E87*F87,0)</f>
        <v>11645.138824088001</v>
      </c>
      <c r="J87" s="49">
        <f>IFERROR(E87*G87,0)</f>
        <v>0</v>
      </c>
      <c r="K87" s="49">
        <f>IFERROR(E87*H87,0)</f>
        <v>607.57246038719995</v>
      </c>
      <c r="L87" t="s">
        <v>237</v>
      </c>
      <c r="M87" s="49"/>
      <c r="N87" s="49"/>
      <c r="O87" t="s">
        <v>377</v>
      </c>
      <c r="P87" s="49">
        <f>E87*0.015</f>
        <v>4.629702</v>
      </c>
      <c r="Q87" s="49">
        <f>E87*0.0125</f>
        <v>3.858085</v>
      </c>
    </row>
    <row r="88" spans="1:17" x14ac:dyDescent="0.3">
      <c r="A88">
        <v>32</v>
      </c>
      <c r="B88" t="s">
        <v>96</v>
      </c>
      <c r="C88" s="12">
        <v>6</v>
      </c>
      <c r="D88" s="46">
        <v>55.115499999999997</v>
      </c>
      <c r="E88" s="49">
        <f>IFERROR(C88*D88,0)</f>
        <v>330.69299999999998</v>
      </c>
      <c r="F88" s="52">
        <v>34.448819999999998</v>
      </c>
      <c r="G88" s="52">
        <v>0</v>
      </c>
      <c r="H88" s="52">
        <v>1.9685039999999998</v>
      </c>
      <c r="I88" s="49">
        <f>IFERROR(E88*F88,0)</f>
        <v>11391.983632259999</v>
      </c>
      <c r="J88" s="49">
        <f>IFERROR(E88*G88,0)</f>
        <v>0</v>
      </c>
      <c r="K88" s="49">
        <f>IFERROR(E88*H88,0)</f>
        <v>650.97049327199989</v>
      </c>
      <c r="L88" t="s">
        <v>238</v>
      </c>
      <c r="M88" s="49"/>
      <c r="N88" s="49"/>
      <c r="O88" t="s">
        <v>378</v>
      </c>
      <c r="P88" s="49">
        <f>E88*0.0125</f>
        <v>4.1336624999999998</v>
      </c>
      <c r="Q88" s="49">
        <f>E88*0.0125</f>
        <v>4.1336624999999998</v>
      </c>
    </row>
    <row r="89" spans="1:17" ht="15" thickBot="1" x14ac:dyDescent="0.35">
      <c r="A89" s="43"/>
      <c r="B89" s="43" t="s">
        <v>97</v>
      </c>
      <c r="C89" s="44"/>
      <c r="D89" s="47"/>
      <c r="E89" s="47">
        <f>SUM(E84:E88)</f>
        <v>2491.2205999999996</v>
      </c>
      <c r="F89" s="53">
        <f>IFERROR(SUM(I84:I88)/E89,0)</f>
        <v>34.448820000000005</v>
      </c>
      <c r="G89" s="53">
        <f>IFERROR(SUM(J84:J88)/E89,0)</f>
        <v>0</v>
      </c>
      <c r="H89" s="53">
        <f>IFERROR(SUM(K84:K88)/E89,0)</f>
        <v>2.3749797522123894</v>
      </c>
      <c r="I89" s="47">
        <f>SUM(I84:I88)</f>
        <v>85819.610029692005</v>
      </c>
      <c r="J89" s="47">
        <f>SUM(J84:J88)</f>
        <v>0</v>
      </c>
      <c r="K89" s="47">
        <f>SUM(K84:K88)</f>
        <v>5916.5984832943996</v>
      </c>
      <c r="L89" s="43"/>
      <c r="M89" s="47">
        <f>Target!C16</f>
        <v>2425.0819999999999</v>
      </c>
      <c r="N89" s="47">
        <f>IF(M89="","",E89-M89)</f>
        <v>66.138599999999769</v>
      </c>
      <c r="O89" s="43"/>
      <c r="P89" s="49"/>
      <c r="Q89" s="49"/>
    </row>
    <row r="90" spans="1:17" ht="15" thickTop="1" x14ac:dyDescent="0.3">
      <c r="A90" s="4" t="s">
        <v>98</v>
      </c>
      <c r="B90" s="4" t="s">
        <v>99</v>
      </c>
      <c r="C90" s="8"/>
      <c r="D90" s="48"/>
      <c r="E90" s="48"/>
      <c r="F90" s="54"/>
      <c r="G90" s="54"/>
      <c r="H90" s="54"/>
      <c r="I90" s="48"/>
      <c r="J90" s="48"/>
      <c r="K90" s="48"/>
      <c r="L90" s="4"/>
      <c r="M90" s="48"/>
      <c r="N90" s="48"/>
      <c r="O90" s="4"/>
      <c r="P90" s="49"/>
      <c r="Q90" s="49"/>
    </row>
    <row r="91" spans="1:17" x14ac:dyDescent="0.3">
      <c r="A91">
        <v>33</v>
      </c>
      <c r="B91" t="s">
        <v>100</v>
      </c>
      <c r="C91" s="12">
        <v>4</v>
      </c>
      <c r="D91" s="46">
        <v>6.613859999999999</v>
      </c>
      <c r="E91" s="49">
        <f>IFERROR(C91*D91,0)</f>
        <v>26.455439999999996</v>
      </c>
      <c r="F91" s="52">
        <v>34.448819999999998</v>
      </c>
      <c r="G91" s="52">
        <v>0</v>
      </c>
      <c r="H91" s="52">
        <v>3.28084</v>
      </c>
      <c r="I91" s="49">
        <f>IFERROR(E91*F91,0)</f>
        <v>911.35869058079982</v>
      </c>
      <c r="J91" s="49">
        <f>IFERROR(E91*G91,0)</f>
        <v>0</v>
      </c>
      <c r="K91" s="49">
        <f>IFERROR(E91*H91,0)</f>
        <v>86.796065769599991</v>
      </c>
      <c r="L91" t="s">
        <v>239</v>
      </c>
      <c r="M91" s="49"/>
      <c r="N91" s="49"/>
      <c r="O91" t="s">
        <v>379</v>
      </c>
      <c r="P91" s="49">
        <f>E91*0.02</f>
        <v>0.52910879999999993</v>
      </c>
      <c r="Q91" s="49">
        <f>E91*0.0125</f>
        <v>0.33069299999999996</v>
      </c>
    </row>
    <row r="92" spans="1:17" x14ac:dyDescent="0.3">
      <c r="A92">
        <v>33</v>
      </c>
      <c r="B92" t="s">
        <v>101</v>
      </c>
      <c r="C92" s="12">
        <v>3</v>
      </c>
      <c r="D92" s="46">
        <v>2.2046199999999998</v>
      </c>
      <c r="E92" s="49">
        <f>IFERROR(C92*D92,0)</f>
        <v>6.613859999999999</v>
      </c>
      <c r="F92" s="52">
        <v>39.370080000000002</v>
      </c>
      <c r="G92" s="52">
        <v>0</v>
      </c>
      <c r="H92" s="52">
        <v>8.2020999999999997</v>
      </c>
      <c r="I92" s="49">
        <f>IFERROR(E92*F92,0)</f>
        <v>260.38819730879999</v>
      </c>
      <c r="J92" s="49">
        <f>IFERROR(E92*G92,0)</f>
        <v>0</v>
      </c>
      <c r="K92" s="49">
        <f>IFERROR(E92*H92,0)</f>
        <v>54.247541105999993</v>
      </c>
      <c r="L92" t="s">
        <v>240</v>
      </c>
      <c r="M92" s="49"/>
      <c r="N92" s="49"/>
      <c r="O92" t="s">
        <v>380</v>
      </c>
      <c r="P92" s="49">
        <f>E92*0.02</f>
        <v>0.13227719999999998</v>
      </c>
      <c r="Q92" s="49">
        <f>E92*0.0125</f>
        <v>8.267324999999999E-2</v>
      </c>
    </row>
    <row r="93" spans="1:17" x14ac:dyDescent="0.3">
      <c r="A93">
        <v>33</v>
      </c>
      <c r="B93" t="s">
        <v>102</v>
      </c>
      <c r="C93" s="12">
        <v>1</v>
      </c>
      <c r="D93" s="46">
        <v>44.092399999999998</v>
      </c>
      <c r="E93" s="49">
        <f>IFERROR(C93*D93,0)</f>
        <v>44.092399999999998</v>
      </c>
      <c r="F93" s="52">
        <v>27.887139999999999</v>
      </c>
      <c r="G93" s="52">
        <v>0</v>
      </c>
      <c r="H93" s="52">
        <v>7.5459319999999996</v>
      </c>
      <c r="I93" s="49">
        <f>IFERROR(E93*F93,0)</f>
        <v>1229.6109317359999</v>
      </c>
      <c r="J93" s="49">
        <f>IFERROR(E93*G93,0)</f>
        <v>0</v>
      </c>
      <c r="K93" s="49">
        <f>IFERROR(E93*H93,0)</f>
        <v>332.71825211679999</v>
      </c>
      <c r="L93" t="s">
        <v>228</v>
      </c>
      <c r="M93" s="49"/>
      <c r="N93" s="49"/>
      <c r="O93" t="s">
        <v>381</v>
      </c>
      <c r="P93" s="49">
        <f>E93*0.045</f>
        <v>1.9841579999999999</v>
      </c>
      <c r="Q93" s="49">
        <f>E93*0.0125</f>
        <v>0.55115499999999995</v>
      </c>
    </row>
    <row r="94" spans="1:17" ht="15" thickBot="1" x14ac:dyDescent="0.35">
      <c r="A94" s="43"/>
      <c r="B94" s="43" t="s">
        <v>103</v>
      </c>
      <c r="C94" s="44"/>
      <c r="D94" s="47"/>
      <c r="E94" s="47">
        <f>SUM(E91:E93)</f>
        <v>77.161699999999996</v>
      </c>
      <c r="F94" s="53">
        <f>IFERROR(SUM(I91:I93)/E94,0)</f>
        <v>31.121110857142853</v>
      </c>
      <c r="G94" s="53">
        <f>IFERROR(SUM(J91:J93)/E94,0)</f>
        <v>0</v>
      </c>
      <c r="H94" s="53">
        <f>IFERROR(SUM(K91:K93)/E94,0)</f>
        <v>6.1398577142857143</v>
      </c>
      <c r="I94" s="47">
        <f>SUM(I91:I93)</f>
        <v>2401.3578196255994</v>
      </c>
      <c r="J94" s="47">
        <f>SUM(J91:J93)</f>
        <v>0</v>
      </c>
      <c r="K94" s="47">
        <f>SUM(K91:K93)</f>
        <v>473.76185899239999</v>
      </c>
      <c r="L94" s="43"/>
      <c r="M94" s="47">
        <f>Target!C17</f>
        <v>74.957079999999991</v>
      </c>
      <c r="N94" s="47">
        <f>IF(M94="","",E94-M94)</f>
        <v>2.2046200000000056</v>
      </c>
      <c r="O94" s="43"/>
      <c r="P94" s="49"/>
      <c r="Q94" s="49"/>
    </row>
    <row r="95" spans="1:17" ht="15" thickTop="1" x14ac:dyDescent="0.3">
      <c r="A95" s="4" t="s">
        <v>104</v>
      </c>
      <c r="B95" s="4" t="s">
        <v>105</v>
      </c>
      <c r="C95" s="8"/>
      <c r="D95" s="48"/>
      <c r="E95" s="48"/>
      <c r="F95" s="54"/>
      <c r="G95" s="54"/>
      <c r="H95" s="54"/>
      <c r="I95" s="48"/>
      <c r="J95" s="48"/>
      <c r="K95" s="48"/>
      <c r="L95" s="4"/>
      <c r="M95" s="48"/>
      <c r="N95" s="48"/>
      <c r="O95" s="4"/>
      <c r="P95" s="49"/>
      <c r="Q95" s="49"/>
    </row>
    <row r="96" spans="1:17" x14ac:dyDescent="0.3">
      <c r="A96">
        <v>34</v>
      </c>
      <c r="B96" t="s">
        <v>106</v>
      </c>
      <c r="C96" s="12">
        <v>1</v>
      </c>
      <c r="D96" s="46">
        <v>39.683159999999994</v>
      </c>
      <c r="E96" s="49">
        <f>IFERROR(C96*D96,0)</f>
        <v>39.683159999999994</v>
      </c>
      <c r="F96" s="52">
        <v>11.482939999999999</v>
      </c>
      <c r="G96" s="52">
        <v>-0.9842519999999999</v>
      </c>
      <c r="H96" s="52">
        <v>5.5774279999999994</v>
      </c>
      <c r="I96" s="49">
        <f>IFERROR(E96*F96,0)</f>
        <v>455.67934529039991</v>
      </c>
      <c r="J96" s="49">
        <f>IFERROR(E96*G96,0)</f>
        <v>-39.05822959631999</v>
      </c>
      <c r="K96" s="49">
        <f>IFERROR(E96*H96,0)</f>
        <v>221.32996771247994</v>
      </c>
      <c r="M96" s="49"/>
      <c r="N96" s="49"/>
      <c r="O96" t="s">
        <v>382</v>
      </c>
      <c r="P96" s="49">
        <f>E96*0.0125</f>
        <v>0.49603949999999997</v>
      </c>
      <c r="Q96" s="49">
        <f>E96*0.0125</f>
        <v>0.49603949999999997</v>
      </c>
    </row>
    <row r="97" spans="1:17" x14ac:dyDescent="0.3">
      <c r="A97">
        <v>34</v>
      </c>
      <c r="B97" t="s">
        <v>107</v>
      </c>
      <c r="C97" s="12">
        <v>1</v>
      </c>
      <c r="D97" s="46">
        <v>39.683159999999994</v>
      </c>
      <c r="E97" s="49">
        <f>IFERROR(C97*D97,0)</f>
        <v>39.683159999999994</v>
      </c>
      <c r="F97" s="52">
        <v>11.482939999999999</v>
      </c>
      <c r="G97" s="52">
        <v>0.9842519999999999</v>
      </c>
      <c r="H97" s="52">
        <v>5.5774279999999994</v>
      </c>
      <c r="I97" s="49">
        <f>IFERROR(E97*F97,0)</f>
        <v>455.67934529039991</v>
      </c>
      <c r="J97" s="49">
        <f>IFERROR(E97*G97,0)</f>
        <v>39.05822959631999</v>
      </c>
      <c r="K97" s="49">
        <f>IFERROR(E97*H97,0)</f>
        <v>221.32996771247994</v>
      </c>
      <c r="M97" s="49"/>
      <c r="N97" s="49"/>
      <c r="O97" t="s">
        <v>382</v>
      </c>
      <c r="P97" s="49">
        <f>E97*0.0125</f>
        <v>0.49603949999999997</v>
      </c>
      <c r="Q97" s="49">
        <f>E97*0.0125</f>
        <v>0.49603949999999997</v>
      </c>
    </row>
    <row r="98" spans="1:17" x14ac:dyDescent="0.3">
      <c r="A98">
        <v>34</v>
      </c>
      <c r="B98" t="s">
        <v>108</v>
      </c>
      <c r="C98" s="12">
        <v>2</v>
      </c>
      <c r="D98" s="46">
        <v>6.613859999999999</v>
      </c>
      <c r="E98" s="49">
        <f>IFERROR(C98*D98,0)</f>
        <v>13.227719999999998</v>
      </c>
      <c r="F98" s="52">
        <v>11.482939999999999</v>
      </c>
      <c r="G98" s="52">
        <v>0</v>
      </c>
      <c r="H98" s="52">
        <v>8.2020999999999997</v>
      </c>
      <c r="I98" s="49">
        <f>IFERROR(E98*F98,0)</f>
        <v>151.89311509679996</v>
      </c>
      <c r="J98" s="49">
        <f>IFERROR(E98*G98,0)</f>
        <v>0</v>
      </c>
      <c r="K98" s="49">
        <f>IFERROR(E98*H98,0)</f>
        <v>108.49508221199999</v>
      </c>
      <c r="L98" t="s">
        <v>241</v>
      </c>
      <c r="M98" s="49"/>
      <c r="N98" s="49"/>
      <c r="O98" t="s">
        <v>383</v>
      </c>
      <c r="P98" s="49">
        <f>E98*0.0125</f>
        <v>0.16534649999999998</v>
      </c>
      <c r="Q98" s="49">
        <f>E98*0.0125</f>
        <v>0.16534649999999998</v>
      </c>
    </row>
    <row r="99" spans="1:17" x14ac:dyDescent="0.3">
      <c r="A99">
        <v>34</v>
      </c>
      <c r="B99" t="s">
        <v>109</v>
      </c>
      <c r="C99" s="12">
        <v>1</v>
      </c>
      <c r="D99" s="46">
        <v>33.069299999999998</v>
      </c>
      <c r="E99" s="49">
        <f>IFERROR(C99*D99,0)</f>
        <v>33.069299999999998</v>
      </c>
      <c r="F99" s="52">
        <v>4.9212600000000002</v>
      </c>
      <c r="G99" s="52">
        <v>0</v>
      </c>
      <c r="H99" s="52">
        <v>4.9212600000000002</v>
      </c>
      <c r="I99" s="49">
        <f>IFERROR(E99*F99,0)</f>
        <v>162.742623318</v>
      </c>
      <c r="J99" s="49">
        <f>IFERROR(E99*G99,0)</f>
        <v>0</v>
      </c>
      <c r="K99" s="49">
        <f>IFERROR(E99*H99,0)</f>
        <v>162.742623318</v>
      </c>
      <c r="L99" t="s">
        <v>242</v>
      </c>
      <c r="M99" s="49"/>
      <c r="N99" s="49"/>
      <c r="O99" t="s">
        <v>384</v>
      </c>
      <c r="P99" s="49">
        <f>E99*0.0125</f>
        <v>0.41336624999999999</v>
      </c>
      <c r="Q99" s="49">
        <f>E99*0.0125</f>
        <v>0.41336624999999999</v>
      </c>
    </row>
    <row r="100" spans="1:17" x14ac:dyDescent="0.3">
      <c r="A100">
        <v>34</v>
      </c>
      <c r="B100" t="s">
        <v>110</v>
      </c>
      <c r="C100" s="12">
        <v>2</v>
      </c>
      <c r="D100" s="46">
        <v>8.8184799999999992</v>
      </c>
      <c r="E100" s="49">
        <f>IFERROR(C100*D100,0)</f>
        <v>17.636959999999998</v>
      </c>
      <c r="F100" s="52">
        <v>36.089239999999997</v>
      </c>
      <c r="G100" s="52">
        <v>0</v>
      </c>
      <c r="H100" s="52">
        <v>2.2965879999999999</v>
      </c>
      <c r="I100" s="49">
        <f>IFERROR(E100*F100,0)</f>
        <v>636.50448231039991</v>
      </c>
      <c r="J100" s="49">
        <f>IFERROR(E100*G100,0)</f>
        <v>0</v>
      </c>
      <c r="K100" s="49">
        <f>IFERROR(E100*H100,0)</f>
        <v>40.504830692479992</v>
      </c>
      <c r="M100" s="49"/>
      <c r="N100" s="49"/>
      <c r="O100" t="s">
        <v>385</v>
      </c>
      <c r="P100" s="49">
        <f>E100*0.0125</f>
        <v>0.22046199999999999</v>
      </c>
      <c r="Q100" s="49">
        <f>E100*0.0125</f>
        <v>0.22046199999999999</v>
      </c>
    </row>
    <row r="101" spans="1:17" ht="15" thickBot="1" x14ac:dyDescent="0.35">
      <c r="A101" s="43"/>
      <c r="B101" s="43" t="s">
        <v>111</v>
      </c>
      <c r="C101" s="44"/>
      <c r="D101" s="47"/>
      <c r="E101" s="47">
        <f>SUM(E96:E100)</f>
        <v>143.30029999999996</v>
      </c>
      <c r="F101" s="53">
        <f>IFERROR(SUM(I96:I100)/E101,0)</f>
        <v>12.997173846153848</v>
      </c>
      <c r="G101" s="53">
        <f>IFERROR(SUM(J96:J100)/E101,0)</f>
        <v>0</v>
      </c>
      <c r="H101" s="53">
        <f>IFERROR(SUM(K96:K100)/E101,0)</f>
        <v>5.2644863384615395</v>
      </c>
      <c r="I101" s="47">
        <f>SUM(I96:I100)</f>
        <v>1862.4989113059996</v>
      </c>
      <c r="J101" s="47">
        <f>SUM(J96:J100)</f>
        <v>0</v>
      </c>
      <c r="K101" s="47">
        <f>SUM(K96:K100)</f>
        <v>754.40247164743994</v>
      </c>
      <c r="L101" s="43"/>
      <c r="M101" s="47">
        <f>Target!C18</f>
        <v>138.89105999999998</v>
      </c>
      <c r="N101" s="47">
        <f>IF(M101="","",E101-M101)</f>
        <v>4.4092399999999827</v>
      </c>
      <c r="O101" s="43"/>
      <c r="P101" s="49"/>
      <c r="Q101" s="49"/>
    </row>
    <row r="102" spans="1:17" ht="15" thickTop="1" x14ac:dyDescent="0.3">
      <c r="A102" s="4" t="s">
        <v>112</v>
      </c>
      <c r="B102" s="4" t="s">
        <v>113</v>
      </c>
      <c r="C102" s="8"/>
      <c r="D102" s="48"/>
      <c r="E102" s="48"/>
      <c r="F102" s="54"/>
      <c r="G102" s="54"/>
      <c r="H102" s="54"/>
      <c r="I102" s="48"/>
      <c r="J102" s="48"/>
      <c r="K102" s="48"/>
      <c r="L102" s="4"/>
      <c r="M102" s="48"/>
      <c r="N102" s="48"/>
      <c r="O102" s="4"/>
      <c r="P102" s="49"/>
      <c r="Q102" s="49"/>
    </row>
    <row r="103" spans="1:17" x14ac:dyDescent="0.3">
      <c r="A103">
        <v>35</v>
      </c>
      <c r="B103" t="s">
        <v>114</v>
      </c>
      <c r="C103" s="12">
        <v>1</v>
      </c>
      <c r="D103" s="46">
        <v>39.683159999999994</v>
      </c>
      <c r="E103" s="49">
        <f>IFERROR(C103*D103,0)</f>
        <v>39.683159999999994</v>
      </c>
      <c r="F103" s="52">
        <v>11.482939999999999</v>
      </c>
      <c r="G103" s="52">
        <v>1.3123360000000002</v>
      </c>
      <c r="H103" s="52">
        <v>2.9527559999999999</v>
      </c>
      <c r="I103" s="49">
        <f>IFERROR(E103*F103,0)</f>
        <v>455.67934529039991</v>
      </c>
      <c r="J103" s="49">
        <f>IFERROR(E103*G103,0)</f>
        <v>52.07763946176</v>
      </c>
      <c r="K103" s="49">
        <f>IFERROR(E103*H103,0)</f>
        <v>117.17468878895998</v>
      </c>
      <c r="L103" t="s">
        <v>243</v>
      </c>
      <c r="M103" s="49"/>
      <c r="N103" s="49"/>
      <c r="O103" t="s">
        <v>386</v>
      </c>
      <c r="P103" s="49">
        <f>E103*0.0125</f>
        <v>0.49603949999999997</v>
      </c>
      <c r="Q103" s="49">
        <f>E103*0.0125</f>
        <v>0.49603949999999997</v>
      </c>
    </row>
    <row r="104" spans="1:17" x14ac:dyDescent="0.3">
      <c r="A104">
        <v>35</v>
      </c>
      <c r="B104" t="s">
        <v>115</v>
      </c>
      <c r="C104" s="12">
        <v>1</v>
      </c>
      <c r="D104" s="46">
        <v>99.207899999999995</v>
      </c>
      <c r="E104" s="49">
        <f>IFERROR(C104*D104,0)</f>
        <v>99.207899999999995</v>
      </c>
      <c r="F104" s="52">
        <v>27.887139999999999</v>
      </c>
      <c r="G104" s="52">
        <v>0</v>
      </c>
      <c r="H104" s="52">
        <v>7.8740159999999992</v>
      </c>
      <c r="I104" s="49">
        <f>IFERROR(E104*F104,0)</f>
        <v>2766.6245964059999</v>
      </c>
      <c r="J104" s="49">
        <f>IFERROR(E104*G104,0)</f>
        <v>0</v>
      </c>
      <c r="K104" s="49">
        <f>IFERROR(E104*H104,0)</f>
        <v>781.16459192639991</v>
      </c>
      <c r="L104" t="s">
        <v>244</v>
      </c>
      <c r="M104" s="49"/>
      <c r="N104" s="49"/>
      <c r="O104" t="s">
        <v>387</v>
      </c>
      <c r="P104" s="49">
        <f>E104*0.025</f>
        <v>2.4801975000000001</v>
      </c>
      <c r="Q104" s="49">
        <f>E104*0.0125</f>
        <v>1.24009875</v>
      </c>
    </row>
    <row r="105" spans="1:17" ht="15" thickBot="1" x14ac:dyDescent="0.35">
      <c r="A105" s="43"/>
      <c r="B105" s="43" t="s">
        <v>116</v>
      </c>
      <c r="C105" s="44"/>
      <c r="D105" s="47"/>
      <c r="E105" s="47">
        <f>SUM(E103:E104)</f>
        <v>138.89105999999998</v>
      </c>
      <c r="F105" s="53">
        <f>IFERROR(SUM(I103:I104)/E105,0)</f>
        <v>23.200225714285715</v>
      </c>
      <c r="G105" s="53">
        <f>IFERROR(SUM(J103:J104)/E105,0)</f>
        <v>0.37495314285714293</v>
      </c>
      <c r="H105" s="53">
        <f>IFERROR(SUM(K103:K104)/E105,0)</f>
        <v>6.4679417142857147</v>
      </c>
      <c r="I105" s="47">
        <f>SUM(I103:I104)</f>
        <v>3222.3039416963998</v>
      </c>
      <c r="J105" s="47">
        <f>SUM(J103:J104)</f>
        <v>52.07763946176</v>
      </c>
      <c r="K105" s="47">
        <f>SUM(K103:K104)</f>
        <v>898.33928071535991</v>
      </c>
      <c r="L105" s="43"/>
      <c r="M105" s="47">
        <f>Target!C19</f>
        <v>132.27719999999999</v>
      </c>
      <c r="N105" s="47">
        <f>IF(M105="","",E105-M105)</f>
        <v>6.6138599999999883</v>
      </c>
      <c r="O105" s="43"/>
      <c r="P105" s="49"/>
      <c r="Q105" s="49"/>
    </row>
    <row r="106" spans="1:17" ht="15" thickTop="1" x14ac:dyDescent="0.3">
      <c r="A106" s="4" t="s">
        <v>117</v>
      </c>
      <c r="B106" s="4" t="s">
        <v>118</v>
      </c>
      <c r="C106" s="8"/>
      <c r="D106" s="48"/>
      <c r="E106" s="48"/>
      <c r="F106" s="54"/>
      <c r="G106" s="54"/>
      <c r="H106" s="54"/>
      <c r="I106" s="48"/>
      <c r="J106" s="48"/>
      <c r="K106" s="48"/>
      <c r="L106" s="4"/>
      <c r="M106" s="48"/>
      <c r="N106" s="48"/>
      <c r="O106" s="4"/>
      <c r="P106" s="49"/>
      <c r="Q106" s="49"/>
    </row>
    <row r="107" spans="1:17" x14ac:dyDescent="0.3">
      <c r="A107">
        <v>36</v>
      </c>
      <c r="B107" t="s">
        <v>119</v>
      </c>
      <c r="C107" s="12">
        <v>1</v>
      </c>
      <c r="D107" s="46">
        <v>132.27719999999999</v>
      </c>
      <c r="E107" s="49">
        <f>IFERROR(C107*D107,0)</f>
        <v>132.27719999999999</v>
      </c>
      <c r="F107" s="52">
        <v>37.729660000000003</v>
      </c>
      <c r="G107" s="52">
        <v>0</v>
      </c>
      <c r="H107" s="52">
        <v>6.2335959999999995</v>
      </c>
      <c r="I107" s="49">
        <f>IFERROR(E107*F107,0)</f>
        <v>4990.7737817520001</v>
      </c>
      <c r="J107" s="49">
        <f>IFERROR(E107*G107,0)</f>
        <v>0</v>
      </c>
      <c r="K107" s="49">
        <f>IFERROR(E107*H107,0)</f>
        <v>824.56262481119984</v>
      </c>
      <c r="L107" t="s">
        <v>245</v>
      </c>
      <c r="M107" s="49"/>
      <c r="N107" s="49"/>
      <c r="O107" t="s">
        <v>388</v>
      </c>
      <c r="P107" s="49">
        <f>E107*0.0375</f>
        <v>4.9603949999999992</v>
      </c>
      <c r="Q107" s="49">
        <f>E107*0.015</f>
        <v>1.9841579999999999</v>
      </c>
    </row>
    <row r="108" spans="1:17" x14ac:dyDescent="0.3">
      <c r="A108">
        <v>36</v>
      </c>
      <c r="B108" t="s">
        <v>120</v>
      </c>
      <c r="C108" s="12">
        <v>2</v>
      </c>
      <c r="D108" s="46">
        <v>44.092399999999998</v>
      </c>
      <c r="E108" s="49">
        <f>IFERROR(C108*D108,0)</f>
        <v>88.184799999999996</v>
      </c>
      <c r="F108" s="52">
        <v>39.370080000000002</v>
      </c>
      <c r="G108" s="52">
        <v>0</v>
      </c>
      <c r="H108" s="52">
        <v>6.56168</v>
      </c>
      <c r="I108" s="49">
        <f>IFERROR(E108*F108,0)</f>
        <v>3471.842630784</v>
      </c>
      <c r="J108" s="49">
        <f>IFERROR(E108*G108,0)</f>
        <v>0</v>
      </c>
      <c r="K108" s="49">
        <f>IFERROR(E108*H108,0)</f>
        <v>578.640438464</v>
      </c>
      <c r="M108" s="49"/>
      <c r="N108" s="49"/>
      <c r="O108" t="s">
        <v>389</v>
      </c>
      <c r="P108" s="49">
        <f>E108*0.025</f>
        <v>2.2046199999999998</v>
      </c>
      <c r="Q108" s="49">
        <f>E108*0.0125</f>
        <v>1.1023099999999999</v>
      </c>
    </row>
    <row r="109" spans="1:17" ht="15" thickBot="1" x14ac:dyDescent="0.35">
      <c r="A109" s="43"/>
      <c r="B109" s="43" t="s">
        <v>121</v>
      </c>
      <c r="C109" s="44"/>
      <c r="D109" s="47"/>
      <c r="E109" s="47">
        <f>SUM(E107:E108)</f>
        <v>220.46199999999999</v>
      </c>
      <c r="F109" s="53">
        <f>IFERROR(SUM(I107:I108)/E109,0)</f>
        <v>38.385828000000004</v>
      </c>
      <c r="G109" s="53">
        <f>IFERROR(SUM(J107:J108)/E109,0)</f>
        <v>0</v>
      </c>
      <c r="H109" s="53">
        <f>IFERROR(SUM(K107:K108)/E109,0)</f>
        <v>6.3648295999999993</v>
      </c>
      <c r="I109" s="47">
        <f>SUM(I107:I108)</f>
        <v>8462.616412536001</v>
      </c>
      <c r="J109" s="47">
        <f>SUM(J107:J108)</f>
        <v>0</v>
      </c>
      <c r="K109" s="47">
        <f>SUM(K107:K108)</f>
        <v>1403.2030632751998</v>
      </c>
      <c r="L109" s="43"/>
      <c r="M109" s="47">
        <f>Target!C20</f>
        <v>209.43889999999999</v>
      </c>
      <c r="N109" s="47">
        <f>IF(M109="","",E109-M109)</f>
        <v>11.023099999999999</v>
      </c>
      <c r="O109" s="43"/>
      <c r="P109" s="49"/>
      <c r="Q109" s="49"/>
    </row>
    <row r="110" spans="1:17" ht="15" thickTop="1" x14ac:dyDescent="0.3">
      <c r="A110" s="4" t="s">
        <v>122</v>
      </c>
      <c r="B110" s="4" t="s">
        <v>123</v>
      </c>
      <c r="C110" s="8"/>
      <c r="D110" s="48"/>
      <c r="E110" s="48"/>
      <c r="F110" s="54"/>
      <c r="G110" s="54"/>
      <c r="H110" s="54"/>
      <c r="I110" s="48"/>
      <c r="J110" s="48"/>
      <c r="K110" s="48"/>
      <c r="L110" s="4"/>
      <c r="M110" s="48"/>
      <c r="N110" s="48"/>
      <c r="O110" s="4"/>
      <c r="P110" s="49"/>
      <c r="Q110" s="49"/>
    </row>
    <row r="111" spans="1:17" x14ac:dyDescent="0.3">
      <c r="A111">
        <v>38</v>
      </c>
      <c r="B111" t="s">
        <v>124</v>
      </c>
      <c r="C111" s="12">
        <v>1</v>
      </c>
      <c r="D111" s="46">
        <v>143.30029999999999</v>
      </c>
      <c r="E111" s="49">
        <f>IFERROR(C111*D111,0)</f>
        <v>143.30029999999999</v>
      </c>
      <c r="F111" s="52">
        <v>16.404199999999999</v>
      </c>
      <c r="G111" s="52">
        <v>0</v>
      </c>
      <c r="H111" s="52">
        <v>3.28084</v>
      </c>
      <c r="I111" s="49">
        <f>IFERROR(E111*F111,0)</f>
        <v>2350.7267812599998</v>
      </c>
      <c r="J111" s="49">
        <f>IFERROR(E111*G111,0)</f>
        <v>0</v>
      </c>
      <c r="K111" s="49">
        <f>IFERROR(E111*H111,0)</f>
        <v>470.145356252</v>
      </c>
      <c r="L111" t="s">
        <v>246</v>
      </c>
      <c r="M111" s="49"/>
      <c r="N111" s="49"/>
      <c r="O111" t="s">
        <v>390</v>
      </c>
      <c r="P111" s="49">
        <f>E111*0.025</f>
        <v>3.5825075000000002</v>
      </c>
      <c r="Q111" s="49">
        <f>E111*0.0125</f>
        <v>1.7912537500000001</v>
      </c>
    </row>
    <row r="112" spans="1:17" x14ac:dyDescent="0.3">
      <c r="A112">
        <v>38</v>
      </c>
      <c r="B112" t="s">
        <v>125</v>
      </c>
      <c r="C112" s="12">
        <v>1</v>
      </c>
      <c r="D112" s="46">
        <v>176.36959999999999</v>
      </c>
      <c r="E112" s="49">
        <f>IFERROR(C112*D112,0)</f>
        <v>176.36959999999999</v>
      </c>
      <c r="F112" s="52">
        <v>50.853020000000001</v>
      </c>
      <c r="G112" s="52">
        <v>0</v>
      </c>
      <c r="H112" s="52">
        <v>3.28084</v>
      </c>
      <c r="I112" s="49">
        <f>IFERROR(E112*F112,0)</f>
        <v>8968.9267961919995</v>
      </c>
      <c r="J112" s="49">
        <f>IFERROR(E112*G112,0)</f>
        <v>0</v>
      </c>
      <c r="K112" s="49">
        <f>IFERROR(E112*H112,0)</f>
        <v>578.640438464</v>
      </c>
      <c r="L112" t="s">
        <v>247</v>
      </c>
      <c r="M112" s="49"/>
      <c r="N112" s="49"/>
      <c r="O112" t="s">
        <v>391</v>
      </c>
      <c r="P112" s="49">
        <f>E112*0.03</f>
        <v>5.2910879999999993</v>
      </c>
      <c r="Q112" s="49">
        <f>E112*0.0125</f>
        <v>2.2046199999999998</v>
      </c>
    </row>
    <row r="113" spans="1:17" ht="15" thickBot="1" x14ac:dyDescent="0.35">
      <c r="A113" s="43"/>
      <c r="B113" s="43" t="s">
        <v>126</v>
      </c>
      <c r="C113" s="44"/>
      <c r="D113" s="47"/>
      <c r="E113" s="47">
        <f>SUM(E111:E112)</f>
        <v>319.66989999999998</v>
      </c>
      <c r="F113" s="53">
        <f>IFERROR(SUM(I111:I112)/E113,0)</f>
        <v>35.410445517241378</v>
      </c>
      <c r="G113" s="53">
        <f>IFERROR(SUM(J111:J112)/E113,0)</f>
        <v>0</v>
      </c>
      <c r="H113" s="53">
        <f>IFERROR(SUM(K111:K112)/E113,0)</f>
        <v>3.2808400000000004</v>
      </c>
      <c r="I113" s="47">
        <f>SUM(I111:I112)</f>
        <v>11319.653577452</v>
      </c>
      <c r="J113" s="47">
        <f>SUM(J111:J112)</f>
        <v>0</v>
      </c>
      <c r="K113" s="47">
        <f>SUM(K111:K112)</f>
        <v>1048.7857947160001</v>
      </c>
      <c r="L113" s="43"/>
      <c r="M113" s="47">
        <f>Target!C21</f>
        <v>308.64679999999998</v>
      </c>
      <c r="N113" s="47">
        <f>IF(M113="","",E113-M113)</f>
        <v>11.023099999999999</v>
      </c>
      <c r="O113" s="43"/>
      <c r="P113" s="49"/>
      <c r="Q113" s="49"/>
    </row>
    <row r="114" spans="1:17" ht="15" thickTop="1" x14ac:dyDescent="0.3">
      <c r="A114" s="4" t="s">
        <v>127</v>
      </c>
      <c r="B114" s="4" t="s">
        <v>128</v>
      </c>
      <c r="C114" s="8"/>
      <c r="D114" s="48"/>
      <c r="E114" s="48"/>
      <c r="F114" s="54"/>
      <c r="G114" s="54"/>
      <c r="H114" s="54"/>
      <c r="I114" s="48"/>
      <c r="J114" s="48"/>
      <c r="K114" s="48"/>
      <c r="L114" s="4"/>
      <c r="M114" s="48"/>
      <c r="N114" s="48"/>
      <c r="O114" s="4"/>
      <c r="P114" s="49"/>
      <c r="Q114" s="49"/>
    </row>
    <row r="115" spans="1:17" x14ac:dyDescent="0.3">
      <c r="A115">
        <v>49</v>
      </c>
      <c r="B115" t="s">
        <v>129</v>
      </c>
      <c r="C115" s="12">
        <v>1</v>
      </c>
      <c r="D115" s="46">
        <v>319.66989999999998</v>
      </c>
      <c r="E115" s="49">
        <f>IFERROR(C115*D115,0)</f>
        <v>319.66989999999998</v>
      </c>
      <c r="F115" s="52">
        <v>63.976379999999999</v>
      </c>
      <c r="G115" s="52">
        <v>0</v>
      </c>
      <c r="H115" s="52">
        <v>7.5459319999999996</v>
      </c>
      <c r="I115" s="49">
        <f>IFERROR(E115*F115,0)</f>
        <v>20451.322996961997</v>
      </c>
      <c r="J115" s="49">
        <f>IFERROR(E115*G115,0)</f>
        <v>0</v>
      </c>
      <c r="K115" s="49">
        <f>IFERROR(E115*H115,0)</f>
        <v>2412.2073278467997</v>
      </c>
      <c r="L115" t="s">
        <v>248</v>
      </c>
      <c r="M115" s="49"/>
      <c r="N115" s="49"/>
      <c r="O115" t="s">
        <v>392</v>
      </c>
      <c r="P115" s="49">
        <f>E115*0.015</f>
        <v>4.7950484999999992</v>
      </c>
      <c r="Q115" s="49">
        <f>E115*0.0125</f>
        <v>3.9958737499999999</v>
      </c>
    </row>
    <row r="116" spans="1:17" x14ac:dyDescent="0.3">
      <c r="A116">
        <v>49</v>
      </c>
      <c r="B116" t="s">
        <v>130</v>
      </c>
      <c r="C116" s="12">
        <v>1</v>
      </c>
      <c r="D116" s="46">
        <v>39.683159999999994</v>
      </c>
      <c r="E116" s="49">
        <f>IFERROR(C116*D116,0)</f>
        <v>39.683159999999994</v>
      </c>
      <c r="F116" s="52">
        <v>63.976379999999999</v>
      </c>
      <c r="G116" s="52">
        <v>0</v>
      </c>
      <c r="H116" s="52">
        <v>7.5459319999999996</v>
      </c>
      <c r="I116" s="49">
        <f>IFERROR(E116*F116,0)</f>
        <v>2538.7849237607998</v>
      </c>
      <c r="J116" s="49">
        <f>IFERROR(E116*G116,0)</f>
        <v>0</v>
      </c>
      <c r="K116" s="49">
        <f>IFERROR(E116*H116,0)</f>
        <v>299.44642690511995</v>
      </c>
      <c r="M116" s="49"/>
      <c r="N116" s="49"/>
      <c r="O116" t="s">
        <v>393</v>
      </c>
      <c r="P116" s="49">
        <f>E116*0.03</f>
        <v>1.1904947999999997</v>
      </c>
      <c r="Q116" s="49">
        <f>E116*0.0125</f>
        <v>0.49603949999999997</v>
      </c>
    </row>
    <row r="117" spans="1:17" x14ac:dyDescent="0.3">
      <c r="A117">
        <v>49</v>
      </c>
      <c r="B117" t="s">
        <v>131</v>
      </c>
      <c r="C117" s="12">
        <v>1</v>
      </c>
      <c r="D117" s="46">
        <v>48.501639999999995</v>
      </c>
      <c r="E117" s="49">
        <f>IFERROR(C117*D117,0)</f>
        <v>48.501639999999995</v>
      </c>
      <c r="F117" s="52">
        <v>63.976379999999999</v>
      </c>
      <c r="G117" s="52">
        <v>0</v>
      </c>
      <c r="H117" s="52">
        <v>8.5301840000000002</v>
      </c>
      <c r="I117" s="49">
        <f>IFERROR(E117*F117,0)</f>
        <v>3102.9593512631996</v>
      </c>
      <c r="J117" s="49">
        <f>IFERROR(E117*G117,0)</f>
        <v>0</v>
      </c>
      <c r="K117" s="49">
        <f>IFERROR(E117*H117,0)</f>
        <v>413.72791350175999</v>
      </c>
      <c r="M117" s="49"/>
      <c r="N117" s="49"/>
      <c r="O117" t="s">
        <v>394</v>
      </c>
      <c r="P117" s="49">
        <f>E117*0.03</f>
        <v>1.4550491999999997</v>
      </c>
      <c r="Q117" s="49">
        <f>E117*0.0125</f>
        <v>0.60627049999999993</v>
      </c>
    </row>
    <row r="118" spans="1:17" ht="15" thickBot="1" x14ac:dyDescent="0.35">
      <c r="A118" s="43"/>
      <c r="B118" s="43" t="s">
        <v>132</v>
      </c>
      <c r="C118" s="44"/>
      <c r="D118" s="47"/>
      <c r="E118" s="47">
        <f>SUM(E115:E117)</f>
        <v>407.85469999999998</v>
      </c>
      <c r="F118" s="53">
        <f>IFERROR(SUM(I115:I117)/E118,0)</f>
        <v>63.976379999999992</v>
      </c>
      <c r="G118" s="53">
        <f>IFERROR(SUM(J115:J117)/E118,0)</f>
        <v>0</v>
      </c>
      <c r="H118" s="53">
        <f>IFERROR(SUM(K115:K117)/E118,0)</f>
        <v>7.6629781837837836</v>
      </c>
      <c r="I118" s="47">
        <f>SUM(I115:I117)</f>
        <v>26093.067271985994</v>
      </c>
      <c r="J118" s="47">
        <f>SUM(J115:J117)</f>
        <v>0</v>
      </c>
      <c r="K118" s="47">
        <f>SUM(K115:K117)</f>
        <v>3125.3816682536799</v>
      </c>
      <c r="L118" s="43"/>
      <c r="M118" s="47">
        <f>Target!C22</f>
        <v>396.83159999999998</v>
      </c>
      <c r="N118" s="47">
        <f>IF(M118="","",E118-M118)</f>
        <v>11.023099999999999</v>
      </c>
      <c r="O118" s="43"/>
      <c r="P118" s="49"/>
      <c r="Q118" s="49"/>
    </row>
    <row r="119" spans="1:17" ht="15" thickTop="1" x14ac:dyDescent="0.3">
      <c r="A119" s="4" t="s">
        <v>133</v>
      </c>
      <c r="B119" s="4" t="s">
        <v>134</v>
      </c>
      <c r="C119" s="8"/>
      <c r="D119" s="48"/>
      <c r="E119" s="48"/>
      <c r="F119" s="54"/>
      <c r="G119" s="54"/>
      <c r="H119" s="54"/>
      <c r="I119" s="48"/>
      <c r="J119" s="48"/>
      <c r="K119" s="48"/>
      <c r="L119" s="4"/>
      <c r="M119" s="48"/>
      <c r="N119" s="48"/>
      <c r="O119" s="4"/>
      <c r="P119" s="49"/>
      <c r="Q119" s="49"/>
    </row>
    <row r="120" spans="1:17" x14ac:dyDescent="0.3">
      <c r="A120">
        <v>52</v>
      </c>
      <c r="B120" t="s">
        <v>135</v>
      </c>
      <c r="C120" s="12">
        <v>1</v>
      </c>
      <c r="D120" s="46">
        <v>187.39269999999999</v>
      </c>
      <c r="E120" s="49">
        <f t="shared" ref="E120:E125" si="3">IFERROR(C120*D120,0)</f>
        <v>187.39269999999999</v>
      </c>
      <c r="F120" s="52">
        <v>13.12336</v>
      </c>
      <c r="G120" s="52">
        <v>-2.9527559999999999</v>
      </c>
      <c r="H120" s="52">
        <v>4.5931759999999997</v>
      </c>
      <c r="I120" s="49">
        <f>IFERROR(E120*F120,0)</f>
        <v>2459.2218634719998</v>
      </c>
      <c r="J120" s="49">
        <f>IFERROR(E120*G120,0)</f>
        <v>-553.32491928119998</v>
      </c>
      <c r="K120" s="49">
        <f>IFERROR(E120*H120,0)</f>
        <v>860.7276522151999</v>
      </c>
      <c r="L120" t="s">
        <v>249</v>
      </c>
      <c r="M120" s="49"/>
      <c r="N120" s="49"/>
      <c r="O120" t="s">
        <v>395</v>
      </c>
      <c r="P120" s="49">
        <f>E120*0.03</f>
        <v>5.6217809999999995</v>
      </c>
      <c r="Q120" s="49">
        <f>E120*0.0125</f>
        <v>2.3424087500000002</v>
      </c>
    </row>
    <row r="121" spans="1:17" x14ac:dyDescent="0.3">
      <c r="A121">
        <v>52</v>
      </c>
      <c r="B121" t="s">
        <v>136</v>
      </c>
      <c r="C121" s="12">
        <v>1</v>
      </c>
      <c r="D121" s="46">
        <v>77.161699999999996</v>
      </c>
      <c r="E121" s="49">
        <f t="shared" si="3"/>
        <v>77.161699999999996</v>
      </c>
      <c r="F121" s="52">
        <v>13.12336</v>
      </c>
      <c r="G121" s="52">
        <v>2.9527559999999999</v>
      </c>
      <c r="H121" s="52">
        <v>4.5931759999999997</v>
      </c>
      <c r="I121" s="49">
        <f>IFERROR(E121*F121,0)</f>
        <v>1012.620767312</v>
      </c>
      <c r="J121" s="49">
        <f>IFERROR(E121*G121,0)</f>
        <v>227.83967264519998</v>
      </c>
      <c r="K121" s="49">
        <f>IFERROR(E121*H121,0)</f>
        <v>354.41726855919995</v>
      </c>
      <c r="L121" t="s">
        <v>250</v>
      </c>
      <c r="M121" s="49"/>
      <c r="N121" s="49"/>
      <c r="O121" t="s">
        <v>396</v>
      </c>
      <c r="P121" s="49">
        <f>E121*0.03</f>
        <v>2.314851</v>
      </c>
      <c r="Q121" s="49">
        <f>E121*0.0125</f>
        <v>0.96452125</v>
      </c>
    </row>
    <row r="122" spans="1:17" x14ac:dyDescent="0.3">
      <c r="A122">
        <v>52</v>
      </c>
      <c r="B122" t="s">
        <v>137</v>
      </c>
      <c r="C122" s="12">
        <v>1</v>
      </c>
      <c r="D122" s="46">
        <v>66.138599999999997</v>
      </c>
      <c r="E122" s="49">
        <f t="shared" si="3"/>
        <v>66.138599999999997</v>
      </c>
      <c r="F122" s="52">
        <v>50.853020000000001</v>
      </c>
      <c r="G122" s="52">
        <v>-2.9527559999999999</v>
      </c>
      <c r="H122" s="52">
        <v>4.5931759999999997</v>
      </c>
      <c r="I122" s="49">
        <f>IFERROR(E122*F122,0)</f>
        <v>3363.3475485720001</v>
      </c>
      <c r="J122" s="49">
        <f>IFERROR(E122*G122,0)</f>
        <v>-195.29114798159998</v>
      </c>
      <c r="K122" s="49">
        <f>IFERROR(E122*H122,0)</f>
        <v>303.78623019359998</v>
      </c>
      <c r="L122" t="s">
        <v>251</v>
      </c>
      <c r="M122" s="49"/>
      <c r="N122" s="49"/>
      <c r="O122" t="s">
        <v>397</v>
      </c>
      <c r="P122" s="49">
        <f>E122*0.03</f>
        <v>1.9841579999999999</v>
      </c>
      <c r="Q122" s="49">
        <f>E122*0.0125</f>
        <v>0.82673249999999998</v>
      </c>
    </row>
    <row r="123" spans="1:17" x14ac:dyDescent="0.3">
      <c r="A123">
        <v>52</v>
      </c>
      <c r="B123" t="s">
        <v>138</v>
      </c>
      <c r="C123" s="12">
        <v>1</v>
      </c>
      <c r="D123" s="46">
        <v>66.138599999999997</v>
      </c>
      <c r="E123" s="49">
        <f t="shared" si="3"/>
        <v>66.138599999999997</v>
      </c>
      <c r="F123" s="52">
        <v>50.853020000000001</v>
      </c>
      <c r="G123" s="52">
        <v>2.9527559999999999</v>
      </c>
      <c r="H123" s="52">
        <v>4.5931759999999997</v>
      </c>
      <c r="I123" s="49">
        <f>IFERROR(E123*F123,0)</f>
        <v>3363.3475485720001</v>
      </c>
      <c r="J123" s="49">
        <f>IFERROR(E123*G123,0)</f>
        <v>195.29114798159998</v>
      </c>
      <c r="K123" s="49">
        <f>IFERROR(E123*H123,0)</f>
        <v>303.78623019359998</v>
      </c>
      <c r="L123" t="s">
        <v>251</v>
      </c>
      <c r="M123" s="49"/>
      <c r="N123" s="49"/>
      <c r="O123" t="s">
        <v>398</v>
      </c>
      <c r="P123" s="49">
        <f>E123*0.03</f>
        <v>1.9841579999999999</v>
      </c>
      <c r="Q123" s="49">
        <f>E123*0.0125</f>
        <v>0.82673249999999998</v>
      </c>
    </row>
    <row r="124" spans="1:17" x14ac:dyDescent="0.3">
      <c r="A124">
        <v>52</v>
      </c>
      <c r="B124" t="s">
        <v>139</v>
      </c>
      <c r="C124" s="12">
        <v>1</v>
      </c>
      <c r="D124" s="46">
        <v>99.207899999999995</v>
      </c>
      <c r="E124" s="49">
        <f t="shared" si="3"/>
        <v>99.207899999999995</v>
      </c>
      <c r="F124" s="52">
        <v>14.763780000000001</v>
      </c>
      <c r="G124" s="52">
        <v>0</v>
      </c>
      <c r="H124" s="52">
        <v>1.64042</v>
      </c>
      <c r="I124" s="49">
        <f>IFERROR(E124*F124,0)</f>
        <v>1464.6836098619999</v>
      </c>
      <c r="J124" s="49">
        <f>IFERROR(E124*G124,0)</f>
        <v>0</v>
      </c>
      <c r="K124" s="49">
        <f>IFERROR(E124*H124,0)</f>
        <v>162.742623318</v>
      </c>
      <c r="L124" t="s">
        <v>252</v>
      </c>
      <c r="M124" s="49"/>
      <c r="N124" s="49"/>
      <c r="O124" t="s">
        <v>399</v>
      </c>
      <c r="P124" s="49">
        <f>E124*0.03</f>
        <v>2.9762369999999998</v>
      </c>
      <c r="Q124" s="49">
        <f>E124*0.0125</f>
        <v>1.24009875</v>
      </c>
    </row>
    <row r="125" spans="1:17" x14ac:dyDescent="0.3">
      <c r="A125">
        <v>52</v>
      </c>
      <c r="B125" t="s">
        <v>140</v>
      </c>
      <c r="C125" s="12">
        <v>1</v>
      </c>
      <c r="D125" s="46">
        <v>121.25409999999999</v>
      </c>
      <c r="E125" s="49">
        <f t="shared" si="3"/>
        <v>121.25409999999999</v>
      </c>
      <c r="F125" s="52">
        <v>54.133859999999999</v>
      </c>
      <c r="G125" s="52">
        <v>-2.9527559999999999</v>
      </c>
      <c r="H125" s="52">
        <v>3.9370079999999996</v>
      </c>
      <c r="I125" s="49">
        <f>IFERROR(E125*F125,0)</f>
        <v>6563.9524738259997</v>
      </c>
      <c r="J125" s="49">
        <f>IFERROR(E125*G125,0)</f>
        <v>-358.03377129959995</v>
      </c>
      <c r="K125" s="49">
        <f>IFERROR(E125*H125,0)</f>
        <v>477.37836173279993</v>
      </c>
      <c r="L125" t="s">
        <v>253</v>
      </c>
      <c r="M125" s="49"/>
      <c r="N125" s="49"/>
      <c r="O125" t="s">
        <v>400</v>
      </c>
      <c r="P125" s="49">
        <f>E125*0.03</f>
        <v>3.6376229999999996</v>
      </c>
      <c r="Q125" s="49">
        <f>E125*0.0125</f>
        <v>1.5156762500000001</v>
      </c>
    </row>
    <row r="126" spans="1:17" ht="15" thickBot="1" x14ac:dyDescent="0.35">
      <c r="A126" s="43"/>
      <c r="B126" s="43" t="s">
        <v>141</v>
      </c>
      <c r="C126" s="44"/>
      <c r="D126" s="47"/>
      <c r="E126" s="47">
        <f>SUM(E120:E125)</f>
        <v>617.29359999999997</v>
      </c>
      <c r="F126" s="53">
        <f>IFERROR(SUM(I120:I125)/E126,0)</f>
        <v>29.527560000000005</v>
      </c>
      <c r="G126" s="53">
        <f>IFERROR(SUM(J120:J125)/E126,0)</f>
        <v>-1.1072835000000001</v>
      </c>
      <c r="H126" s="53">
        <f>IFERROR(SUM(K120:K125)/E126,0)</f>
        <v>3.9897357857142852</v>
      </c>
      <c r="I126" s="47">
        <f>SUM(I120:I125)</f>
        <v>18227.173811616001</v>
      </c>
      <c r="J126" s="47">
        <f>SUM(J120:J125)</f>
        <v>-683.5190179356</v>
      </c>
      <c r="K126" s="47">
        <f>SUM(K120:K125)</f>
        <v>2462.8383662123997</v>
      </c>
      <c r="L126" s="43"/>
      <c r="M126" s="47">
        <f>Target!C23</f>
        <v>595.24739999999997</v>
      </c>
      <c r="N126" s="47">
        <f>IF(M126="","",E126-M126)</f>
        <v>22.046199999999999</v>
      </c>
      <c r="O126" s="43"/>
      <c r="P126" s="49"/>
      <c r="Q126" s="49"/>
    </row>
    <row r="127" spans="1:17" ht="15" thickTop="1" x14ac:dyDescent="0.3">
      <c r="A127" s="4" t="s">
        <v>142</v>
      </c>
      <c r="B127" s="4" t="s">
        <v>143</v>
      </c>
      <c r="C127" s="8"/>
      <c r="D127" s="48"/>
      <c r="E127" s="48"/>
      <c r="F127" s="54"/>
      <c r="G127" s="54"/>
      <c r="H127" s="54"/>
      <c r="I127" s="48"/>
      <c r="J127" s="48"/>
      <c r="K127" s="48"/>
      <c r="L127" s="4"/>
      <c r="M127" s="48"/>
      <c r="N127" s="48"/>
      <c r="O127" s="4"/>
      <c r="P127" s="49"/>
      <c r="Q127" s="49"/>
    </row>
    <row r="128" spans="1:17" x14ac:dyDescent="0.3">
      <c r="A128">
        <v>53</v>
      </c>
      <c r="B128" t="s">
        <v>144</v>
      </c>
      <c r="C128" s="12">
        <v>1</v>
      </c>
      <c r="D128" s="46">
        <v>1212.5409999999999</v>
      </c>
      <c r="E128" s="49">
        <f>IFERROR(C128*D128,0)</f>
        <v>1212.5409999999999</v>
      </c>
      <c r="F128" s="52">
        <v>11.482939999999999</v>
      </c>
      <c r="G128" s="52">
        <v>0</v>
      </c>
      <c r="H128" s="52">
        <v>4.9212600000000002</v>
      </c>
      <c r="I128" s="49">
        <f>IFERROR(E128*F128,0)</f>
        <v>13923.535550539998</v>
      </c>
      <c r="J128" s="49">
        <f>IFERROR(E128*G128,0)</f>
        <v>0</v>
      </c>
      <c r="K128" s="49">
        <f>IFERROR(E128*H128,0)</f>
        <v>5967.2295216599996</v>
      </c>
      <c r="L128" t="s">
        <v>254</v>
      </c>
      <c r="M128" s="49"/>
      <c r="N128" s="49"/>
      <c r="O128" t="s">
        <v>401</v>
      </c>
      <c r="P128" s="49">
        <f>E128*0.0375</f>
        <v>45.470287499999998</v>
      </c>
      <c r="Q128" s="49">
        <f>E128*0.0125</f>
        <v>15.156762499999999</v>
      </c>
    </row>
    <row r="129" spans="1:17" x14ac:dyDescent="0.3">
      <c r="A129">
        <v>53</v>
      </c>
      <c r="B129" t="s">
        <v>145</v>
      </c>
      <c r="C129" s="12">
        <v>1</v>
      </c>
      <c r="D129" s="46">
        <v>2094.3889999999997</v>
      </c>
      <c r="E129" s="49">
        <f>IFERROR(C129*D129,0)</f>
        <v>2094.3889999999997</v>
      </c>
      <c r="F129" s="52">
        <v>34.448819999999998</v>
      </c>
      <c r="G129" s="52">
        <v>0</v>
      </c>
      <c r="H129" s="52">
        <v>5.5774279999999994</v>
      </c>
      <c r="I129" s="49">
        <f>IFERROR(E129*F129,0)</f>
        <v>72149.229670979985</v>
      </c>
      <c r="J129" s="49">
        <f>IFERROR(E129*G129,0)</f>
        <v>0</v>
      </c>
      <c r="K129" s="49">
        <f>IFERROR(E129*H129,0)</f>
        <v>11681.303851491997</v>
      </c>
      <c r="L129" t="s">
        <v>255</v>
      </c>
      <c r="M129" s="49"/>
      <c r="N129" s="49"/>
      <c r="O129" t="s">
        <v>402</v>
      </c>
      <c r="P129" s="49">
        <f>E129*0.045</f>
        <v>94.247504999999975</v>
      </c>
      <c r="Q129" s="49">
        <f>E129*0.0125</f>
        <v>26.179862499999999</v>
      </c>
    </row>
    <row r="130" spans="1:17" x14ac:dyDescent="0.3">
      <c r="A130">
        <v>53</v>
      </c>
      <c r="B130" t="s">
        <v>146</v>
      </c>
      <c r="C130" s="12">
        <v>1</v>
      </c>
      <c r="D130" s="46">
        <v>1433.0029999999999</v>
      </c>
      <c r="E130" s="49">
        <f>IFERROR(C130*D130,0)</f>
        <v>1433.0029999999999</v>
      </c>
      <c r="F130" s="52">
        <v>54.133859999999999</v>
      </c>
      <c r="G130" s="52">
        <v>0</v>
      </c>
      <c r="H130" s="52">
        <v>5.9055119999999999</v>
      </c>
      <c r="I130" s="49">
        <f>IFERROR(E130*F130,0)</f>
        <v>77573.983781579998</v>
      </c>
      <c r="J130" s="49">
        <f>IFERROR(E130*G130,0)</f>
        <v>0</v>
      </c>
      <c r="K130" s="49">
        <f>IFERROR(E130*H130,0)</f>
        <v>8462.6164125359992</v>
      </c>
      <c r="L130" t="s">
        <v>256</v>
      </c>
      <c r="M130" s="49"/>
      <c r="N130" s="49"/>
      <c r="O130" t="s">
        <v>403</v>
      </c>
      <c r="P130" s="49">
        <f>E130*0.0375</f>
        <v>53.737612499999997</v>
      </c>
      <c r="Q130" s="49">
        <f>E130*0.0125</f>
        <v>17.912537499999999</v>
      </c>
    </row>
    <row r="131" spans="1:17" x14ac:dyDescent="0.3">
      <c r="A131">
        <v>53</v>
      </c>
      <c r="B131" t="s">
        <v>147</v>
      </c>
      <c r="C131" s="12">
        <v>1</v>
      </c>
      <c r="D131" s="46">
        <v>198.41579999999999</v>
      </c>
      <c r="E131" s="49">
        <f>IFERROR(C131*D131,0)</f>
        <v>198.41579999999999</v>
      </c>
      <c r="F131" s="52">
        <v>57.414699999999996</v>
      </c>
      <c r="G131" s="52">
        <v>0</v>
      </c>
      <c r="H131" s="52">
        <v>5.9055119999999999</v>
      </c>
      <c r="I131" s="49">
        <f>IFERROR(E131*F131,0)</f>
        <v>11391.983632259999</v>
      </c>
      <c r="J131" s="49">
        <f>IFERROR(E131*G131,0)</f>
        <v>0</v>
      </c>
      <c r="K131" s="49">
        <f>IFERROR(E131*H131,0)</f>
        <v>1171.7468878896</v>
      </c>
      <c r="L131" t="s">
        <v>257</v>
      </c>
      <c r="M131" s="49"/>
      <c r="N131" s="49"/>
      <c r="O131" t="s">
        <v>404</v>
      </c>
      <c r="P131" s="49">
        <f>E131*0.03</f>
        <v>5.9524739999999996</v>
      </c>
      <c r="Q131" s="49">
        <f>E131*0.0125</f>
        <v>2.4801975000000001</v>
      </c>
    </row>
    <row r="132" spans="1:17" ht="15" thickBot="1" x14ac:dyDescent="0.35">
      <c r="A132" s="43"/>
      <c r="B132" s="43" t="s">
        <v>148</v>
      </c>
      <c r="C132" s="44"/>
      <c r="D132" s="47"/>
      <c r="E132" s="47">
        <f>SUM(E128:E131)</f>
        <v>4938.3487999999988</v>
      </c>
      <c r="F132" s="53">
        <f>IFERROR(SUM(I128:I131)/E132,0)</f>
        <v>35.444789285714286</v>
      </c>
      <c r="G132" s="53">
        <f>IFERROR(SUM(J128:J131)/E132,0)</f>
        <v>0</v>
      </c>
      <c r="H132" s="53">
        <f>IFERROR(SUM(K128:K131)/E132,0)</f>
        <v>5.5247002142857147</v>
      </c>
      <c r="I132" s="47">
        <f>SUM(I128:I131)</f>
        <v>175038.73263535998</v>
      </c>
      <c r="J132" s="47">
        <f>SUM(J128:J131)</f>
        <v>0</v>
      </c>
      <c r="K132" s="47">
        <f>SUM(K128:K131)</f>
        <v>27282.896673577594</v>
      </c>
      <c r="L132" s="43"/>
      <c r="M132" s="47">
        <f>Target!C24</f>
        <v>4938.3487999999998</v>
      </c>
      <c r="N132" s="47">
        <f>IF(M132="","",E132-M132)</f>
        <v>-9.0949470177292824E-13</v>
      </c>
      <c r="O132" s="43"/>
      <c r="P132" s="49"/>
      <c r="Q132" s="49"/>
    </row>
    <row r="133" spans="1:17" ht="15" thickTop="1" x14ac:dyDescent="0.3">
      <c r="A133" s="4" t="s">
        <v>149</v>
      </c>
      <c r="B133" s="4" t="s">
        <v>150</v>
      </c>
      <c r="C133" s="8"/>
      <c r="D133" s="48"/>
      <c r="E133" s="48"/>
      <c r="F133" s="54"/>
      <c r="G133" s="54"/>
      <c r="H133" s="54"/>
      <c r="I133" s="48"/>
      <c r="J133" s="48"/>
      <c r="K133" s="48"/>
      <c r="L133" s="4"/>
      <c r="M133" s="48"/>
      <c r="N133" s="48"/>
      <c r="O133" s="4"/>
      <c r="P133" s="49"/>
      <c r="Q133" s="49"/>
    </row>
    <row r="134" spans="1:17" x14ac:dyDescent="0.3">
      <c r="A134">
        <v>54</v>
      </c>
      <c r="B134" t="s">
        <v>151</v>
      </c>
      <c r="C134" s="12">
        <v>1</v>
      </c>
      <c r="D134" s="46">
        <v>242.50819999999999</v>
      </c>
      <c r="E134" s="49">
        <f>IFERROR(C134*D134,0)</f>
        <v>242.50819999999999</v>
      </c>
      <c r="F134" s="52">
        <v>42.650919999999999</v>
      </c>
      <c r="G134" s="52">
        <v>-3.9370079999999996</v>
      </c>
      <c r="H134" s="52">
        <v>7.2178480000000009</v>
      </c>
      <c r="I134" s="49">
        <f>IFERROR(E134*F134,0)</f>
        <v>10343.197837543999</v>
      </c>
      <c r="J134" s="49">
        <f>IFERROR(E134*G134,0)</f>
        <v>-954.75672346559986</v>
      </c>
      <c r="K134" s="49">
        <f>IFERROR(E134*H134,0)</f>
        <v>1750.3873263536002</v>
      </c>
      <c r="M134" s="49"/>
      <c r="N134" s="49"/>
      <c r="O134" t="s">
        <v>405</v>
      </c>
      <c r="P134" s="49">
        <f>E134*0.03</f>
        <v>7.2752459999999992</v>
      </c>
      <c r="Q134" s="49">
        <f>E134*0.0125</f>
        <v>3.0313525000000001</v>
      </c>
    </row>
    <row r="135" spans="1:17" x14ac:dyDescent="0.3">
      <c r="A135">
        <v>54</v>
      </c>
      <c r="B135" t="s">
        <v>152</v>
      </c>
      <c r="C135" s="12">
        <v>1</v>
      </c>
      <c r="D135" s="46">
        <v>242.50819999999999</v>
      </c>
      <c r="E135" s="49">
        <f>IFERROR(C135*D135,0)</f>
        <v>242.50819999999999</v>
      </c>
      <c r="F135" s="52">
        <v>42.650919999999999</v>
      </c>
      <c r="G135" s="52">
        <v>3.9370079999999996</v>
      </c>
      <c r="H135" s="52">
        <v>7.2178480000000009</v>
      </c>
      <c r="I135" s="49">
        <f>IFERROR(E135*F135,0)</f>
        <v>10343.197837543999</v>
      </c>
      <c r="J135" s="49">
        <f>IFERROR(E135*G135,0)</f>
        <v>954.75672346559986</v>
      </c>
      <c r="K135" s="49">
        <f>IFERROR(E135*H135,0)</f>
        <v>1750.3873263536002</v>
      </c>
      <c r="M135" s="49"/>
      <c r="N135" s="49"/>
      <c r="O135" t="s">
        <v>406</v>
      </c>
      <c r="P135" s="49">
        <f>E135*0.03</f>
        <v>7.2752459999999992</v>
      </c>
      <c r="Q135" s="49">
        <f>E135*0.0125</f>
        <v>3.0313525000000001</v>
      </c>
    </row>
    <row r="136" spans="1:17" x14ac:dyDescent="0.3">
      <c r="A136">
        <v>54</v>
      </c>
      <c r="B136" t="s">
        <v>153</v>
      </c>
      <c r="C136" s="12">
        <v>1</v>
      </c>
      <c r="D136" s="46">
        <v>396.83159999999998</v>
      </c>
      <c r="E136" s="49">
        <f>IFERROR(C136*D136,0)</f>
        <v>396.83159999999998</v>
      </c>
      <c r="F136" s="52">
        <v>43.307088</v>
      </c>
      <c r="G136" s="52">
        <v>-4.9212600000000002</v>
      </c>
      <c r="H136" s="52">
        <v>7.5459319999999996</v>
      </c>
      <c r="I136" s="49">
        <f>IFERROR(E136*F136,0)</f>
        <v>17185.621022380798</v>
      </c>
      <c r="J136" s="49">
        <f>IFERROR(E136*G136,0)</f>
        <v>-1952.9114798159999</v>
      </c>
      <c r="K136" s="49">
        <f>IFERROR(E136*H136,0)</f>
        <v>2994.4642690511996</v>
      </c>
      <c r="M136" s="49"/>
      <c r="N136" s="49"/>
      <c r="O136" t="s">
        <v>407</v>
      </c>
      <c r="P136" s="49">
        <f>E136*0.0375</f>
        <v>14.881184999999999</v>
      </c>
      <c r="Q136" s="49">
        <f>E136*0.0125</f>
        <v>4.9603950000000001</v>
      </c>
    </row>
    <row r="137" spans="1:17" x14ac:dyDescent="0.3">
      <c r="A137">
        <v>54</v>
      </c>
      <c r="B137" t="s">
        <v>154</v>
      </c>
      <c r="C137" s="12">
        <v>1</v>
      </c>
      <c r="D137" s="46">
        <v>396.83159999999998</v>
      </c>
      <c r="E137" s="49">
        <f>IFERROR(C137*D137,0)</f>
        <v>396.83159999999998</v>
      </c>
      <c r="F137" s="52">
        <v>43.307088</v>
      </c>
      <c r="G137" s="52">
        <v>4.9212600000000002</v>
      </c>
      <c r="H137" s="52">
        <v>7.5459319999999996</v>
      </c>
      <c r="I137" s="49">
        <f>IFERROR(E137*F137,0)</f>
        <v>17185.621022380798</v>
      </c>
      <c r="J137" s="49">
        <f>IFERROR(E137*G137,0)</f>
        <v>1952.9114798159999</v>
      </c>
      <c r="K137" s="49">
        <f>IFERROR(E137*H137,0)</f>
        <v>2994.4642690511996</v>
      </c>
      <c r="M137" s="49"/>
      <c r="N137" s="49"/>
      <c r="O137" t="s">
        <v>408</v>
      </c>
      <c r="P137" s="49">
        <f>E137*0.0375</f>
        <v>14.881184999999999</v>
      </c>
      <c r="Q137" s="49">
        <f>E137*0.0125</f>
        <v>4.9603950000000001</v>
      </c>
    </row>
    <row r="138" spans="1:17" ht="15" thickBot="1" x14ac:dyDescent="0.35">
      <c r="A138" s="43"/>
      <c r="B138" s="43" t="s">
        <v>155</v>
      </c>
      <c r="C138" s="44"/>
      <c r="D138" s="47"/>
      <c r="E138" s="47">
        <f>SUM(E134:E137)</f>
        <v>1278.6795999999999</v>
      </c>
      <c r="F138" s="53">
        <f>IFERROR(SUM(I134:I137)/E138,0)</f>
        <v>43.058196689655169</v>
      </c>
      <c r="G138" s="53">
        <f>IFERROR(SUM(J134:J137)/E138,0)</f>
        <v>0</v>
      </c>
      <c r="H138" s="53">
        <f>IFERROR(SUM(K134:K137)/E138,0)</f>
        <v>7.4214863448275858</v>
      </c>
      <c r="I138" s="47">
        <f>SUM(I134:I137)</f>
        <v>55057.63771984959</v>
      </c>
      <c r="J138" s="47">
        <f>SUM(J134:J137)</f>
        <v>0</v>
      </c>
      <c r="K138" s="47">
        <f>SUM(K134:K137)</f>
        <v>9489.7031908095996</v>
      </c>
      <c r="L138" s="43"/>
      <c r="M138" s="47">
        <f>Target!C25</f>
        <v>1245.6102999999998</v>
      </c>
      <c r="N138" s="47">
        <f>IF(M138="","",E138-M138)</f>
        <v>33.069300000000112</v>
      </c>
      <c r="O138" s="43"/>
      <c r="P138" s="49"/>
      <c r="Q138" s="49"/>
    </row>
    <row r="139" spans="1:17" ht="15" thickTop="1" x14ac:dyDescent="0.3">
      <c r="A139" s="4" t="s">
        <v>156</v>
      </c>
      <c r="B139" s="4" t="s">
        <v>157</v>
      </c>
      <c r="C139" s="8"/>
      <c r="D139" s="48"/>
      <c r="E139" s="48"/>
      <c r="F139" s="54"/>
      <c r="G139" s="54"/>
      <c r="H139" s="54"/>
      <c r="I139" s="48"/>
      <c r="J139" s="48"/>
      <c r="K139" s="48"/>
      <c r="L139" s="4"/>
      <c r="M139" s="48"/>
      <c r="N139" s="48"/>
      <c r="O139" s="4"/>
      <c r="P139" s="49"/>
      <c r="Q139" s="49"/>
    </row>
    <row r="140" spans="1:17" x14ac:dyDescent="0.3">
      <c r="A140">
        <v>55</v>
      </c>
      <c r="B140" t="s">
        <v>158</v>
      </c>
      <c r="C140" s="12">
        <v>1</v>
      </c>
      <c r="D140" s="46">
        <v>617.29359999999997</v>
      </c>
      <c r="E140" s="49">
        <f>IFERROR(C140*D140,0)</f>
        <v>617.29359999999997</v>
      </c>
      <c r="F140" s="52">
        <v>62.33596</v>
      </c>
      <c r="G140" s="52">
        <v>0</v>
      </c>
      <c r="H140" s="52">
        <v>16.404199999999999</v>
      </c>
      <c r="I140" s="49">
        <f>IFERROR(E140*F140,0)</f>
        <v>38479.589157855997</v>
      </c>
      <c r="J140" s="49">
        <f>IFERROR(E140*G140,0)</f>
        <v>0</v>
      </c>
      <c r="K140" s="49">
        <f>IFERROR(E140*H140,0)</f>
        <v>10126.20767312</v>
      </c>
      <c r="L140" t="s">
        <v>258</v>
      </c>
      <c r="M140" s="49"/>
      <c r="N140" s="49"/>
      <c r="O140" t="s">
        <v>409</v>
      </c>
      <c r="P140" s="49">
        <f>E140*0.0375</f>
        <v>23.148509999999998</v>
      </c>
      <c r="Q140" s="49">
        <f>E140*0.0125</f>
        <v>7.71617</v>
      </c>
    </row>
    <row r="141" spans="1:17" x14ac:dyDescent="0.3">
      <c r="A141">
        <v>55</v>
      </c>
      <c r="B141" t="s">
        <v>159</v>
      </c>
      <c r="C141" s="12">
        <v>1</v>
      </c>
      <c r="D141" s="46">
        <v>705.47839999999997</v>
      </c>
      <c r="E141" s="49">
        <f>IFERROR(C141*D141,0)</f>
        <v>705.47839999999997</v>
      </c>
      <c r="F141" s="52">
        <v>60.695540000000001</v>
      </c>
      <c r="G141" s="52">
        <v>0</v>
      </c>
      <c r="H141" s="52">
        <v>11.482939999999999</v>
      </c>
      <c r="I141" s="49">
        <f>IFERROR(E141*F141,0)</f>
        <v>42819.392446336002</v>
      </c>
      <c r="J141" s="49">
        <f>IFERROR(E141*G141,0)</f>
        <v>0</v>
      </c>
      <c r="K141" s="49">
        <f>IFERROR(E141*H141,0)</f>
        <v>8100.9661384959991</v>
      </c>
      <c r="M141" s="49"/>
      <c r="N141" s="49"/>
      <c r="O141" t="s">
        <v>410</v>
      </c>
      <c r="P141" s="49">
        <f>E141*0.0375</f>
        <v>26.455439999999999</v>
      </c>
      <c r="Q141" s="49">
        <f>E141*0.0125</f>
        <v>8.8184799999999992</v>
      </c>
    </row>
    <row r="142" spans="1:17" ht="15" thickBot="1" x14ac:dyDescent="0.35">
      <c r="A142" s="43"/>
      <c r="B142" s="43" t="s">
        <v>160</v>
      </c>
      <c r="C142" s="44"/>
      <c r="D142" s="47"/>
      <c r="E142" s="47">
        <f>SUM(E140:E141)</f>
        <v>1322.7719999999999</v>
      </c>
      <c r="F142" s="53">
        <f>IFERROR(SUM(I140:I141)/E142,0)</f>
        <v>61.461069333333334</v>
      </c>
      <c r="G142" s="53">
        <f>IFERROR(SUM(J140:J141)/E142,0)</f>
        <v>0</v>
      </c>
      <c r="H142" s="53">
        <f>IFERROR(SUM(K140:K141)/E142,0)</f>
        <v>13.779527999999999</v>
      </c>
      <c r="I142" s="47">
        <f>SUM(I140:I141)</f>
        <v>81298.981604191998</v>
      </c>
      <c r="J142" s="47">
        <f>SUM(J140:J141)</f>
        <v>0</v>
      </c>
      <c r="K142" s="47">
        <f>SUM(K140:K141)</f>
        <v>18227.173811615998</v>
      </c>
      <c r="L142" s="43"/>
      <c r="M142" s="47">
        <f>Target!C26</f>
        <v>1300.7257999999999</v>
      </c>
      <c r="N142" s="47">
        <f>IF(M142="","",E142-M142)</f>
        <v>22.046199999999999</v>
      </c>
      <c r="O142" s="43"/>
      <c r="P142" s="49"/>
      <c r="Q142" s="49"/>
    </row>
    <row r="143" spans="1:17" ht="15" thickTop="1" x14ac:dyDescent="0.3">
      <c r="A143" s="4" t="s">
        <v>161</v>
      </c>
      <c r="B143" s="4" t="s">
        <v>162</v>
      </c>
      <c r="C143" s="8"/>
      <c r="D143" s="48"/>
      <c r="E143" s="48"/>
      <c r="F143" s="54"/>
      <c r="G143" s="54"/>
      <c r="H143" s="54"/>
      <c r="I143" s="48"/>
      <c r="J143" s="48"/>
      <c r="K143" s="48"/>
      <c r="L143" s="4"/>
      <c r="M143" s="48"/>
      <c r="N143" s="48"/>
      <c r="O143" s="4"/>
      <c r="P143" s="49"/>
      <c r="Q143" s="49"/>
    </row>
    <row r="144" spans="1:17" x14ac:dyDescent="0.3">
      <c r="A144">
        <v>56</v>
      </c>
      <c r="B144" t="s">
        <v>163</v>
      </c>
      <c r="C144" s="12">
        <v>1</v>
      </c>
      <c r="D144" s="46">
        <v>187.39269999999999</v>
      </c>
      <c r="E144" s="49">
        <f>IFERROR(C144*D144,0)</f>
        <v>187.39269999999999</v>
      </c>
      <c r="F144" s="52">
        <v>10.498688000000001</v>
      </c>
      <c r="G144" s="52">
        <v>0</v>
      </c>
      <c r="H144" s="52">
        <v>6.56168</v>
      </c>
      <c r="I144" s="49">
        <f>IFERROR(E144*F144,0)</f>
        <v>1967.3774907776001</v>
      </c>
      <c r="J144" s="49">
        <f>IFERROR(E144*G144,0)</f>
        <v>0</v>
      </c>
      <c r="K144" s="49">
        <f>IFERROR(E144*H144,0)</f>
        <v>1229.6109317359999</v>
      </c>
      <c r="L144" t="s">
        <v>259</v>
      </c>
      <c r="M144" s="49"/>
      <c r="N144" s="49"/>
      <c r="O144" t="s">
        <v>411</v>
      </c>
      <c r="P144" s="49">
        <f>E144*0.015</f>
        <v>2.8108904999999997</v>
      </c>
      <c r="Q144" s="49">
        <f>E144*0.0125</f>
        <v>2.3424087500000002</v>
      </c>
    </row>
    <row r="145" spans="1:17" x14ac:dyDescent="0.3">
      <c r="A145">
        <v>56</v>
      </c>
      <c r="B145" t="s">
        <v>164</v>
      </c>
      <c r="C145" s="12">
        <v>14</v>
      </c>
      <c r="D145" s="46">
        <v>22.046199999999999</v>
      </c>
      <c r="E145" s="49">
        <f>IFERROR(C145*D145,0)</f>
        <v>308.64679999999998</v>
      </c>
      <c r="F145" s="52">
        <v>27.887139999999999</v>
      </c>
      <c r="G145" s="52">
        <v>0</v>
      </c>
      <c r="H145" s="52">
        <v>6.56168</v>
      </c>
      <c r="I145" s="49">
        <f>IFERROR(E145*F145,0)</f>
        <v>8607.2765221519985</v>
      </c>
      <c r="J145" s="49">
        <f>IFERROR(E145*G145,0)</f>
        <v>0</v>
      </c>
      <c r="K145" s="49">
        <f>IFERROR(E145*H145,0)</f>
        <v>2025.241534624</v>
      </c>
      <c r="L145" t="s">
        <v>260</v>
      </c>
      <c r="M145" s="49"/>
      <c r="N145" s="49"/>
      <c r="O145" t="s">
        <v>412</v>
      </c>
      <c r="P145" s="49">
        <f>E145*0.015</f>
        <v>4.629702</v>
      </c>
      <c r="Q145" s="49">
        <f>E145*0.0125</f>
        <v>3.858085</v>
      </c>
    </row>
    <row r="146" spans="1:17" ht="15" thickBot="1" x14ac:dyDescent="0.35">
      <c r="A146" s="43"/>
      <c r="B146" s="43" t="s">
        <v>165</v>
      </c>
      <c r="C146" s="44"/>
      <c r="D146" s="47"/>
      <c r="E146" s="47">
        <f>SUM(E144:E145)</f>
        <v>496.03949999999998</v>
      </c>
      <c r="F146" s="53">
        <f>IFERROR(SUM(I144:I145)/E146,0)</f>
        <v>21.318169244444444</v>
      </c>
      <c r="G146" s="53">
        <f>IFERROR(SUM(J144:J145)/E146,0)</f>
        <v>0</v>
      </c>
      <c r="H146" s="53">
        <f>IFERROR(SUM(K144:K145)/E146,0)</f>
        <v>6.5616800000000008</v>
      </c>
      <c r="I146" s="47">
        <f>SUM(I144:I145)</f>
        <v>10574.654012929599</v>
      </c>
      <c r="J146" s="47">
        <f>SUM(J144:J145)</f>
        <v>0</v>
      </c>
      <c r="K146" s="47">
        <f>SUM(K144:K145)</f>
        <v>3254.8524663600001</v>
      </c>
      <c r="L146" s="43"/>
      <c r="M146" s="47">
        <f>Target!C27</f>
        <v>485.01639999999998</v>
      </c>
      <c r="N146" s="47">
        <f>IF(M146="","",E146-M146)</f>
        <v>11.023099999999999</v>
      </c>
      <c r="O146" s="43"/>
      <c r="P146" s="49"/>
      <c r="Q146" s="49"/>
    </row>
    <row r="147" spans="1:17" ht="15" thickTop="1" x14ac:dyDescent="0.3">
      <c r="A147" s="4" t="s">
        <v>166</v>
      </c>
      <c r="B147" s="4" t="s">
        <v>167</v>
      </c>
      <c r="C147" s="8"/>
      <c r="D147" s="48"/>
      <c r="E147" s="48"/>
      <c r="F147" s="54"/>
      <c r="G147" s="54"/>
      <c r="H147" s="54"/>
      <c r="I147" s="48"/>
      <c r="J147" s="48"/>
      <c r="K147" s="48"/>
      <c r="L147" s="4"/>
      <c r="M147" s="48"/>
      <c r="N147" s="48"/>
      <c r="O147" s="4"/>
      <c r="P147" s="49"/>
      <c r="Q147" s="49"/>
    </row>
    <row r="148" spans="1:17" x14ac:dyDescent="0.3">
      <c r="A148">
        <v>57</v>
      </c>
      <c r="B148" t="s">
        <v>168</v>
      </c>
      <c r="C148" s="12">
        <v>1</v>
      </c>
      <c r="D148" s="46">
        <v>1058.2175999999999</v>
      </c>
      <c r="E148" s="49">
        <f t="shared" ref="E148:E153" si="4">IFERROR(C148*D148,0)</f>
        <v>1058.2175999999999</v>
      </c>
      <c r="F148" s="52">
        <v>34.448819999999998</v>
      </c>
      <c r="G148" s="52">
        <v>-9.8425200000000004</v>
      </c>
      <c r="H148" s="52">
        <v>6.2335959999999995</v>
      </c>
      <c r="I148" s="49">
        <f>IFERROR(E148*F148,0)</f>
        <v>36454.347623231995</v>
      </c>
      <c r="J148" s="49">
        <f>IFERROR(E148*G148,0)</f>
        <v>-10415.527892352</v>
      </c>
      <c r="K148" s="49">
        <f>IFERROR(E148*H148,0)</f>
        <v>6596.5009984895987</v>
      </c>
      <c r="M148" s="49"/>
      <c r="N148" s="49"/>
      <c r="O148" t="s">
        <v>413</v>
      </c>
      <c r="P148" s="49">
        <f>E148*0.0375</f>
        <v>39.683159999999994</v>
      </c>
      <c r="Q148" s="49">
        <f>E148*0.0125</f>
        <v>13.22772</v>
      </c>
    </row>
    <row r="149" spans="1:17" x14ac:dyDescent="0.3">
      <c r="A149">
        <v>57</v>
      </c>
      <c r="B149" t="s">
        <v>169</v>
      </c>
      <c r="C149" s="12">
        <v>1</v>
      </c>
      <c r="D149" s="46">
        <v>1058.2175999999999</v>
      </c>
      <c r="E149" s="49">
        <f t="shared" si="4"/>
        <v>1058.2175999999999</v>
      </c>
      <c r="F149" s="52">
        <v>34.448819999999998</v>
      </c>
      <c r="G149" s="52">
        <v>9.8425200000000004</v>
      </c>
      <c r="H149" s="52">
        <v>6.2335959999999995</v>
      </c>
      <c r="I149" s="49">
        <f>IFERROR(E149*F149,0)</f>
        <v>36454.347623231995</v>
      </c>
      <c r="J149" s="49">
        <f>IFERROR(E149*G149,0)</f>
        <v>10415.527892352</v>
      </c>
      <c r="K149" s="49">
        <f>IFERROR(E149*H149,0)</f>
        <v>6596.5009984895987</v>
      </c>
      <c r="M149" s="49"/>
      <c r="N149" s="49"/>
      <c r="O149" t="s">
        <v>414</v>
      </c>
      <c r="P149" s="49">
        <f>E149*0.0375</f>
        <v>39.683159999999994</v>
      </c>
      <c r="Q149" s="49">
        <f>E149*0.0125</f>
        <v>13.22772</v>
      </c>
    </row>
    <row r="150" spans="1:17" x14ac:dyDescent="0.3">
      <c r="A150">
        <v>57</v>
      </c>
      <c r="B150" t="s">
        <v>170</v>
      </c>
      <c r="C150" s="12">
        <v>1</v>
      </c>
      <c r="D150" s="46">
        <v>485.01639999999998</v>
      </c>
      <c r="E150" s="49">
        <f t="shared" si="4"/>
        <v>485.01639999999998</v>
      </c>
      <c r="F150" s="52">
        <v>34.448819999999998</v>
      </c>
      <c r="G150" s="52">
        <v>-16.404199999999999</v>
      </c>
      <c r="H150" s="52">
        <v>6.56168</v>
      </c>
      <c r="I150" s="49">
        <f>IFERROR(E150*F150,0)</f>
        <v>16708.242660647997</v>
      </c>
      <c r="J150" s="49">
        <f>IFERROR(E150*G150,0)</f>
        <v>-7956.3060288799998</v>
      </c>
      <c r="K150" s="49">
        <f>IFERROR(E150*H150,0)</f>
        <v>3182.522411552</v>
      </c>
      <c r="M150" s="49"/>
      <c r="N150" s="49"/>
      <c r="O150" t="s">
        <v>415</v>
      </c>
      <c r="P150" s="49">
        <f>E150*0.03</f>
        <v>14.550491999999998</v>
      </c>
      <c r="Q150" s="49">
        <f>E150*0.0125</f>
        <v>6.0627050000000002</v>
      </c>
    </row>
    <row r="151" spans="1:17" x14ac:dyDescent="0.3">
      <c r="A151">
        <v>57</v>
      </c>
      <c r="B151" t="s">
        <v>171</v>
      </c>
      <c r="C151" s="12">
        <v>1</v>
      </c>
      <c r="D151" s="46">
        <v>485.01639999999998</v>
      </c>
      <c r="E151" s="49">
        <f t="shared" si="4"/>
        <v>485.01639999999998</v>
      </c>
      <c r="F151" s="52">
        <v>34.448819999999998</v>
      </c>
      <c r="G151" s="52">
        <v>16.404199999999999</v>
      </c>
      <c r="H151" s="52">
        <v>6.56168</v>
      </c>
      <c r="I151" s="49">
        <f>IFERROR(E151*F151,0)</f>
        <v>16708.242660647997</v>
      </c>
      <c r="J151" s="49">
        <f>IFERROR(E151*G151,0)</f>
        <v>7956.3060288799998</v>
      </c>
      <c r="K151" s="49">
        <f>IFERROR(E151*H151,0)</f>
        <v>3182.522411552</v>
      </c>
      <c r="M151" s="49"/>
      <c r="N151" s="49"/>
      <c r="O151" t="s">
        <v>416</v>
      </c>
      <c r="P151" s="49">
        <f>E151*0.03</f>
        <v>14.550491999999998</v>
      </c>
      <c r="Q151" s="49">
        <f>E151*0.0125</f>
        <v>6.0627050000000002</v>
      </c>
    </row>
    <row r="152" spans="1:17" x14ac:dyDescent="0.3">
      <c r="A152">
        <v>57</v>
      </c>
      <c r="B152" t="s">
        <v>172</v>
      </c>
      <c r="C152" s="12">
        <v>1</v>
      </c>
      <c r="D152" s="46">
        <v>242.50819999999999</v>
      </c>
      <c r="E152" s="49">
        <f t="shared" si="4"/>
        <v>242.50819999999999</v>
      </c>
      <c r="F152" s="52">
        <v>32.808399999999999</v>
      </c>
      <c r="G152" s="52">
        <v>0</v>
      </c>
      <c r="H152" s="52">
        <v>6.56168</v>
      </c>
      <c r="I152" s="49">
        <f>IFERROR(E152*F152,0)</f>
        <v>7956.3060288799998</v>
      </c>
      <c r="J152" s="49">
        <f>IFERROR(E152*G152,0)</f>
        <v>0</v>
      </c>
      <c r="K152" s="49">
        <f>IFERROR(E152*H152,0)</f>
        <v>1591.261205776</v>
      </c>
      <c r="L152" t="s">
        <v>261</v>
      </c>
      <c r="M152" s="49"/>
      <c r="N152" s="49"/>
      <c r="O152" t="s">
        <v>417</v>
      </c>
      <c r="P152" s="49">
        <f>E152*0.03</f>
        <v>7.2752459999999992</v>
      </c>
      <c r="Q152" s="49">
        <f>E152*0.0125</f>
        <v>3.0313525000000001</v>
      </c>
    </row>
    <row r="153" spans="1:17" x14ac:dyDescent="0.3">
      <c r="A153">
        <v>57</v>
      </c>
      <c r="B153" t="s">
        <v>173</v>
      </c>
      <c r="C153" s="12">
        <v>1</v>
      </c>
      <c r="D153" s="46">
        <v>286.60059999999999</v>
      </c>
      <c r="E153" s="49">
        <f t="shared" si="4"/>
        <v>286.60059999999999</v>
      </c>
      <c r="F153" s="52">
        <v>37.729660000000003</v>
      </c>
      <c r="G153" s="52">
        <v>0</v>
      </c>
      <c r="H153" s="52">
        <v>6.56168</v>
      </c>
      <c r="I153" s="49">
        <f>IFERROR(E153*F153,0)</f>
        <v>10813.343193795999</v>
      </c>
      <c r="J153" s="49">
        <f>IFERROR(E153*G153,0)</f>
        <v>0</v>
      </c>
      <c r="K153" s="49">
        <f>IFERROR(E153*H153,0)</f>
        <v>1880.581425008</v>
      </c>
      <c r="L153" t="s">
        <v>261</v>
      </c>
      <c r="M153" s="49"/>
      <c r="N153" s="49"/>
      <c r="O153" t="s">
        <v>418</v>
      </c>
      <c r="P153" s="49">
        <f>E153*0.03</f>
        <v>8.5980179999999997</v>
      </c>
      <c r="Q153" s="49">
        <f>E153*0.0125</f>
        <v>3.5825075000000002</v>
      </c>
    </row>
    <row r="154" spans="1:17" ht="15" thickBot="1" x14ac:dyDescent="0.35">
      <c r="A154" s="43"/>
      <c r="B154" s="43" t="s">
        <v>174</v>
      </c>
      <c r="C154" s="44"/>
      <c r="D154" s="47"/>
      <c r="E154" s="47">
        <f>SUM(E148:E153)</f>
        <v>3615.5767999999998</v>
      </c>
      <c r="F154" s="53">
        <f>IFERROR(SUM(I148:I153)/E154,0)</f>
        <v>34.598858414634144</v>
      </c>
      <c r="G154" s="53">
        <f>IFERROR(SUM(J148:J153)/E154,0)</f>
        <v>0</v>
      </c>
      <c r="H154" s="53">
        <f>IFERROR(SUM(K148:K153)/E154,0)</f>
        <v>6.3696308292682922</v>
      </c>
      <c r="I154" s="47">
        <f>SUM(I148:I153)</f>
        <v>125094.82979043599</v>
      </c>
      <c r="J154" s="47">
        <f>SUM(J148:J153)</f>
        <v>0</v>
      </c>
      <c r="K154" s="47">
        <f>SUM(K148:K153)</f>
        <v>23029.889450867198</v>
      </c>
      <c r="L154" s="43"/>
      <c r="M154" s="47">
        <f>Target!C28</f>
        <v>3615.5767999999998</v>
      </c>
      <c r="N154" s="47">
        <f>IF(M154="","",E154-M154)</f>
        <v>0</v>
      </c>
      <c r="O154" s="43"/>
      <c r="P154" s="49"/>
      <c r="Q154" s="49"/>
    </row>
    <row r="155" spans="1:17" ht="15" thickTop="1" x14ac:dyDescent="0.3">
      <c r="A155" s="4" t="s">
        <v>175</v>
      </c>
      <c r="B155" s="4" t="s">
        <v>176</v>
      </c>
      <c r="C155" s="8"/>
      <c r="D155" s="48"/>
      <c r="E155" s="48"/>
      <c r="F155" s="54"/>
      <c r="G155" s="54"/>
      <c r="H155" s="54"/>
      <c r="I155" s="48"/>
      <c r="J155" s="48"/>
      <c r="K155" s="48"/>
      <c r="L155" s="4"/>
      <c r="M155" s="48"/>
      <c r="N155" s="48"/>
      <c r="O155" s="4"/>
      <c r="P155" s="49"/>
      <c r="Q155" s="49"/>
    </row>
    <row r="156" spans="1:17" x14ac:dyDescent="0.3">
      <c r="A156">
        <v>71</v>
      </c>
      <c r="B156" t="s">
        <v>177</v>
      </c>
      <c r="C156" s="12">
        <v>1</v>
      </c>
      <c r="D156" s="46">
        <v>1653.4649999999999</v>
      </c>
      <c r="E156" s="49">
        <f>IFERROR(C156*D156,0)</f>
        <v>1653.4649999999999</v>
      </c>
      <c r="F156" s="52">
        <v>43.307088</v>
      </c>
      <c r="G156" s="52">
        <v>-3.9370079999999996</v>
      </c>
      <c r="H156" s="52">
        <v>7.5459319999999996</v>
      </c>
      <c r="I156" s="49">
        <f>IFERROR(E156*F156,0)</f>
        <v>71606.754259919995</v>
      </c>
      <c r="J156" s="49">
        <f>IFERROR(E156*G156,0)</f>
        <v>-6509.7049327199993</v>
      </c>
      <c r="K156" s="49">
        <f>IFERROR(E156*H156,0)</f>
        <v>12476.934454379998</v>
      </c>
      <c r="L156" t="s">
        <v>262</v>
      </c>
      <c r="M156" s="49"/>
      <c r="N156" s="49"/>
      <c r="O156" t="s">
        <v>419</v>
      </c>
      <c r="P156" s="49">
        <f>E156*0.0125</f>
        <v>20.668312499999999</v>
      </c>
      <c r="Q156" s="49">
        <f>E156*0.0125</f>
        <v>20.668312499999999</v>
      </c>
    </row>
    <row r="157" spans="1:17" x14ac:dyDescent="0.3">
      <c r="A157">
        <v>71</v>
      </c>
      <c r="B157" t="s">
        <v>178</v>
      </c>
      <c r="C157" s="12">
        <v>1</v>
      </c>
      <c r="D157" s="46">
        <v>1653.4649999999999</v>
      </c>
      <c r="E157" s="49">
        <f>IFERROR(C157*D157,0)</f>
        <v>1653.4649999999999</v>
      </c>
      <c r="F157" s="52">
        <v>43.307088</v>
      </c>
      <c r="G157" s="52">
        <v>3.9370079999999996</v>
      </c>
      <c r="H157" s="52">
        <v>7.5459319999999996</v>
      </c>
      <c r="I157" s="49">
        <f>IFERROR(E157*F157,0)</f>
        <v>71606.754259919995</v>
      </c>
      <c r="J157" s="49">
        <f>IFERROR(E157*G157,0)</f>
        <v>6509.7049327199993</v>
      </c>
      <c r="K157" s="49">
        <f>IFERROR(E157*H157,0)</f>
        <v>12476.934454379998</v>
      </c>
      <c r="L157" t="s">
        <v>262</v>
      </c>
      <c r="M157" s="49"/>
      <c r="N157" s="49"/>
      <c r="O157" t="s">
        <v>419</v>
      </c>
      <c r="P157" s="49">
        <f>E157*0.0125</f>
        <v>20.668312499999999</v>
      </c>
      <c r="Q157" s="49">
        <f>E157*0.0125</f>
        <v>20.668312499999999</v>
      </c>
    </row>
    <row r="158" spans="1:17" x14ac:dyDescent="0.3">
      <c r="A158">
        <v>71</v>
      </c>
      <c r="B158" t="s">
        <v>179</v>
      </c>
      <c r="C158" s="12">
        <v>1</v>
      </c>
      <c r="D158" s="46">
        <v>88.184799999999996</v>
      </c>
      <c r="E158" s="49">
        <f>IFERROR(C158*D158,0)</f>
        <v>88.184799999999996</v>
      </c>
      <c r="F158" s="52">
        <v>42.650919999999999</v>
      </c>
      <c r="G158" s="52">
        <v>-3.9370079999999996</v>
      </c>
      <c r="H158" s="52">
        <v>7.5459319999999996</v>
      </c>
      <c r="I158" s="49">
        <f>IFERROR(E158*F158,0)</f>
        <v>3761.1628500159995</v>
      </c>
      <c r="J158" s="49">
        <f>IFERROR(E158*G158,0)</f>
        <v>-347.18426307839997</v>
      </c>
      <c r="K158" s="49">
        <f>IFERROR(E158*H158,0)</f>
        <v>665.43650423359998</v>
      </c>
      <c r="M158" s="49"/>
      <c r="N158" s="49"/>
      <c r="O158" t="s">
        <v>420</v>
      </c>
      <c r="P158" s="49">
        <f>E158*0.03</f>
        <v>2.6455439999999997</v>
      </c>
      <c r="Q158" s="49">
        <f>E158*0.0125</f>
        <v>1.1023099999999999</v>
      </c>
    </row>
    <row r="159" spans="1:17" x14ac:dyDescent="0.3">
      <c r="A159">
        <v>71</v>
      </c>
      <c r="B159" t="s">
        <v>180</v>
      </c>
      <c r="C159" s="12">
        <v>1</v>
      </c>
      <c r="D159" s="46">
        <v>88.184799999999996</v>
      </c>
      <c r="E159" s="49">
        <f>IFERROR(C159*D159,0)</f>
        <v>88.184799999999996</v>
      </c>
      <c r="F159" s="52">
        <v>42.650919999999999</v>
      </c>
      <c r="G159" s="52">
        <v>3.9370079999999996</v>
      </c>
      <c r="H159" s="52">
        <v>7.5459319999999996</v>
      </c>
      <c r="I159" s="49">
        <f>IFERROR(E159*F159,0)</f>
        <v>3761.1628500159995</v>
      </c>
      <c r="J159" s="49">
        <f>IFERROR(E159*G159,0)</f>
        <v>347.18426307839997</v>
      </c>
      <c r="K159" s="49">
        <f>IFERROR(E159*H159,0)</f>
        <v>665.43650423359998</v>
      </c>
      <c r="M159" s="49"/>
      <c r="N159" s="49"/>
      <c r="O159" t="s">
        <v>421</v>
      </c>
      <c r="P159" s="49">
        <f>E159*0.03</f>
        <v>2.6455439999999997</v>
      </c>
      <c r="Q159" s="49">
        <f>E159*0.0125</f>
        <v>1.1023099999999999</v>
      </c>
    </row>
    <row r="160" spans="1:17" ht="15" thickBot="1" x14ac:dyDescent="0.35">
      <c r="A160" s="43"/>
      <c r="B160" s="43" t="s">
        <v>181</v>
      </c>
      <c r="C160" s="44"/>
      <c r="D160" s="47"/>
      <c r="E160" s="47">
        <f>SUM(E156:E159)</f>
        <v>3483.2995999999998</v>
      </c>
      <c r="F160" s="53">
        <f>IFERROR(SUM(I156:I159)/E160,0)</f>
        <v>43.273864303797467</v>
      </c>
      <c r="G160" s="53">
        <f>IFERROR(SUM(J156:J159)/E160,0)</f>
        <v>0</v>
      </c>
      <c r="H160" s="53">
        <f>IFERROR(SUM(K156:K159)/E160,0)</f>
        <v>7.5459319999999988</v>
      </c>
      <c r="I160" s="47">
        <f>SUM(I156:I159)</f>
        <v>150735.83421987199</v>
      </c>
      <c r="J160" s="47">
        <f>SUM(J156:J159)</f>
        <v>0</v>
      </c>
      <c r="K160" s="47">
        <f>SUM(K156:K159)</f>
        <v>26284.741917227195</v>
      </c>
      <c r="L160" s="43"/>
      <c r="M160" s="47">
        <f>Target!C29</f>
        <v>3483.2995999999998</v>
      </c>
      <c r="N160" s="47">
        <f>IF(M160="","",E160-M160)</f>
        <v>0</v>
      </c>
      <c r="O160" s="43"/>
      <c r="P160" s="49"/>
      <c r="Q160" s="49"/>
    </row>
    <row r="161" spans="1:17" ht="15" thickTop="1" x14ac:dyDescent="0.3">
      <c r="A161" s="4" t="s">
        <v>182</v>
      </c>
      <c r="B161" s="4" t="s">
        <v>183</v>
      </c>
      <c r="C161" s="8"/>
      <c r="D161" s="48"/>
      <c r="E161" s="48"/>
      <c r="F161" s="54"/>
      <c r="G161" s="54"/>
      <c r="H161" s="54"/>
      <c r="I161" s="48"/>
      <c r="J161" s="48"/>
      <c r="K161" s="48"/>
      <c r="L161" s="4"/>
      <c r="M161" s="48"/>
      <c r="N161" s="48"/>
      <c r="O161" s="4"/>
      <c r="P161" s="49"/>
      <c r="Q161" s="49"/>
    </row>
    <row r="162" spans="1:17" x14ac:dyDescent="0.3">
      <c r="A162">
        <v>73</v>
      </c>
      <c r="B162" t="s">
        <v>184</v>
      </c>
      <c r="C162" s="12">
        <v>1</v>
      </c>
      <c r="D162" s="46">
        <v>17.636959999999998</v>
      </c>
      <c r="E162" s="49">
        <f>IFERROR(C162*D162,0)</f>
        <v>17.636959999999998</v>
      </c>
      <c r="F162" s="52">
        <v>42.650919999999999</v>
      </c>
      <c r="G162" s="52">
        <v>-3.9370079999999996</v>
      </c>
      <c r="H162" s="52">
        <v>7.5459319999999996</v>
      </c>
      <c r="I162" s="49">
        <f>IFERROR(E162*F162,0)</f>
        <v>752.23257000319995</v>
      </c>
      <c r="J162" s="49">
        <f>IFERROR(E162*G162,0)</f>
        <v>-69.436852615679982</v>
      </c>
      <c r="K162" s="49">
        <f>IFERROR(E162*H162,0)</f>
        <v>133.08730084671998</v>
      </c>
      <c r="M162" s="49"/>
      <c r="N162" s="49"/>
      <c r="O162" t="s">
        <v>422</v>
      </c>
      <c r="P162" s="49">
        <f>E162*0.0125</f>
        <v>0.22046199999999999</v>
      </c>
      <c r="Q162" s="49">
        <f>E162*0.0125</f>
        <v>0.22046199999999999</v>
      </c>
    </row>
    <row r="163" spans="1:17" x14ac:dyDescent="0.3">
      <c r="A163">
        <v>73</v>
      </c>
      <c r="B163" t="s">
        <v>185</v>
      </c>
      <c r="C163" s="12">
        <v>1</v>
      </c>
      <c r="D163" s="46">
        <v>17.636959999999998</v>
      </c>
      <c r="E163" s="49">
        <f>IFERROR(C163*D163,0)</f>
        <v>17.636959999999998</v>
      </c>
      <c r="F163" s="52">
        <v>42.650919999999999</v>
      </c>
      <c r="G163" s="52">
        <v>3.9370079999999996</v>
      </c>
      <c r="H163" s="52">
        <v>7.5459319999999996</v>
      </c>
      <c r="I163" s="49">
        <f>IFERROR(E163*F163,0)</f>
        <v>752.23257000319995</v>
      </c>
      <c r="J163" s="49">
        <f>IFERROR(E163*G163,0)</f>
        <v>69.436852615679982</v>
      </c>
      <c r="K163" s="49">
        <f>IFERROR(E163*H163,0)</f>
        <v>133.08730084671998</v>
      </c>
      <c r="M163" s="49"/>
      <c r="N163" s="49"/>
      <c r="O163" t="s">
        <v>422</v>
      </c>
      <c r="P163" s="49">
        <f>E163*0.0125</f>
        <v>0.22046199999999999</v>
      </c>
      <c r="Q163" s="49">
        <f>E163*0.0125</f>
        <v>0.22046199999999999</v>
      </c>
    </row>
    <row r="164" spans="1:17" x14ac:dyDescent="0.3">
      <c r="A164">
        <v>73</v>
      </c>
      <c r="B164" t="s">
        <v>186</v>
      </c>
      <c r="C164" s="12">
        <v>1</v>
      </c>
      <c r="D164" s="46">
        <v>26.455439999999996</v>
      </c>
      <c r="E164" s="49">
        <f>IFERROR(C164*D164,0)</f>
        <v>26.455439999999996</v>
      </c>
      <c r="F164" s="52">
        <v>42.650919999999999</v>
      </c>
      <c r="G164" s="52">
        <v>-3.9370079999999996</v>
      </c>
      <c r="H164" s="52">
        <v>7.5459319999999996</v>
      </c>
      <c r="I164" s="49">
        <f>IFERROR(E164*F164,0)</f>
        <v>1128.3488550047998</v>
      </c>
      <c r="J164" s="49">
        <f>IFERROR(E164*G164,0)</f>
        <v>-104.15527892351997</v>
      </c>
      <c r="K164" s="49">
        <f>IFERROR(E164*H164,0)</f>
        <v>199.63095127007995</v>
      </c>
      <c r="M164" s="49"/>
      <c r="N164" s="49"/>
      <c r="O164" t="s">
        <v>423</v>
      </c>
      <c r="P164" s="49">
        <f>E164*0.015</f>
        <v>0.3968315999999999</v>
      </c>
      <c r="Q164" s="49">
        <f>E164*0.0125</f>
        <v>0.33069299999999996</v>
      </c>
    </row>
    <row r="165" spans="1:17" x14ac:dyDescent="0.3">
      <c r="A165">
        <v>73</v>
      </c>
      <c r="B165" t="s">
        <v>187</v>
      </c>
      <c r="C165" s="12">
        <v>1</v>
      </c>
      <c r="D165" s="46">
        <v>26.455439999999996</v>
      </c>
      <c r="E165" s="49">
        <f>IFERROR(C165*D165,0)</f>
        <v>26.455439999999996</v>
      </c>
      <c r="F165" s="52">
        <v>42.650919999999999</v>
      </c>
      <c r="G165" s="52">
        <v>3.9370079999999996</v>
      </c>
      <c r="H165" s="52">
        <v>7.5459319999999996</v>
      </c>
      <c r="I165" s="49">
        <f>IFERROR(E165*F165,0)</f>
        <v>1128.3488550047998</v>
      </c>
      <c r="J165" s="49">
        <f>IFERROR(E165*G165,0)</f>
        <v>104.15527892351997</v>
      </c>
      <c r="K165" s="49">
        <f>IFERROR(E165*H165,0)</f>
        <v>199.63095127007995</v>
      </c>
      <c r="M165" s="49"/>
      <c r="N165" s="49"/>
      <c r="O165" t="s">
        <v>423</v>
      </c>
      <c r="P165" s="49">
        <f>E165*0.015</f>
        <v>0.3968315999999999</v>
      </c>
      <c r="Q165" s="49">
        <f>E165*0.0125</f>
        <v>0.33069299999999996</v>
      </c>
    </row>
    <row r="166" spans="1:17" ht="15" thickBot="1" x14ac:dyDescent="0.35">
      <c r="A166" s="43"/>
      <c r="B166" s="43" t="s">
        <v>188</v>
      </c>
      <c r="C166" s="44"/>
      <c r="D166" s="47"/>
      <c r="E166" s="47">
        <f>SUM(E162:E165)</f>
        <v>88.184799999999996</v>
      </c>
      <c r="F166" s="53">
        <f>IFERROR(SUM(I162:I165)/E166,0)</f>
        <v>42.650919999999999</v>
      </c>
      <c r="G166" s="53">
        <f>IFERROR(SUM(J162:J165)/E166,0)</f>
        <v>0</v>
      </c>
      <c r="H166" s="53">
        <f>IFERROR(SUM(K162:K165)/E166,0)</f>
        <v>7.5459319999999988</v>
      </c>
      <c r="I166" s="47">
        <f>SUM(I162:I165)</f>
        <v>3761.1628500159995</v>
      </c>
      <c r="J166" s="47">
        <f>SUM(J162:J165)</f>
        <v>0</v>
      </c>
      <c r="K166" s="47">
        <f>SUM(K162:K165)</f>
        <v>665.43650423359986</v>
      </c>
      <c r="L166" s="43"/>
      <c r="M166" s="47">
        <f>Target!C30</f>
        <v>85.98017999999999</v>
      </c>
      <c r="N166" s="47">
        <f>IF(M166="","",E166-M166)</f>
        <v>2.2046200000000056</v>
      </c>
      <c r="O166" s="43"/>
      <c r="P166" s="49"/>
      <c r="Q166" s="49"/>
    </row>
    <row r="167" spans="1:17" ht="15" thickTop="1" x14ac:dyDescent="0.3">
      <c r="A167" s="4" t="s">
        <v>189</v>
      </c>
      <c r="B167" s="4" t="s">
        <v>190</v>
      </c>
      <c r="C167" s="8"/>
      <c r="D167" s="48"/>
      <c r="E167" s="48"/>
      <c r="F167" s="54"/>
      <c r="G167" s="54"/>
      <c r="H167" s="54"/>
      <c r="I167" s="48"/>
      <c r="J167" s="48"/>
      <c r="K167" s="48"/>
      <c r="L167" s="4"/>
      <c r="M167" s="48"/>
      <c r="N167" s="48"/>
      <c r="O167" s="4"/>
      <c r="P167" s="49"/>
      <c r="Q167" s="49"/>
    </row>
    <row r="168" spans="1:17" x14ac:dyDescent="0.3">
      <c r="A168">
        <v>75</v>
      </c>
      <c r="B168" t="s">
        <v>191</v>
      </c>
      <c r="C168" s="12">
        <v>4</v>
      </c>
      <c r="D168" s="46">
        <v>8.8184799999999992</v>
      </c>
      <c r="E168" s="49">
        <f>IFERROR(C168*D168,0)</f>
        <v>35.273919999999997</v>
      </c>
      <c r="F168" s="52">
        <v>42.650919999999999</v>
      </c>
      <c r="G168" s="52">
        <v>0</v>
      </c>
      <c r="H168" s="52">
        <v>7.5459319999999996</v>
      </c>
      <c r="I168" s="49">
        <f>IFERROR(E168*F168,0)</f>
        <v>1504.4651400063999</v>
      </c>
      <c r="J168" s="49">
        <f>IFERROR(E168*G168,0)</f>
        <v>0</v>
      </c>
      <c r="K168" s="49">
        <f>IFERROR(E168*H168,0)</f>
        <v>266.17460169343997</v>
      </c>
      <c r="M168" s="49"/>
      <c r="N168" s="49"/>
      <c r="O168" t="s">
        <v>424</v>
      </c>
      <c r="P168" s="49">
        <f>E168*0.02</f>
        <v>0.70547839999999995</v>
      </c>
      <c r="Q168" s="49">
        <f>E168*0.0125</f>
        <v>0.44092399999999998</v>
      </c>
    </row>
    <row r="169" spans="1:17" x14ac:dyDescent="0.3">
      <c r="A169">
        <v>75</v>
      </c>
      <c r="B169" t="s">
        <v>192</v>
      </c>
      <c r="C169" s="12">
        <v>2</v>
      </c>
      <c r="D169" s="46">
        <v>13.227719999999998</v>
      </c>
      <c r="E169" s="49">
        <f>IFERROR(C169*D169,0)</f>
        <v>26.455439999999996</v>
      </c>
      <c r="F169" s="52">
        <v>42.650919999999999</v>
      </c>
      <c r="G169" s="52">
        <v>0</v>
      </c>
      <c r="H169" s="52">
        <v>7.5459319999999996</v>
      </c>
      <c r="I169" s="49">
        <f>IFERROR(E169*F169,0)</f>
        <v>1128.3488550047998</v>
      </c>
      <c r="J169" s="49">
        <f>IFERROR(E169*G169,0)</f>
        <v>0</v>
      </c>
      <c r="K169" s="49">
        <f>IFERROR(E169*H169,0)</f>
        <v>199.63095127007995</v>
      </c>
      <c r="L169" t="s">
        <v>263</v>
      </c>
      <c r="M169" s="49"/>
      <c r="N169" s="49"/>
      <c r="O169" t="s">
        <v>425</v>
      </c>
      <c r="P169" s="49">
        <f>E169*0.02</f>
        <v>0.52910879999999993</v>
      </c>
      <c r="Q169" s="49">
        <f>E169*0.0125</f>
        <v>0.33069299999999996</v>
      </c>
    </row>
    <row r="170" spans="1:17" ht="15" thickBot="1" x14ac:dyDescent="0.35">
      <c r="A170" s="43"/>
      <c r="B170" s="43" t="s">
        <v>193</v>
      </c>
      <c r="C170" s="44"/>
      <c r="D170" s="47"/>
      <c r="E170" s="47">
        <f>SUM(E168:E169)</f>
        <v>61.729359999999993</v>
      </c>
      <c r="F170" s="53">
        <f>IFERROR(SUM(I168:I169)/E170,0)</f>
        <v>42.650920000000006</v>
      </c>
      <c r="G170" s="53">
        <f>IFERROR(SUM(J168:J169)/E170,0)</f>
        <v>0</v>
      </c>
      <c r="H170" s="53">
        <f>IFERROR(SUM(K168:K169)/E170,0)</f>
        <v>7.5459319999999996</v>
      </c>
      <c r="I170" s="47">
        <f>SUM(I168:I169)</f>
        <v>2632.8139950111999</v>
      </c>
      <c r="J170" s="47">
        <f>SUM(J168:J169)</f>
        <v>0</v>
      </c>
      <c r="K170" s="47">
        <f>SUM(K168:K169)</f>
        <v>465.80555296351992</v>
      </c>
      <c r="L170" s="43"/>
      <c r="M170" s="47">
        <f>Target!C31</f>
        <v>59.524739999999994</v>
      </c>
      <c r="N170" s="47">
        <f>IF(M170="","",E170-M170)</f>
        <v>2.2046199999999985</v>
      </c>
      <c r="O170" s="43"/>
      <c r="P170" s="49"/>
      <c r="Q170" s="49"/>
    </row>
    <row r="171" spans="1:17" ht="15" thickTop="1" x14ac:dyDescent="0.3">
      <c r="A171" s="4" t="s">
        <v>194</v>
      </c>
      <c r="B171" s="4" t="s">
        <v>195</v>
      </c>
      <c r="C171" s="8"/>
      <c r="D171" s="48"/>
      <c r="E171" s="48"/>
      <c r="F171" s="54"/>
      <c r="G171" s="54"/>
      <c r="H171" s="54"/>
      <c r="I171" s="48"/>
      <c r="J171" s="48"/>
      <c r="K171" s="48"/>
      <c r="L171" s="4"/>
      <c r="M171" s="48"/>
      <c r="N171" s="48"/>
      <c r="O171" s="4"/>
      <c r="P171" s="49"/>
      <c r="Q171" s="49"/>
    </row>
    <row r="172" spans="1:17" x14ac:dyDescent="0.3">
      <c r="A172">
        <v>78</v>
      </c>
      <c r="B172" t="s">
        <v>196</v>
      </c>
      <c r="C172" s="12">
        <v>1</v>
      </c>
      <c r="D172" s="46">
        <v>77.161699999999996</v>
      </c>
      <c r="E172" s="49">
        <f>IFERROR(C172*D172,0)</f>
        <v>77.161699999999996</v>
      </c>
      <c r="F172" s="52">
        <v>45.931759999999997</v>
      </c>
      <c r="G172" s="52">
        <v>-3.9370079999999996</v>
      </c>
      <c r="H172" s="52">
        <v>7.5459319999999996</v>
      </c>
      <c r="I172" s="49">
        <f>IFERROR(E172*F172,0)</f>
        <v>3544.1726855919997</v>
      </c>
      <c r="J172" s="49">
        <f>IFERROR(E172*G172,0)</f>
        <v>-303.78623019359998</v>
      </c>
      <c r="K172" s="49">
        <f>IFERROR(E172*H172,0)</f>
        <v>582.25694120439994</v>
      </c>
      <c r="M172" s="49"/>
      <c r="N172" s="49"/>
      <c r="O172" t="s">
        <v>426</v>
      </c>
      <c r="P172" s="49">
        <f>E172*0.025</f>
        <v>1.9290425</v>
      </c>
      <c r="Q172" s="49">
        <f>E172*0.0125</f>
        <v>0.96452125</v>
      </c>
    </row>
    <row r="173" spans="1:17" x14ac:dyDescent="0.3">
      <c r="A173">
        <v>78</v>
      </c>
      <c r="B173" t="s">
        <v>197</v>
      </c>
      <c r="C173" s="12">
        <v>1</v>
      </c>
      <c r="D173" s="46">
        <v>77.161699999999996</v>
      </c>
      <c r="E173" s="49">
        <f>IFERROR(C173*D173,0)</f>
        <v>77.161699999999996</v>
      </c>
      <c r="F173" s="52">
        <v>45.931759999999997</v>
      </c>
      <c r="G173" s="52">
        <v>3.9370079999999996</v>
      </c>
      <c r="H173" s="52">
        <v>7.5459319999999996</v>
      </c>
      <c r="I173" s="49">
        <f>IFERROR(E173*F173,0)</f>
        <v>3544.1726855919997</v>
      </c>
      <c r="J173" s="49">
        <f>IFERROR(E173*G173,0)</f>
        <v>303.78623019359998</v>
      </c>
      <c r="K173" s="49">
        <f>IFERROR(E173*H173,0)</f>
        <v>582.25694120439994</v>
      </c>
      <c r="M173" s="49"/>
      <c r="N173" s="49"/>
      <c r="O173" t="s">
        <v>427</v>
      </c>
      <c r="P173" s="49">
        <f>E173*0.025</f>
        <v>1.9290425</v>
      </c>
      <c r="Q173" s="49">
        <f>E173*0.0125</f>
        <v>0.96452125</v>
      </c>
    </row>
    <row r="174" spans="1:17" x14ac:dyDescent="0.3">
      <c r="A174">
        <v>78</v>
      </c>
      <c r="B174" t="s">
        <v>198</v>
      </c>
      <c r="C174" s="12">
        <v>1</v>
      </c>
      <c r="D174" s="46">
        <v>198.41579999999999</v>
      </c>
      <c r="E174" s="49">
        <f>IFERROR(C174*D174,0)</f>
        <v>198.41579999999999</v>
      </c>
      <c r="F174" s="52">
        <v>45.275592000000003</v>
      </c>
      <c r="G174" s="52">
        <v>-3.9370079999999996</v>
      </c>
      <c r="H174" s="52">
        <v>7.5459319999999996</v>
      </c>
      <c r="I174" s="49">
        <f>IFERROR(E174*F174,0)</f>
        <v>8983.3928071535993</v>
      </c>
      <c r="J174" s="49">
        <f>IFERROR(E174*G174,0)</f>
        <v>-781.16459192639991</v>
      </c>
      <c r="K174" s="49">
        <f>IFERROR(E174*H174,0)</f>
        <v>1497.2321345255998</v>
      </c>
      <c r="M174" s="49"/>
      <c r="N174" s="49"/>
      <c r="O174" t="s">
        <v>428</v>
      </c>
      <c r="P174" s="49">
        <f>E174*0.03</f>
        <v>5.9524739999999996</v>
      </c>
      <c r="Q174" s="49">
        <f>E174*0.0125</f>
        <v>2.4801975000000001</v>
      </c>
    </row>
    <row r="175" spans="1:17" x14ac:dyDescent="0.3">
      <c r="A175">
        <v>78</v>
      </c>
      <c r="B175" t="s">
        <v>199</v>
      </c>
      <c r="C175" s="12">
        <v>1</v>
      </c>
      <c r="D175" s="46">
        <v>198.41579999999999</v>
      </c>
      <c r="E175" s="49">
        <f>IFERROR(C175*D175,0)</f>
        <v>198.41579999999999</v>
      </c>
      <c r="F175" s="52">
        <v>45.275592000000003</v>
      </c>
      <c r="G175" s="52">
        <v>3.9370079999999996</v>
      </c>
      <c r="H175" s="52">
        <v>7.5459319999999996</v>
      </c>
      <c r="I175" s="49">
        <f>IFERROR(E175*F175,0)</f>
        <v>8983.3928071535993</v>
      </c>
      <c r="J175" s="49">
        <f>IFERROR(E175*G175,0)</f>
        <v>781.16459192639991</v>
      </c>
      <c r="K175" s="49">
        <f>IFERROR(E175*H175,0)</f>
        <v>1497.2321345255998</v>
      </c>
      <c r="M175" s="49"/>
      <c r="N175" s="49"/>
      <c r="O175" t="s">
        <v>429</v>
      </c>
      <c r="P175" s="49">
        <f>E175*0.03</f>
        <v>5.9524739999999996</v>
      </c>
      <c r="Q175" s="49">
        <f>E175*0.0125</f>
        <v>2.4801975000000001</v>
      </c>
    </row>
    <row r="176" spans="1:17" ht="15" thickBot="1" x14ac:dyDescent="0.35">
      <c r="A176" s="43"/>
      <c r="B176" s="43" t="s">
        <v>200</v>
      </c>
      <c r="C176" s="44"/>
      <c r="D176" s="47"/>
      <c r="E176" s="47">
        <f>SUM(E172:E175)</f>
        <v>551.15499999999997</v>
      </c>
      <c r="F176" s="53">
        <f>IFERROR(SUM(I172:I175)/E176,0)</f>
        <v>45.459319039999997</v>
      </c>
      <c r="G176" s="53">
        <f>IFERROR(SUM(J172:J175)/E176,0)</f>
        <v>0</v>
      </c>
      <c r="H176" s="53">
        <f>IFERROR(SUM(K172:K175)/E176,0)</f>
        <v>7.5459319999999988</v>
      </c>
      <c r="I176" s="47">
        <f>SUM(I172:I175)</f>
        <v>25055.130985491196</v>
      </c>
      <c r="J176" s="47">
        <f>SUM(J172:J175)</f>
        <v>0</v>
      </c>
      <c r="K176" s="47">
        <f>SUM(K172:K175)</f>
        <v>4158.978151459999</v>
      </c>
      <c r="L176" s="43"/>
      <c r="M176" s="47">
        <f>Target!C32</f>
        <v>540.13189999999997</v>
      </c>
      <c r="N176" s="47">
        <f>IF(M176="","",E176-M176)</f>
        <v>11.023099999999999</v>
      </c>
      <c r="O176" s="43"/>
      <c r="P176" s="49"/>
      <c r="Q176" s="49"/>
    </row>
    <row r="177" spans="1:17" ht="15" thickTop="1" x14ac:dyDescent="0.3">
      <c r="A177" s="4" t="s">
        <v>201</v>
      </c>
      <c r="B177" s="4" t="s">
        <v>202</v>
      </c>
      <c r="C177" s="8"/>
      <c r="D177" s="48"/>
      <c r="E177" s="48"/>
      <c r="F177" s="54"/>
      <c r="G177" s="54"/>
      <c r="H177" s="54"/>
      <c r="I177" s="48"/>
      <c r="J177" s="48"/>
      <c r="K177" s="48"/>
      <c r="L177" s="4"/>
      <c r="M177" s="48"/>
      <c r="N177" s="48"/>
      <c r="O177" s="4"/>
      <c r="P177" s="49"/>
      <c r="Q177" s="49"/>
    </row>
    <row r="178" spans="1:17" x14ac:dyDescent="0.3">
      <c r="A178">
        <v>79</v>
      </c>
      <c r="B178" t="s">
        <v>203</v>
      </c>
      <c r="C178" s="12">
        <v>1</v>
      </c>
      <c r="D178" s="46">
        <v>26.455439999999996</v>
      </c>
      <c r="E178" s="49">
        <f>IFERROR(C178*D178,0)</f>
        <v>26.455439999999996</v>
      </c>
      <c r="F178" s="52">
        <v>43.307088</v>
      </c>
      <c r="G178" s="52">
        <v>-3.9370079999999996</v>
      </c>
      <c r="H178" s="52">
        <v>7.8740159999999992</v>
      </c>
      <c r="I178" s="49">
        <f>IFERROR(E178*F178,0)</f>
        <v>1145.7080681587199</v>
      </c>
      <c r="J178" s="49">
        <f>IFERROR(E178*G178,0)</f>
        <v>-104.15527892351997</v>
      </c>
      <c r="K178" s="49">
        <f>IFERROR(E178*H178,0)</f>
        <v>208.31055784703995</v>
      </c>
      <c r="M178" s="49"/>
      <c r="N178" s="49"/>
      <c r="O178" t="s">
        <v>430</v>
      </c>
      <c r="P178" s="49">
        <f>E178*0.015</f>
        <v>0.3968315999999999</v>
      </c>
      <c r="Q178" s="49">
        <f>E178*0.0125</f>
        <v>0.33069299999999996</v>
      </c>
    </row>
    <row r="179" spans="1:17" x14ac:dyDescent="0.3">
      <c r="A179">
        <v>79</v>
      </c>
      <c r="B179" t="s">
        <v>204</v>
      </c>
      <c r="C179" s="12">
        <v>1</v>
      </c>
      <c r="D179" s="46">
        <v>26.455439999999996</v>
      </c>
      <c r="E179" s="49">
        <f>IFERROR(C179*D179,0)</f>
        <v>26.455439999999996</v>
      </c>
      <c r="F179" s="52">
        <v>43.307088</v>
      </c>
      <c r="G179" s="52">
        <v>3.9370079999999996</v>
      </c>
      <c r="H179" s="52">
        <v>7.8740159999999992</v>
      </c>
      <c r="I179" s="49">
        <f>IFERROR(E179*F179,0)</f>
        <v>1145.7080681587199</v>
      </c>
      <c r="J179" s="49">
        <f>IFERROR(E179*G179,0)</f>
        <v>104.15527892351997</v>
      </c>
      <c r="K179" s="49">
        <f>IFERROR(E179*H179,0)</f>
        <v>208.31055784703995</v>
      </c>
      <c r="M179" s="49"/>
      <c r="N179" s="49"/>
      <c r="O179" t="s">
        <v>430</v>
      </c>
      <c r="P179" s="49">
        <f>E179*0.015</f>
        <v>0.3968315999999999</v>
      </c>
      <c r="Q179" s="49">
        <f>E179*0.0125</f>
        <v>0.33069299999999996</v>
      </c>
    </row>
    <row r="180" spans="1:17" x14ac:dyDescent="0.3">
      <c r="A180">
        <v>79</v>
      </c>
      <c r="B180" t="s">
        <v>205</v>
      </c>
      <c r="C180" s="12">
        <v>2</v>
      </c>
      <c r="D180" s="46">
        <v>17.636959999999998</v>
      </c>
      <c r="E180" s="49">
        <f>IFERROR(C180*D180,0)</f>
        <v>35.273919999999997</v>
      </c>
      <c r="F180" s="52">
        <v>44.291339999999998</v>
      </c>
      <c r="G180" s="52">
        <v>0</v>
      </c>
      <c r="H180" s="52">
        <v>7.5459319999999996</v>
      </c>
      <c r="I180" s="49">
        <f>IFERROR(E180*F180,0)</f>
        <v>1562.3291838527998</v>
      </c>
      <c r="J180" s="49">
        <f>IFERROR(E180*G180,0)</f>
        <v>0</v>
      </c>
      <c r="K180" s="49">
        <f>IFERROR(E180*H180,0)</f>
        <v>266.17460169343997</v>
      </c>
      <c r="M180" s="49"/>
      <c r="N180" s="49"/>
      <c r="O180" t="s">
        <v>431</v>
      </c>
      <c r="P180" s="49">
        <f>E180*0.02</f>
        <v>0.70547839999999995</v>
      </c>
      <c r="Q180" s="49">
        <f>E180*0.0125</f>
        <v>0.44092399999999998</v>
      </c>
    </row>
    <row r="181" spans="1:17" ht="15" thickBot="1" x14ac:dyDescent="0.35">
      <c r="A181" s="43"/>
      <c r="B181" s="43" t="s">
        <v>206</v>
      </c>
      <c r="C181" s="44"/>
      <c r="D181" s="47"/>
      <c r="E181" s="47">
        <f>SUM(E178:E180)</f>
        <v>88.184799999999996</v>
      </c>
      <c r="F181" s="53">
        <f>IFERROR(SUM(I178:I180)/E181,0)</f>
        <v>43.700788799999998</v>
      </c>
      <c r="G181" s="53">
        <f>IFERROR(SUM(J178:J180)/E181,0)</f>
        <v>0</v>
      </c>
      <c r="H181" s="53">
        <f>IFERROR(SUM(K178:K180)/E181,0)</f>
        <v>7.7427823999999985</v>
      </c>
      <c r="I181" s="47">
        <f>SUM(I178:I180)</f>
        <v>3853.7453201702397</v>
      </c>
      <c r="J181" s="47">
        <f>SUM(J178:J180)</f>
        <v>0</v>
      </c>
      <c r="K181" s="47">
        <f>SUM(K178:K180)</f>
        <v>682.79571738751986</v>
      </c>
      <c r="L181" s="43"/>
      <c r="M181" s="47">
        <f>Target!C33</f>
        <v>85.98017999999999</v>
      </c>
      <c r="N181" s="47">
        <f>IF(M181="","",E181-M181)</f>
        <v>2.2046200000000056</v>
      </c>
      <c r="O181" s="43"/>
      <c r="P181" s="49"/>
      <c r="Q181" s="49"/>
    </row>
    <row r="182" spans="1:17" ht="15" thickTop="1" x14ac:dyDescent="0.3">
      <c r="A182" s="4" t="s">
        <v>207</v>
      </c>
      <c r="B182" s="4" t="s">
        <v>208</v>
      </c>
      <c r="C182" s="8"/>
      <c r="D182" s="48"/>
      <c r="E182" s="48"/>
      <c r="F182" s="54"/>
      <c r="G182" s="54"/>
      <c r="H182" s="54"/>
      <c r="I182" s="48"/>
      <c r="J182" s="48"/>
      <c r="K182" s="48"/>
      <c r="L182" s="4"/>
      <c r="M182" s="48"/>
      <c r="N182" s="48"/>
      <c r="O182" s="4"/>
      <c r="P182" s="49"/>
      <c r="Q182" s="49"/>
    </row>
    <row r="183" spans="1:17" x14ac:dyDescent="0.3">
      <c r="A183">
        <v>80</v>
      </c>
      <c r="B183" t="s">
        <v>209</v>
      </c>
      <c r="C183" s="12">
        <v>1</v>
      </c>
      <c r="D183" s="46">
        <v>22.046199999999999</v>
      </c>
      <c r="E183" s="49">
        <f>IFERROR(C183*D183,0)</f>
        <v>22.046199999999999</v>
      </c>
      <c r="F183" s="52">
        <v>41.994752000000005</v>
      </c>
      <c r="G183" s="52">
        <v>-3.9370079999999996</v>
      </c>
      <c r="H183" s="52">
        <v>7.5459319999999996</v>
      </c>
      <c r="I183" s="49">
        <f>IFERROR(E183*F183,0)</f>
        <v>925.82470154240002</v>
      </c>
      <c r="J183" s="49">
        <f>IFERROR(E183*G183,0)</f>
        <v>-86.796065769599991</v>
      </c>
      <c r="K183" s="49">
        <f>IFERROR(E183*H183,0)</f>
        <v>166.35912605839999</v>
      </c>
      <c r="L183" t="s">
        <v>264</v>
      </c>
      <c r="M183" s="49"/>
      <c r="N183" s="49"/>
      <c r="O183" t="s">
        <v>432</v>
      </c>
      <c r="P183" s="49">
        <f>E183*0.015</f>
        <v>0.33069299999999996</v>
      </c>
      <c r="Q183" s="49">
        <f>E183*0.0125</f>
        <v>0.27557749999999998</v>
      </c>
    </row>
    <row r="184" spans="1:17" x14ac:dyDescent="0.3">
      <c r="A184">
        <v>80</v>
      </c>
      <c r="B184" t="s">
        <v>210</v>
      </c>
      <c r="C184" s="12">
        <v>1</v>
      </c>
      <c r="D184" s="46">
        <v>22.046199999999999</v>
      </c>
      <c r="E184" s="49">
        <f>IFERROR(C184*D184,0)</f>
        <v>22.046199999999999</v>
      </c>
      <c r="F184" s="52">
        <v>41.994752000000005</v>
      </c>
      <c r="G184" s="52">
        <v>3.9370079999999996</v>
      </c>
      <c r="H184" s="52">
        <v>7.5459319999999996</v>
      </c>
      <c r="I184" s="49">
        <f>IFERROR(E184*F184,0)</f>
        <v>925.82470154240002</v>
      </c>
      <c r="J184" s="49">
        <f>IFERROR(E184*G184,0)</f>
        <v>86.796065769599991</v>
      </c>
      <c r="K184" s="49">
        <f>IFERROR(E184*H184,0)</f>
        <v>166.35912605839999</v>
      </c>
      <c r="L184" t="s">
        <v>264</v>
      </c>
      <c r="M184" s="49"/>
      <c r="N184" s="49"/>
      <c r="O184" t="s">
        <v>432</v>
      </c>
      <c r="P184" s="49">
        <f>E184*0.015</f>
        <v>0.33069299999999996</v>
      </c>
      <c r="Q184" s="49">
        <f>E184*0.0125</f>
        <v>0.27557749999999998</v>
      </c>
    </row>
    <row r="185" spans="1:17" ht="15" thickBot="1" x14ac:dyDescent="0.35">
      <c r="A185" s="43"/>
      <c r="B185" s="43" t="s">
        <v>211</v>
      </c>
      <c r="C185" s="44"/>
      <c r="D185" s="47"/>
      <c r="E185" s="47">
        <f>SUM(E183:E184)</f>
        <v>44.092399999999998</v>
      </c>
      <c r="F185" s="53">
        <f>IFERROR(SUM(I183:I184)/E185,0)</f>
        <v>41.994752000000005</v>
      </c>
      <c r="G185" s="53">
        <f>IFERROR(SUM(J183:J184)/E185,0)</f>
        <v>0</v>
      </c>
      <c r="H185" s="53">
        <f>IFERROR(SUM(K183:K184)/E185,0)</f>
        <v>7.5459320000000005</v>
      </c>
      <c r="I185" s="47">
        <f>SUM(I183:I184)</f>
        <v>1851.6494030848</v>
      </c>
      <c r="J185" s="47">
        <f>SUM(J183:J184)</f>
        <v>0</v>
      </c>
      <c r="K185" s="47">
        <f>SUM(K183:K184)</f>
        <v>332.71825211679999</v>
      </c>
      <c r="L185" s="43"/>
      <c r="M185" s="47">
        <f>Target!C34</f>
        <v>44.092399999999998</v>
      </c>
      <c r="N185" s="47">
        <f>IF(M185="","",E185-M185)</f>
        <v>0</v>
      </c>
      <c r="O185" s="43"/>
      <c r="P185" s="49"/>
      <c r="Q185" s="49"/>
    </row>
    <row r="186" spans="1:17" ht="15" thickTop="1" x14ac:dyDescent="0.3">
      <c r="C186" s="7"/>
      <c r="D186" s="49"/>
      <c r="E186" s="49"/>
      <c r="F186" s="55"/>
      <c r="G186" s="55"/>
      <c r="H186" s="55"/>
      <c r="I186" s="49"/>
      <c r="J186" s="49"/>
      <c r="K186" s="49"/>
      <c r="M186" s="49"/>
      <c r="N186" s="49"/>
      <c r="P186" s="49"/>
      <c r="Q186" s="49"/>
    </row>
    <row r="187" spans="1:17" x14ac:dyDescent="0.3">
      <c r="C187" s="7"/>
      <c r="D187" s="49"/>
      <c r="E187" s="49"/>
      <c r="F187" s="55"/>
      <c r="G187" s="55"/>
      <c r="H187" s="55"/>
      <c r="I187" s="49"/>
      <c r="J187" s="49"/>
      <c r="K187" s="49"/>
      <c r="M187" s="49"/>
      <c r="N187" s="49"/>
      <c r="P187" s="49"/>
      <c r="Q187" s="49"/>
    </row>
    <row r="188" spans="1:17" x14ac:dyDescent="0.3">
      <c r="A188" s="2"/>
      <c r="B188" s="2" t="s">
        <v>212</v>
      </c>
      <c r="C188" s="9"/>
      <c r="D188" s="50"/>
      <c r="E188" s="50"/>
      <c r="F188" s="56"/>
      <c r="G188" s="56"/>
      <c r="H188" s="56"/>
      <c r="I188" s="50"/>
      <c r="J188" s="50"/>
      <c r="K188" s="50"/>
      <c r="L188" s="2"/>
      <c r="M188" s="50"/>
      <c r="N188" s="50"/>
      <c r="O188" s="2"/>
      <c r="P188" s="49"/>
      <c r="Q188" s="49"/>
    </row>
    <row r="189" spans="1:17" x14ac:dyDescent="0.3">
      <c r="A189" s="6"/>
      <c r="B189" s="6" t="s">
        <v>323</v>
      </c>
      <c r="C189" s="10"/>
      <c r="D189" s="10"/>
      <c r="E189" s="10">
        <f>E15+E20+E26+E34+E43+E49+E60+E67+E73+E78+E82+E89+E94+E101+E105+E109+E113+E118+E126+E132+E138+E142+E146+E154+E160+E166+E170+E176+E181+E185</f>
        <v>38122.289040000003</v>
      </c>
      <c r="F189" s="11"/>
      <c r="G189" s="11"/>
      <c r="H189" s="11"/>
      <c r="I189" s="10"/>
      <c r="J189" s="10"/>
      <c r="K189" s="10"/>
      <c r="L189" s="6"/>
      <c r="M189" s="6"/>
      <c r="N189" s="6"/>
      <c r="O189" s="6"/>
    </row>
    <row r="190" spans="1:17" x14ac:dyDescent="0.3">
      <c r="A190" s="6"/>
      <c r="B190" s="6" t="s">
        <v>434</v>
      </c>
      <c r="C190" s="10"/>
      <c r="D190" s="10"/>
      <c r="E190" s="10"/>
      <c r="F190" s="11"/>
      <c r="G190" s="11"/>
      <c r="H190" s="11"/>
      <c r="I190" s="10">
        <f>I15+I20+I26+I34+I43+I49+I60+I67+I73+I78+I82+I89+I94+I101+I105+I109+I113+I118+I126+I132+I138+I142+I146+I154+I160+I166+I170+I176+I181+I185</f>
        <v>1389876.2506768259</v>
      </c>
      <c r="J190" s="10"/>
      <c r="K190" s="10"/>
      <c r="L190" s="6"/>
      <c r="M190" s="6"/>
      <c r="N190" s="6"/>
      <c r="O190" s="6"/>
    </row>
    <row r="191" spans="1:17" x14ac:dyDescent="0.3">
      <c r="A191" s="6"/>
      <c r="B191" s="6" t="s">
        <v>435</v>
      </c>
      <c r="C191" s="10"/>
      <c r="D191" s="10"/>
      <c r="E191" s="10"/>
      <c r="F191" s="11"/>
      <c r="G191" s="11"/>
      <c r="H191" s="11"/>
      <c r="I191" s="10"/>
      <c r="J191" s="10">
        <f>J15+J20+J26+J34+J43+J49+J60+J67+J73+J78+J82+J89+J94+J101+J105+J109+J113+J118+J126+J132+J138+J142+J146+J154+J160+J166+J170+J176+J181+J185</f>
        <v>-602.50935655064006</v>
      </c>
      <c r="K191" s="10"/>
      <c r="L191" s="6"/>
      <c r="M191" s="6"/>
      <c r="N191" s="6"/>
      <c r="O191" s="6"/>
    </row>
    <row r="192" spans="1:17" x14ac:dyDescent="0.3">
      <c r="A192" s="6"/>
      <c r="B192" s="6" t="s">
        <v>436</v>
      </c>
      <c r="C192" s="10"/>
      <c r="D192" s="10"/>
      <c r="E192" s="10"/>
      <c r="F192" s="11"/>
      <c r="G192" s="11"/>
      <c r="H192" s="11"/>
      <c r="I192" s="10"/>
      <c r="J192" s="10"/>
      <c r="K192" s="10">
        <f>K15+K20+K26+K34+K43+K49+K60+K67+K73+K78+K82+K89+K94+K101+K105+K109+K113+K118+K126+K132+K138+K142+K146+K154+K160+K166+K170+K176+K181+K185</f>
        <v>242111.11575936645</v>
      </c>
      <c r="L192" s="6"/>
      <c r="M192" s="6"/>
      <c r="N192" s="6"/>
      <c r="O192" s="6"/>
    </row>
    <row r="193" spans="1:15" x14ac:dyDescent="0.3">
      <c r="A193" s="6"/>
      <c r="B193" s="6" t="s">
        <v>437</v>
      </c>
      <c r="C193" s="10"/>
      <c r="D193" s="10"/>
      <c r="E193" s="10"/>
      <c r="F193" s="11">
        <f>IFERROR(I190/E189,0)</f>
        <v>36.458362959750168</v>
      </c>
      <c r="G193" s="11"/>
      <c r="H193" s="11"/>
      <c r="I193" s="10"/>
      <c r="J193" s="10"/>
      <c r="K193" s="10"/>
      <c r="L193" s="6"/>
      <c r="M193" s="6"/>
      <c r="N193" s="6"/>
      <c r="O193" s="6"/>
    </row>
    <row r="194" spans="1:15" x14ac:dyDescent="0.3">
      <c r="A194" s="6"/>
      <c r="B194" s="6" t="s">
        <v>438</v>
      </c>
      <c r="C194" s="10"/>
      <c r="D194" s="10"/>
      <c r="E194" s="10"/>
      <c r="F194" s="11"/>
      <c r="G194" s="11">
        <f>IFERROR(J191/E189,0)</f>
        <v>-1.5804647929678464E-2</v>
      </c>
      <c r="H194" s="11"/>
      <c r="I194" s="10"/>
      <c r="J194" s="10"/>
      <c r="K194" s="10"/>
      <c r="L194" s="6"/>
      <c r="M194" s="6"/>
      <c r="N194" s="6"/>
      <c r="O194" s="6"/>
    </row>
    <row r="195" spans="1:15" x14ac:dyDescent="0.3">
      <c r="A195" s="6"/>
      <c r="B195" s="6" t="s">
        <v>439</v>
      </c>
      <c r="C195" s="10"/>
      <c r="D195" s="10"/>
      <c r="E195" s="10"/>
      <c r="F195" s="11"/>
      <c r="G195" s="11"/>
      <c r="H195" s="11">
        <f>IFERROR(K192/E189,0)</f>
        <v>6.3509070902151272</v>
      </c>
      <c r="I195" s="10"/>
      <c r="J195" s="10"/>
      <c r="K195" s="10"/>
      <c r="L195" s="6"/>
      <c r="M195" s="6"/>
      <c r="N195" s="6"/>
      <c r="O195" s="6"/>
    </row>
  </sheetData>
  <mergeCells count="7">
    <mergeCell ref="A7:L7"/>
    <mergeCell ref="A8:L8"/>
    <mergeCell ref="E1:L1"/>
    <mergeCell ref="E2:L2"/>
    <mergeCell ref="E3:L3"/>
    <mergeCell ref="E4:L4"/>
    <mergeCell ref="E5:L5"/>
  </mergeCells>
  <conditionalFormatting sqref="N11:N195">
    <cfRule type="cellIs" dxfId="51" priority="1" operator="greaterThan">
      <formula>0</formula>
    </cfRule>
  </conditionalFormatting>
  <conditionalFormatting sqref="N11:N195">
    <cfRule type="cellIs" dxfId="50" priority="2" operator="lessThan">
      <formula>0</formula>
    </cfRule>
  </conditionalFormatting>
  <dataValidations count="1">
    <dataValidation type="list" allowBlank="1" showInputMessage="1" showErrorMessage="1" sqref="B2" xr:uid="{EEC28524-8CA8-4167-964C-05EDFB513CD9}">
      <formula1>"Draft,Released,Frozen,Archived"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workbookViewId="0">
      <pane ySplit="4" topLeftCell="A5" activePane="bottomLeft" state="frozen"/>
      <selection pane="bottomLeft" activeCell="F42" sqref="F42"/>
    </sheetView>
  </sheetViews>
  <sheetFormatPr defaultRowHeight="14.4" x14ac:dyDescent="0.3"/>
  <cols>
    <col min="1" max="1" width="9.21875" customWidth="1"/>
    <col min="2" max="2" width="33.33203125" customWidth="1"/>
    <col min="3" max="3" width="20.33203125" customWidth="1"/>
    <col min="4" max="4" width="18.5546875" customWidth="1"/>
    <col min="5" max="5" width="24.109375" customWidth="1"/>
    <col min="6" max="6" width="51.88671875" customWidth="1"/>
  </cols>
  <sheetData>
    <row r="1" spans="1:6" ht="18" x14ac:dyDescent="0.35">
      <c r="A1" s="13" t="s">
        <v>296</v>
      </c>
    </row>
    <row r="2" spans="1:6" x14ac:dyDescent="0.3">
      <c r="A2" s="1" t="s">
        <v>297</v>
      </c>
    </row>
    <row r="4" spans="1:6" x14ac:dyDescent="0.3">
      <c r="A4" s="31" t="s">
        <v>2</v>
      </c>
      <c r="B4" s="32" t="s">
        <v>298</v>
      </c>
      <c r="C4" s="33" t="s">
        <v>332</v>
      </c>
      <c r="D4" s="33" t="s">
        <v>333</v>
      </c>
      <c r="E4" s="33" t="s">
        <v>299</v>
      </c>
      <c r="F4" s="34" t="s">
        <v>6</v>
      </c>
    </row>
    <row r="5" spans="1:6" x14ac:dyDescent="0.3">
      <c r="A5" s="35">
        <v>21</v>
      </c>
      <c r="B5" s="36" t="s">
        <v>8</v>
      </c>
      <c r="C5" s="57">
        <v>187.39269999999999</v>
      </c>
      <c r="D5" s="58">
        <f>Mass!E15</f>
        <v>194.00655999999998</v>
      </c>
      <c r="E5" s="59">
        <f>D5-C5</f>
        <v>6.6138599999999883</v>
      </c>
      <c r="F5" s="37"/>
    </row>
    <row r="6" spans="1:6" x14ac:dyDescent="0.3">
      <c r="A6" s="35">
        <v>22</v>
      </c>
      <c r="B6" s="36" t="s">
        <v>14</v>
      </c>
      <c r="C6" s="57">
        <v>41.887779999999999</v>
      </c>
      <c r="D6" s="58">
        <f>Mass!E20</f>
        <v>41.887779999999992</v>
      </c>
      <c r="E6" s="59">
        <f>D6-C6</f>
        <v>0</v>
      </c>
      <c r="F6" s="37"/>
    </row>
    <row r="7" spans="1:6" x14ac:dyDescent="0.3">
      <c r="A7" s="35">
        <v>23</v>
      </c>
      <c r="B7" s="36" t="s">
        <v>20</v>
      </c>
      <c r="C7" s="57">
        <v>55.115499999999997</v>
      </c>
      <c r="D7" s="58">
        <f>Mass!E26</f>
        <v>55.115499999999997</v>
      </c>
      <c r="E7" s="59">
        <f>D7-C7</f>
        <v>0</v>
      </c>
      <c r="F7" s="37"/>
    </row>
    <row r="8" spans="1:6" x14ac:dyDescent="0.3">
      <c r="A8" s="35">
        <v>24</v>
      </c>
      <c r="B8" s="36" t="s">
        <v>27</v>
      </c>
      <c r="C8" s="57">
        <v>374.78539999999998</v>
      </c>
      <c r="D8" s="58">
        <f>Mass!E34</f>
        <v>385.80849999999998</v>
      </c>
      <c r="E8" s="59">
        <f>D8-C8</f>
        <v>11.023099999999999</v>
      </c>
      <c r="F8" s="37"/>
    </row>
    <row r="9" spans="1:6" x14ac:dyDescent="0.3">
      <c r="A9" s="35">
        <v>25</v>
      </c>
      <c r="B9" s="36" t="s">
        <v>36</v>
      </c>
      <c r="C9" s="57">
        <v>1807.7883999999999</v>
      </c>
      <c r="D9" s="58">
        <f>Mass!E43</f>
        <v>1851.8807999999999</v>
      </c>
      <c r="E9" s="59">
        <f>D9-C9</f>
        <v>44.092399999999998</v>
      </c>
      <c r="F9" s="37"/>
    </row>
    <row r="10" spans="1:6" x14ac:dyDescent="0.3">
      <c r="A10" s="35">
        <v>26</v>
      </c>
      <c r="B10" s="36" t="s">
        <v>46</v>
      </c>
      <c r="C10" s="57">
        <v>77.161699999999996</v>
      </c>
      <c r="D10" s="58">
        <f>Mass!E49</f>
        <v>79.366319999999988</v>
      </c>
      <c r="E10" s="59">
        <f>D10-C10</f>
        <v>2.2046199999999914</v>
      </c>
      <c r="F10" s="37"/>
    </row>
    <row r="11" spans="1:6" x14ac:dyDescent="0.3">
      <c r="A11" s="35">
        <v>27</v>
      </c>
      <c r="B11" s="36" t="s">
        <v>53</v>
      </c>
      <c r="C11" s="57">
        <v>749.57079999999996</v>
      </c>
      <c r="D11" s="58">
        <f>Mass!E60</f>
        <v>767.20776000000001</v>
      </c>
      <c r="E11" s="59">
        <f>D11-C11</f>
        <v>17.636960000000045</v>
      </c>
      <c r="F11" s="37"/>
    </row>
    <row r="12" spans="1:6" x14ac:dyDescent="0.3">
      <c r="A12" s="35">
        <v>28</v>
      </c>
      <c r="B12" s="36" t="s">
        <v>65</v>
      </c>
      <c r="C12" s="57">
        <v>13889.105999999998</v>
      </c>
      <c r="D12" s="58">
        <f>Mass!E67</f>
        <v>14030.201679999998</v>
      </c>
      <c r="E12" s="59">
        <f>D12-C12</f>
        <v>141.09568000000036</v>
      </c>
      <c r="F12" s="37"/>
    </row>
    <row r="13" spans="1:6" x14ac:dyDescent="0.3">
      <c r="A13" s="35">
        <v>29</v>
      </c>
      <c r="B13" s="36" t="s">
        <v>73</v>
      </c>
      <c r="C13" s="57">
        <v>114.64023999999999</v>
      </c>
      <c r="D13" s="58">
        <f>Mass!E73</f>
        <v>119.04947999999999</v>
      </c>
      <c r="E13" s="59">
        <f>D13-C13</f>
        <v>4.4092399999999969</v>
      </c>
      <c r="F13" s="37"/>
    </row>
    <row r="14" spans="1:6" x14ac:dyDescent="0.3">
      <c r="A14" s="35">
        <v>30</v>
      </c>
      <c r="B14" s="36" t="s">
        <v>80</v>
      </c>
      <c r="C14" s="57">
        <v>105.82175999999998</v>
      </c>
      <c r="D14" s="58">
        <f>Mass!E78</f>
        <v>108.02638</v>
      </c>
      <c r="E14" s="59">
        <f>D14-C14</f>
        <v>2.2046200000000198</v>
      </c>
      <c r="F14" s="37"/>
    </row>
    <row r="15" spans="1:6" x14ac:dyDescent="0.3">
      <c r="A15" s="35">
        <v>31</v>
      </c>
      <c r="B15" s="36" t="s">
        <v>86</v>
      </c>
      <c r="C15" s="57">
        <v>101.41251999999999</v>
      </c>
      <c r="D15" s="58">
        <f>Mass!E82</f>
        <v>105.82176</v>
      </c>
      <c r="E15" s="59">
        <f>D15-C15</f>
        <v>4.4092400000000112</v>
      </c>
      <c r="F15" s="37"/>
    </row>
    <row r="16" spans="1:6" x14ac:dyDescent="0.3">
      <c r="A16" s="35">
        <v>32</v>
      </c>
      <c r="B16" s="36" t="s">
        <v>91</v>
      </c>
      <c r="C16" s="57">
        <v>2425.0819999999999</v>
      </c>
      <c r="D16" s="58">
        <f>Mass!E89</f>
        <v>2491.2205999999996</v>
      </c>
      <c r="E16" s="59">
        <f>D16-C16</f>
        <v>66.138599999999769</v>
      </c>
      <c r="F16" s="37"/>
    </row>
    <row r="17" spans="1:6" x14ac:dyDescent="0.3">
      <c r="A17" s="35">
        <v>33</v>
      </c>
      <c r="B17" s="36" t="s">
        <v>99</v>
      </c>
      <c r="C17" s="57">
        <v>74.957079999999991</v>
      </c>
      <c r="D17" s="58">
        <f>Mass!E94</f>
        <v>77.161699999999996</v>
      </c>
      <c r="E17" s="59">
        <f>D17-C17</f>
        <v>2.2046200000000056</v>
      </c>
      <c r="F17" s="37"/>
    </row>
    <row r="18" spans="1:6" x14ac:dyDescent="0.3">
      <c r="A18" s="35">
        <v>34</v>
      </c>
      <c r="B18" s="36" t="s">
        <v>105</v>
      </c>
      <c r="C18" s="57">
        <v>138.89105999999998</v>
      </c>
      <c r="D18" s="58">
        <f>Mass!E101</f>
        <v>143.30029999999996</v>
      </c>
      <c r="E18" s="59">
        <f>D18-C18</f>
        <v>4.4092399999999827</v>
      </c>
      <c r="F18" s="37"/>
    </row>
    <row r="19" spans="1:6" x14ac:dyDescent="0.3">
      <c r="A19" s="35">
        <v>35</v>
      </c>
      <c r="B19" s="36" t="s">
        <v>113</v>
      </c>
      <c r="C19" s="57">
        <v>132.27719999999999</v>
      </c>
      <c r="D19" s="58">
        <f>Mass!E105</f>
        <v>138.89105999999998</v>
      </c>
      <c r="E19" s="59">
        <f>D19-C19</f>
        <v>6.6138599999999883</v>
      </c>
      <c r="F19" s="37"/>
    </row>
    <row r="20" spans="1:6" x14ac:dyDescent="0.3">
      <c r="A20" s="35">
        <v>36</v>
      </c>
      <c r="B20" s="36" t="s">
        <v>118</v>
      </c>
      <c r="C20" s="57">
        <v>209.43889999999999</v>
      </c>
      <c r="D20" s="58">
        <f>Mass!E109</f>
        <v>220.46199999999999</v>
      </c>
      <c r="E20" s="59">
        <f>D20-C20</f>
        <v>11.023099999999999</v>
      </c>
      <c r="F20" s="37"/>
    </row>
    <row r="21" spans="1:6" x14ac:dyDescent="0.3">
      <c r="A21" s="35">
        <v>38</v>
      </c>
      <c r="B21" s="36" t="s">
        <v>123</v>
      </c>
      <c r="C21" s="57">
        <v>308.64679999999998</v>
      </c>
      <c r="D21" s="58">
        <f>Mass!E113</f>
        <v>319.66989999999998</v>
      </c>
      <c r="E21" s="59">
        <f>D21-C21</f>
        <v>11.023099999999999</v>
      </c>
      <c r="F21" s="37"/>
    </row>
    <row r="22" spans="1:6" x14ac:dyDescent="0.3">
      <c r="A22" s="35">
        <v>49</v>
      </c>
      <c r="B22" s="36" t="s">
        <v>128</v>
      </c>
      <c r="C22" s="57">
        <v>396.83159999999998</v>
      </c>
      <c r="D22" s="58">
        <f>Mass!E118</f>
        <v>407.85469999999998</v>
      </c>
      <c r="E22" s="59">
        <f>D22-C22</f>
        <v>11.023099999999999</v>
      </c>
      <c r="F22" s="37"/>
    </row>
    <row r="23" spans="1:6" x14ac:dyDescent="0.3">
      <c r="A23" s="35">
        <v>52</v>
      </c>
      <c r="B23" s="36" t="s">
        <v>134</v>
      </c>
      <c r="C23" s="57">
        <v>595.24739999999997</v>
      </c>
      <c r="D23" s="58">
        <f>Mass!E126</f>
        <v>617.29359999999997</v>
      </c>
      <c r="E23" s="59">
        <f>D23-C23</f>
        <v>22.046199999999999</v>
      </c>
      <c r="F23" s="37"/>
    </row>
    <row r="24" spans="1:6" x14ac:dyDescent="0.3">
      <c r="A24" s="35">
        <v>53</v>
      </c>
      <c r="B24" s="36" t="s">
        <v>143</v>
      </c>
      <c r="C24" s="57">
        <v>4938.3487999999998</v>
      </c>
      <c r="D24" s="58">
        <f>Mass!E132</f>
        <v>4938.3487999999988</v>
      </c>
      <c r="E24" s="59">
        <f>D24-C24</f>
        <v>0</v>
      </c>
      <c r="F24" s="37"/>
    </row>
    <row r="25" spans="1:6" x14ac:dyDescent="0.3">
      <c r="A25" s="35">
        <v>54</v>
      </c>
      <c r="B25" s="36" t="s">
        <v>150</v>
      </c>
      <c r="C25" s="57">
        <v>1245.6102999999998</v>
      </c>
      <c r="D25" s="58">
        <f>Mass!E138</f>
        <v>1278.6795999999999</v>
      </c>
      <c r="E25" s="59">
        <f>D25-C25</f>
        <v>33.069300000000112</v>
      </c>
      <c r="F25" s="37"/>
    </row>
    <row r="26" spans="1:6" x14ac:dyDescent="0.3">
      <c r="A26" s="35">
        <v>55</v>
      </c>
      <c r="B26" s="36" t="s">
        <v>157</v>
      </c>
      <c r="C26" s="57">
        <v>1300.7257999999999</v>
      </c>
      <c r="D26" s="58">
        <f>Mass!E142</f>
        <v>1322.7719999999999</v>
      </c>
      <c r="E26" s="59">
        <f>D26-C26</f>
        <v>22.046199999999999</v>
      </c>
      <c r="F26" s="37"/>
    </row>
    <row r="27" spans="1:6" x14ac:dyDescent="0.3">
      <c r="A27" s="35">
        <v>56</v>
      </c>
      <c r="B27" s="36" t="s">
        <v>162</v>
      </c>
      <c r="C27" s="57">
        <v>485.01639999999998</v>
      </c>
      <c r="D27" s="58">
        <f>Mass!E146</f>
        <v>496.03949999999998</v>
      </c>
      <c r="E27" s="59">
        <f>D27-C27</f>
        <v>11.023099999999999</v>
      </c>
      <c r="F27" s="37"/>
    </row>
    <row r="28" spans="1:6" x14ac:dyDescent="0.3">
      <c r="A28" s="35">
        <v>57</v>
      </c>
      <c r="B28" s="36" t="s">
        <v>167</v>
      </c>
      <c r="C28" s="57">
        <v>3615.5767999999998</v>
      </c>
      <c r="D28" s="58">
        <f>Mass!E154</f>
        <v>3615.5767999999998</v>
      </c>
      <c r="E28" s="59">
        <f>D28-C28</f>
        <v>0</v>
      </c>
      <c r="F28" s="37"/>
    </row>
    <row r="29" spans="1:6" x14ac:dyDescent="0.3">
      <c r="A29" s="35">
        <v>71</v>
      </c>
      <c r="B29" s="36" t="s">
        <v>176</v>
      </c>
      <c r="C29" s="57">
        <v>3483.2995999999998</v>
      </c>
      <c r="D29" s="58">
        <f>Mass!E160</f>
        <v>3483.2995999999998</v>
      </c>
      <c r="E29" s="59">
        <f>D29-C29</f>
        <v>0</v>
      </c>
      <c r="F29" s="37"/>
    </row>
    <row r="30" spans="1:6" x14ac:dyDescent="0.3">
      <c r="A30" s="35">
        <v>73</v>
      </c>
      <c r="B30" s="36" t="s">
        <v>183</v>
      </c>
      <c r="C30" s="57">
        <v>85.98017999999999</v>
      </c>
      <c r="D30" s="58">
        <f>Mass!E166</f>
        <v>88.184799999999996</v>
      </c>
      <c r="E30" s="59">
        <f>D30-C30</f>
        <v>2.2046200000000056</v>
      </c>
      <c r="F30" s="37"/>
    </row>
    <row r="31" spans="1:6" x14ac:dyDescent="0.3">
      <c r="A31" s="35">
        <v>75</v>
      </c>
      <c r="B31" s="36" t="s">
        <v>190</v>
      </c>
      <c r="C31" s="57">
        <v>59.524739999999994</v>
      </c>
      <c r="D31" s="58">
        <f>Mass!E170</f>
        <v>61.729359999999993</v>
      </c>
      <c r="E31" s="59">
        <f>D31-C31</f>
        <v>2.2046199999999985</v>
      </c>
      <c r="F31" s="37"/>
    </row>
    <row r="32" spans="1:6" x14ac:dyDescent="0.3">
      <c r="A32" s="35">
        <v>78</v>
      </c>
      <c r="B32" s="36" t="s">
        <v>195</v>
      </c>
      <c r="C32" s="57">
        <v>540.13189999999997</v>
      </c>
      <c r="D32" s="58">
        <f>Mass!E176</f>
        <v>551.15499999999997</v>
      </c>
      <c r="E32" s="59">
        <f>D32-C32</f>
        <v>11.023099999999999</v>
      </c>
      <c r="F32" s="37"/>
    </row>
    <row r="33" spans="1:6" x14ac:dyDescent="0.3">
      <c r="A33" s="35">
        <v>79</v>
      </c>
      <c r="B33" s="36" t="s">
        <v>202</v>
      </c>
      <c r="C33" s="57">
        <v>85.98017999999999</v>
      </c>
      <c r="D33" s="58">
        <f>Mass!E181</f>
        <v>88.184799999999996</v>
      </c>
      <c r="E33" s="59">
        <f>D33-C33</f>
        <v>2.2046200000000056</v>
      </c>
      <c r="F33" s="37"/>
    </row>
    <row r="34" spans="1:6" x14ac:dyDescent="0.3">
      <c r="A34" s="38">
        <v>80</v>
      </c>
      <c r="B34" s="39" t="s">
        <v>208</v>
      </c>
      <c r="C34" s="60">
        <v>44.092399999999998</v>
      </c>
      <c r="D34" s="61">
        <f>Mass!E185</f>
        <v>44.092399999999998</v>
      </c>
      <c r="E34" s="62">
        <f>D34-C34</f>
        <v>0</v>
      </c>
      <c r="F34" s="40"/>
    </row>
    <row r="37" spans="1:6" ht="15.6" x14ac:dyDescent="0.3">
      <c r="A37" s="26" t="s">
        <v>321</v>
      </c>
      <c r="B37" s="32" t="s">
        <v>298</v>
      </c>
      <c r="C37" s="33" t="s">
        <v>332</v>
      </c>
      <c r="D37" s="33" t="s">
        <v>333</v>
      </c>
      <c r="E37" s="33" t="s">
        <v>299</v>
      </c>
      <c r="F37" s="34" t="s">
        <v>6</v>
      </c>
    </row>
    <row r="38" spans="1:6" x14ac:dyDescent="0.3">
      <c r="A38" s="41" t="s">
        <v>300</v>
      </c>
      <c r="B38" s="36" t="s">
        <v>301</v>
      </c>
      <c r="C38" s="57">
        <v>23589.433999999997</v>
      </c>
      <c r="D38" s="58">
        <f>Mass!E189-Mass!E67</f>
        <v>24092.087360000005</v>
      </c>
      <c r="E38" s="63">
        <f>IF(C38="","",D38-C38)</f>
        <v>502.65336000000752</v>
      </c>
      <c r="F38" s="37" t="s">
        <v>302</v>
      </c>
    </row>
    <row r="39" spans="1:6" x14ac:dyDescent="0.3">
      <c r="A39" s="41" t="s">
        <v>303</v>
      </c>
      <c r="B39" s="36" t="s">
        <v>304</v>
      </c>
      <c r="C39" s="57">
        <v>24300</v>
      </c>
      <c r="D39" s="59">
        <f>D38</f>
        <v>24092.087360000005</v>
      </c>
      <c r="E39" s="63">
        <f>IF(C39="","",D39-C39)</f>
        <v>-207.91263999999501</v>
      </c>
      <c r="F39" s="37" t="s">
        <v>305</v>
      </c>
    </row>
    <row r="40" spans="1:6" x14ac:dyDescent="0.3">
      <c r="A40" s="41" t="s">
        <v>306</v>
      </c>
      <c r="B40" s="36" t="s">
        <v>307</v>
      </c>
      <c r="C40" s="57">
        <v>28660.059999999998</v>
      </c>
      <c r="D40" s="59">
        <f>D39</f>
        <v>24092.087360000005</v>
      </c>
      <c r="E40" s="63">
        <f>IF(C40="","",D40-C40)</f>
        <v>-4567.9726399999927</v>
      </c>
      <c r="F40" s="37" t="s">
        <v>308</v>
      </c>
    </row>
    <row r="41" spans="1:6" x14ac:dyDescent="0.3">
      <c r="A41" s="41" t="s">
        <v>309</v>
      </c>
      <c r="B41" s="36" t="s">
        <v>310</v>
      </c>
      <c r="C41" s="57">
        <v>29100.983999999997</v>
      </c>
      <c r="D41" s="63"/>
      <c r="E41" s="63" t="str">
        <f>IF(OR(C41="",D41=""),"",D41-C41)</f>
        <v/>
      </c>
      <c r="F41" s="37" t="s">
        <v>311</v>
      </c>
    </row>
    <row r="42" spans="1:6" x14ac:dyDescent="0.3">
      <c r="A42" s="41" t="s">
        <v>312</v>
      </c>
      <c r="B42" s="36" t="s">
        <v>313</v>
      </c>
      <c r="C42" s="57">
        <v>37699.001999999993</v>
      </c>
      <c r="D42" s="63"/>
      <c r="E42" s="63" t="str">
        <f>IF(OR(C42="",D42=""),"",D42-C42)</f>
        <v/>
      </c>
      <c r="F42" s="37" t="s">
        <v>314</v>
      </c>
    </row>
    <row r="43" spans="1:6" x14ac:dyDescent="0.3">
      <c r="A43" s="41" t="s">
        <v>315</v>
      </c>
      <c r="B43" s="36" t="s">
        <v>316</v>
      </c>
      <c r="C43" s="57">
        <v>40565.007999999994</v>
      </c>
      <c r="D43" s="58">
        <f>Mass!E189</f>
        <v>38122.289040000003</v>
      </c>
      <c r="E43" s="63">
        <f>IF(C43="","",D43-C43)</f>
        <v>-2442.7189599999911</v>
      </c>
      <c r="F43" s="37" t="s">
        <v>317</v>
      </c>
    </row>
    <row r="44" spans="1:6" x14ac:dyDescent="0.3">
      <c r="A44" s="42" t="s">
        <v>318</v>
      </c>
      <c r="B44" s="39" t="s">
        <v>319</v>
      </c>
      <c r="C44" s="60">
        <v>40785.469999999994</v>
      </c>
      <c r="D44" s="64"/>
      <c r="E44" s="64" t="str">
        <f>IF(OR(C44="",D44=""),"",D44-C44)</f>
        <v/>
      </c>
      <c r="F44" s="40" t="s">
        <v>320</v>
      </c>
    </row>
  </sheetData>
  <conditionalFormatting sqref="E5:E34">
    <cfRule type="cellIs" dxfId="49" priority="1" operator="greaterThan">
      <formula>0</formula>
    </cfRule>
  </conditionalFormatting>
  <conditionalFormatting sqref="E5:E34">
    <cfRule type="cellIs" dxfId="48" priority="2" operator="lessThan">
      <formula>0</formula>
    </cfRule>
  </conditionalFormatting>
  <conditionalFormatting sqref="E38:E44">
    <cfRule type="cellIs" dxfId="47" priority="3" operator="greaterThan">
      <formula>0</formula>
    </cfRule>
  </conditionalFormatting>
  <conditionalFormatting sqref="E38:E44">
    <cfRule type="cellIs" dxfId="46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T116"/>
  <sheetViews>
    <sheetView workbookViewId="0">
      <pane ySplit="1" topLeftCell="A2" activePane="bottomLeft" state="frozen"/>
      <selection pane="bottomLeft" activeCell="R14" sqref="R14"/>
    </sheetView>
  </sheetViews>
  <sheetFormatPr defaultRowHeight="14.4" x14ac:dyDescent="0.3"/>
  <cols>
    <col min="1" max="4" width="16.6640625" customWidth="1"/>
    <col min="5" max="5" width="37" customWidth="1"/>
    <col min="6" max="6" width="16.6640625" customWidth="1"/>
    <col min="7" max="7" width="33.33203125" customWidth="1"/>
    <col min="8" max="17" width="16.6640625" customWidth="1"/>
    <col min="18" max="18" width="37" customWidth="1"/>
    <col min="20" max="20" width="74.109375" customWidth="1"/>
  </cols>
  <sheetData>
    <row r="1" spans="1:20" x14ac:dyDescent="0.3">
      <c r="A1" s="2" t="s">
        <v>272</v>
      </c>
      <c r="B1" s="2" t="s">
        <v>273</v>
      </c>
      <c r="C1" s="2" t="s">
        <v>274</v>
      </c>
      <c r="D1" s="2" t="s">
        <v>275</v>
      </c>
      <c r="E1" s="2" t="s">
        <v>276</v>
      </c>
      <c r="F1" s="2" t="s">
        <v>277</v>
      </c>
      <c r="G1" s="2" t="s">
        <v>278</v>
      </c>
      <c r="H1" s="2" t="s">
        <v>279</v>
      </c>
      <c r="I1" s="2" t="s">
        <v>280</v>
      </c>
      <c r="J1" s="2" t="s">
        <v>281</v>
      </c>
      <c r="K1" s="2" t="s">
        <v>282</v>
      </c>
      <c r="L1" s="2" t="s">
        <v>283</v>
      </c>
      <c r="M1" s="2" t="s">
        <v>284</v>
      </c>
      <c r="N1" s="2" t="s">
        <v>285</v>
      </c>
      <c r="O1" s="2" t="s">
        <v>286</v>
      </c>
      <c r="P1" s="2" t="s">
        <v>287</v>
      </c>
      <c r="Q1" s="2" t="s">
        <v>288</v>
      </c>
      <c r="R1" s="2" t="s">
        <v>289</v>
      </c>
      <c r="T1" s="18" t="s">
        <v>290</v>
      </c>
    </row>
    <row r="2" spans="1:20" x14ac:dyDescent="0.3">
      <c r="A2" t="str">
        <f>Mass!$B$1</f>
        <v>0.1.7</v>
      </c>
      <c r="B2" t="str">
        <f>Mass!$B$2</f>
        <v>Draft</v>
      </c>
      <c r="C2" t="str">
        <f>TEXT(Mass!$B$3,"yyyy-mm-dd")</f>
        <v>2026-05-16</v>
      </c>
      <c r="D2">
        <f>Mass!$B$4</f>
        <v>0</v>
      </c>
      <c r="E2" t="str">
        <f>Mass!$B$5</f>
        <v>Initial business jet baseline (Challenger 350 / Praetor 500 class)</v>
      </c>
      <c r="F2">
        <f>Mass!A12</f>
        <v>21</v>
      </c>
      <c r="G2" t="str">
        <f>Mass!B12</f>
        <v>Pack 1</v>
      </c>
      <c r="H2" t="e">
        <f>Mass!#REF!</f>
        <v>#REF!</v>
      </c>
      <c r="I2">
        <f>Mass!C12</f>
        <v>1</v>
      </c>
      <c r="J2">
        <f>Mass!D12</f>
        <v>77.161699999999996</v>
      </c>
      <c r="K2">
        <f>Mass!E12</f>
        <v>77.161699999999996</v>
      </c>
      <c r="L2">
        <f>Mass!F12</f>
        <v>37.729660000000003</v>
      </c>
      <c r="M2">
        <f>Mass!G12</f>
        <v>-1.3123360000000002</v>
      </c>
      <c r="N2">
        <f>Mass!H12</f>
        <v>5.9055119999999999</v>
      </c>
      <c r="O2">
        <f>Mass!I12</f>
        <v>2911.2847060220001</v>
      </c>
      <c r="P2">
        <f>Mass!J12</f>
        <v>-101.26207673120001</v>
      </c>
      <c r="Q2">
        <f>Mass!K12</f>
        <v>455.67934529039997</v>
      </c>
      <c r="R2" t="str">
        <f>Mass!L12</f>
        <v>Aft of wing, LH</v>
      </c>
      <c r="T2" t="s">
        <v>291</v>
      </c>
    </row>
    <row r="3" spans="1:20" x14ac:dyDescent="0.3">
      <c r="A3" t="str">
        <f>Mass!$B$1</f>
        <v>0.1.7</v>
      </c>
      <c r="B3" t="str">
        <f>Mass!$B$2</f>
        <v>Draft</v>
      </c>
      <c r="C3" t="str">
        <f>TEXT(Mass!$B$3,"yyyy-mm-dd")</f>
        <v>2026-05-16</v>
      </c>
      <c r="D3">
        <f>Mass!$B$4</f>
        <v>0</v>
      </c>
      <c r="E3" t="str">
        <f>Mass!$B$5</f>
        <v>Initial business jet baseline (Challenger 350 / Praetor 500 class)</v>
      </c>
      <c r="F3">
        <f>Mass!A13</f>
        <v>21</v>
      </c>
      <c r="G3" t="str">
        <f>Mass!B13</f>
        <v>Pack 2</v>
      </c>
      <c r="H3" t="e">
        <f>Mass!#REF!</f>
        <v>#REF!</v>
      </c>
      <c r="I3">
        <f>Mass!C13</f>
        <v>1</v>
      </c>
      <c r="J3">
        <f>Mass!D13</f>
        <v>77.161699999999996</v>
      </c>
      <c r="K3">
        <f>Mass!E13</f>
        <v>77.161699999999996</v>
      </c>
      <c r="L3">
        <f>Mass!F13</f>
        <v>37.729660000000003</v>
      </c>
      <c r="M3">
        <f>Mass!G13</f>
        <v>1.3123360000000002</v>
      </c>
      <c r="N3">
        <f>Mass!H13</f>
        <v>5.9055119999999999</v>
      </c>
      <c r="O3">
        <f>Mass!I13</f>
        <v>2911.2847060220001</v>
      </c>
      <c r="P3">
        <f>Mass!J13</f>
        <v>101.26207673120001</v>
      </c>
      <c r="Q3">
        <f>Mass!K13</f>
        <v>455.67934529039997</v>
      </c>
      <c r="R3" t="str">
        <f>Mass!L13</f>
        <v>Aft of wing, RH</v>
      </c>
      <c r="T3" t="s">
        <v>292</v>
      </c>
    </row>
    <row r="4" spans="1:20" x14ac:dyDescent="0.3">
      <c r="A4" t="str">
        <f>Mass!$B$1</f>
        <v>0.1.7</v>
      </c>
      <c r="B4" t="str">
        <f>Mass!$B$2</f>
        <v>Draft</v>
      </c>
      <c r="C4" t="str">
        <f>TEXT(Mass!$B$3,"yyyy-mm-dd")</f>
        <v>2026-05-16</v>
      </c>
      <c r="D4">
        <f>Mass!$B$4</f>
        <v>0</v>
      </c>
      <c r="E4" t="str">
        <f>Mass!$B$5</f>
        <v>Initial business jet baseline (Challenger 350 / Praetor 500 class)</v>
      </c>
      <c r="F4">
        <f>Mass!A14</f>
        <v>21</v>
      </c>
      <c r="G4" t="str">
        <f>Mass!B14</f>
        <v>Mix Manifold</v>
      </c>
      <c r="H4" t="e">
        <f>Mass!#REF!</f>
        <v>#REF!</v>
      </c>
      <c r="I4">
        <f>Mass!C14</f>
        <v>1</v>
      </c>
      <c r="J4">
        <f>Mass!D14</f>
        <v>39.683159999999994</v>
      </c>
      <c r="K4">
        <f>Mass!E14</f>
        <v>39.683159999999994</v>
      </c>
      <c r="L4">
        <f>Mass!F14</f>
        <v>34.448819999999998</v>
      </c>
      <c r="M4">
        <f>Mass!G14</f>
        <v>0</v>
      </c>
      <c r="N4">
        <f>Mass!H14</f>
        <v>4.9212600000000002</v>
      </c>
      <c r="O4">
        <f>Mass!I14</f>
        <v>1367.0380358711998</v>
      </c>
      <c r="P4">
        <f>Mass!J14</f>
        <v>0</v>
      </c>
      <c r="Q4">
        <f>Mass!K14</f>
        <v>195.29114798159998</v>
      </c>
      <c r="R4">
        <f>Mass!L14</f>
        <v>0</v>
      </c>
      <c r="T4" t="s">
        <v>293</v>
      </c>
    </row>
    <row r="5" spans="1:20" x14ac:dyDescent="0.3">
      <c r="A5" t="str">
        <f>Mass!$B$1</f>
        <v>0.1.7</v>
      </c>
      <c r="B5" t="str">
        <f>Mass!$B$2</f>
        <v>Draft</v>
      </c>
      <c r="C5" t="str">
        <f>TEXT(Mass!$B$3,"yyyy-mm-dd")</f>
        <v>2026-05-16</v>
      </c>
      <c r="D5">
        <f>Mass!$B$4</f>
        <v>0</v>
      </c>
      <c r="E5" t="str">
        <f>Mass!$B$5</f>
        <v>Initial business jet baseline (Challenger 350 / Praetor 500 class)</v>
      </c>
      <c r="F5">
        <f>Mass!A17</f>
        <v>22</v>
      </c>
      <c r="G5" t="str">
        <f>Mass!B17</f>
        <v>FCC 1</v>
      </c>
      <c r="H5" t="e">
        <f>Mass!#REF!</f>
        <v>#REF!</v>
      </c>
      <c r="I5">
        <f>Mass!C17</f>
        <v>1</v>
      </c>
      <c r="J5">
        <f>Mass!D17</f>
        <v>17.636959999999998</v>
      </c>
      <c r="K5">
        <f>Mass!E17</f>
        <v>17.636959999999998</v>
      </c>
      <c r="L5">
        <f>Mass!F17</f>
        <v>11.482939999999999</v>
      </c>
      <c r="M5">
        <f>Mass!G17</f>
        <v>-0.65616800000000008</v>
      </c>
      <c r="N5">
        <f>Mass!H17</f>
        <v>5.9055119999999999</v>
      </c>
      <c r="O5">
        <f>Mass!I17</f>
        <v>202.52415346239997</v>
      </c>
      <c r="P5">
        <f>Mass!J17</f>
        <v>-11.57280876928</v>
      </c>
      <c r="Q5">
        <f>Mass!K17</f>
        <v>104.15527892351999</v>
      </c>
      <c r="R5" t="str">
        <f>Mass!L17</f>
        <v>Avionics bay fwd</v>
      </c>
      <c r="T5" t="s">
        <v>294</v>
      </c>
    </row>
    <row r="6" spans="1:20" x14ac:dyDescent="0.3">
      <c r="A6" t="str">
        <f>Mass!$B$1</f>
        <v>0.1.7</v>
      </c>
      <c r="B6" t="str">
        <f>Mass!$B$2</f>
        <v>Draft</v>
      </c>
      <c r="C6" t="str">
        <f>TEXT(Mass!$B$3,"yyyy-mm-dd")</f>
        <v>2026-05-16</v>
      </c>
      <c r="D6">
        <f>Mass!$B$4</f>
        <v>0</v>
      </c>
      <c r="E6" t="str">
        <f>Mass!$B$5</f>
        <v>Initial business jet baseline (Challenger 350 / Praetor 500 class)</v>
      </c>
      <c r="F6">
        <f>Mass!A18</f>
        <v>22</v>
      </c>
      <c r="G6" t="str">
        <f>Mass!B18</f>
        <v>FCC 2</v>
      </c>
      <c r="H6" t="e">
        <f>Mass!#REF!</f>
        <v>#REF!</v>
      </c>
      <c r="I6">
        <f>Mass!C18</f>
        <v>1</v>
      </c>
      <c r="J6">
        <f>Mass!D18</f>
        <v>17.636959999999998</v>
      </c>
      <c r="K6">
        <f>Mass!E18</f>
        <v>17.636959999999998</v>
      </c>
      <c r="L6">
        <f>Mass!F18</f>
        <v>11.482939999999999</v>
      </c>
      <c r="M6">
        <f>Mass!G18</f>
        <v>0.65616800000000008</v>
      </c>
      <c r="N6">
        <f>Mass!H18</f>
        <v>5.9055119999999999</v>
      </c>
      <c r="O6">
        <f>Mass!I18</f>
        <v>202.52415346239997</v>
      </c>
      <c r="P6">
        <f>Mass!J18</f>
        <v>11.57280876928</v>
      </c>
      <c r="Q6">
        <f>Mass!K18</f>
        <v>104.15527892351999</v>
      </c>
      <c r="R6" t="str">
        <f>Mass!L18</f>
        <v>Avionics bay fwd</v>
      </c>
    </row>
    <row r="7" spans="1:20" x14ac:dyDescent="0.3">
      <c r="A7" t="str">
        <f>Mass!$B$1</f>
        <v>0.1.7</v>
      </c>
      <c r="B7" t="str">
        <f>Mass!$B$2</f>
        <v>Draft</v>
      </c>
      <c r="C7" t="str">
        <f>TEXT(Mass!$B$3,"yyyy-mm-dd")</f>
        <v>2026-05-16</v>
      </c>
      <c r="D7">
        <f>Mass!$B$4</f>
        <v>0</v>
      </c>
      <c r="E7" t="str">
        <f>Mass!$B$5</f>
        <v>Initial business jet baseline (Challenger 350 / Praetor 500 class)</v>
      </c>
      <c r="F7">
        <f>Mass!A19</f>
        <v>22</v>
      </c>
      <c r="G7" t="str">
        <f>Mass!B19</f>
        <v>Autothrottle Servo</v>
      </c>
      <c r="H7" t="e">
        <f>Mass!#REF!</f>
        <v>#REF!</v>
      </c>
      <c r="I7">
        <f>Mass!C19</f>
        <v>1</v>
      </c>
      <c r="J7">
        <f>Mass!D19</f>
        <v>6.613859999999999</v>
      </c>
      <c r="K7">
        <f>Mass!E19</f>
        <v>6.613859999999999</v>
      </c>
      <c r="L7">
        <f>Mass!F19</f>
        <v>13.12336</v>
      </c>
      <c r="M7">
        <f>Mass!G19</f>
        <v>0</v>
      </c>
      <c r="N7">
        <f>Mass!H19</f>
        <v>4.9212600000000002</v>
      </c>
      <c r="O7">
        <f>Mass!I19</f>
        <v>86.796065769599991</v>
      </c>
      <c r="P7">
        <f>Mass!J19</f>
        <v>0</v>
      </c>
      <c r="Q7">
        <f>Mass!K19</f>
        <v>32.548524663599999</v>
      </c>
      <c r="R7" t="str">
        <f>Mass!L19</f>
        <v>Throttle quadrant</v>
      </c>
    </row>
    <row r="8" spans="1:20" x14ac:dyDescent="0.3">
      <c r="A8" t="str">
        <f>Mass!$B$1</f>
        <v>0.1.7</v>
      </c>
      <c r="B8" t="str">
        <f>Mass!$B$2</f>
        <v>Draft</v>
      </c>
      <c r="C8" t="str">
        <f>TEXT(Mass!$B$3,"yyyy-mm-dd")</f>
        <v>2026-05-16</v>
      </c>
      <c r="D8">
        <f>Mass!$B$4</f>
        <v>0</v>
      </c>
      <c r="E8" t="str">
        <f>Mass!$B$5</f>
        <v>Initial business jet baseline (Challenger 350 / Praetor 500 class)</v>
      </c>
      <c r="F8">
        <f>Mass!A22</f>
        <v>23</v>
      </c>
      <c r="G8" t="str">
        <f>Mass!B22</f>
        <v>VHF Comm 1</v>
      </c>
      <c r="H8" t="e">
        <f>Mass!#REF!</f>
        <v>#REF!</v>
      </c>
      <c r="I8">
        <f>Mass!C22</f>
        <v>1</v>
      </c>
      <c r="J8">
        <f>Mass!D22</f>
        <v>8.8184799999999992</v>
      </c>
      <c r="K8">
        <f>Mass!E22</f>
        <v>8.8184799999999992</v>
      </c>
      <c r="L8">
        <f>Mass!F22</f>
        <v>10.498688000000001</v>
      </c>
      <c r="M8">
        <f>Mass!G22</f>
        <v>-0.65616800000000008</v>
      </c>
      <c r="N8">
        <f>Mass!H22</f>
        <v>6.2335959999999995</v>
      </c>
      <c r="O8">
        <f>Mass!I22</f>
        <v>92.582470154239999</v>
      </c>
      <c r="P8">
        <f>Mass!J22</f>
        <v>-5.78640438464</v>
      </c>
      <c r="Q8">
        <f>Mass!K22</f>
        <v>54.97084165407999</v>
      </c>
      <c r="R8">
        <f>Mass!L22</f>
        <v>0</v>
      </c>
    </row>
    <row r="9" spans="1:20" x14ac:dyDescent="0.3">
      <c r="A9" t="str">
        <f>Mass!$B$1</f>
        <v>0.1.7</v>
      </c>
      <c r="B9" t="str">
        <f>Mass!$B$2</f>
        <v>Draft</v>
      </c>
      <c r="C9" t="str">
        <f>TEXT(Mass!$B$3,"yyyy-mm-dd")</f>
        <v>2026-05-16</v>
      </c>
      <c r="D9">
        <f>Mass!$B$4</f>
        <v>0</v>
      </c>
      <c r="E9" t="str">
        <f>Mass!$B$5</f>
        <v>Initial business jet baseline (Challenger 350 / Praetor 500 class)</v>
      </c>
      <c r="F9">
        <f>Mass!A23</f>
        <v>23</v>
      </c>
      <c r="G9" t="str">
        <f>Mass!B23</f>
        <v>VHF Comm 2</v>
      </c>
      <c r="H9" t="e">
        <f>Mass!#REF!</f>
        <v>#REF!</v>
      </c>
      <c r="I9">
        <f>Mass!C23</f>
        <v>1</v>
      </c>
      <c r="J9">
        <f>Mass!D23</f>
        <v>8.8184799999999992</v>
      </c>
      <c r="K9">
        <f>Mass!E23</f>
        <v>8.8184799999999992</v>
      </c>
      <c r="L9">
        <f>Mass!F23</f>
        <v>10.498688000000001</v>
      </c>
      <c r="M9">
        <f>Mass!G23</f>
        <v>0.65616800000000008</v>
      </c>
      <c r="N9">
        <f>Mass!H23</f>
        <v>6.2335959999999995</v>
      </c>
      <c r="O9">
        <f>Mass!I23</f>
        <v>92.582470154239999</v>
      </c>
      <c r="P9">
        <f>Mass!J23</f>
        <v>5.78640438464</v>
      </c>
      <c r="Q9">
        <f>Mass!K23</f>
        <v>54.97084165407999</v>
      </c>
      <c r="R9">
        <f>Mass!L23</f>
        <v>0</v>
      </c>
    </row>
    <row r="10" spans="1:20" x14ac:dyDescent="0.3">
      <c r="A10" t="str">
        <f>Mass!$B$1</f>
        <v>0.1.7</v>
      </c>
      <c r="B10" t="str">
        <f>Mass!$B$2</f>
        <v>Draft</v>
      </c>
      <c r="C10" t="str">
        <f>TEXT(Mass!$B$3,"yyyy-mm-dd")</f>
        <v>2026-05-16</v>
      </c>
      <c r="D10">
        <f>Mass!$B$4</f>
        <v>0</v>
      </c>
      <c r="E10" t="str">
        <f>Mass!$B$5</f>
        <v>Initial business jet baseline (Challenger 350 / Praetor 500 class)</v>
      </c>
      <c r="F10">
        <f>Mass!A24</f>
        <v>23</v>
      </c>
      <c r="G10" t="str">
        <f>Mass!B24</f>
        <v>SATCOM</v>
      </c>
      <c r="H10" t="e">
        <f>Mass!#REF!</f>
        <v>#REF!</v>
      </c>
      <c r="I10">
        <f>Mass!C24</f>
        <v>1</v>
      </c>
      <c r="J10">
        <f>Mass!D24</f>
        <v>26.455439999999996</v>
      </c>
      <c r="K10">
        <f>Mass!E24</f>
        <v>26.455439999999996</v>
      </c>
      <c r="L10">
        <f>Mass!F24</f>
        <v>45.931759999999997</v>
      </c>
      <c r="M10">
        <f>Mass!G24</f>
        <v>0</v>
      </c>
      <c r="N10">
        <f>Mass!H24</f>
        <v>8.5301840000000002</v>
      </c>
      <c r="O10">
        <f>Mass!I24</f>
        <v>1215.1449207743997</v>
      </c>
      <c r="P10">
        <f>Mass!J24</f>
        <v>0</v>
      </c>
      <c r="Q10">
        <f>Mass!K24</f>
        <v>225.66977100095997</v>
      </c>
      <c r="R10" t="str">
        <f>Mass!L24</f>
        <v>Upper aft fuselage</v>
      </c>
    </row>
    <row r="11" spans="1:20" x14ac:dyDescent="0.3">
      <c r="A11" t="str">
        <f>Mass!$B$1</f>
        <v>0.1.7</v>
      </c>
      <c r="B11" t="str">
        <f>Mass!$B$2</f>
        <v>Draft</v>
      </c>
      <c r="C11" t="str">
        <f>TEXT(Mass!$B$3,"yyyy-mm-dd")</f>
        <v>2026-05-16</v>
      </c>
      <c r="D11">
        <f>Mass!$B$4</f>
        <v>0</v>
      </c>
      <c r="E11" t="str">
        <f>Mass!$B$5</f>
        <v>Initial business jet baseline (Challenger 350 / Praetor 500 class)</v>
      </c>
      <c r="F11">
        <f>Mass!A25</f>
        <v>23</v>
      </c>
      <c r="G11" t="str">
        <f>Mass!B25</f>
        <v>CVR</v>
      </c>
      <c r="H11" t="e">
        <f>Mass!#REF!</f>
        <v>#REF!</v>
      </c>
      <c r="I11">
        <f>Mass!C25</f>
        <v>1</v>
      </c>
      <c r="J11">
        <f>Mass!D25</f>
        <v>11.023099999999999</v>
      </c>
      <c r="K11">
        <f>Mass!E25</f>
        <v>11.023099999999999</v>
      </c>
      <c r="L11">
        <f>Mass!F25</f>
        <v>55.774279999999997</v>
      </c>
      <c r="M11">
        <f>Mass!G25</f>
        <v>0</v>
      </c>
      <c r="N11">
        <f>Mass!H25</f>
        <v>6.56168</v>
      </c>
      <c r="O11">
        <f>Mass!I25</f>
        <v>614.80546586799994</v>
      </c>
      <c r="P11">
        <f>Mass!J25</f>
        <v>0</v>
      </c>
      <c r="Q11">
        <f>Mass!K25</f>
        <v>72.330054808</v>
      </c>
      <c r="R11" t="str">
        <f>Mass!L25</f>
        <v>Aft fuselage (crashworthy)</v>
      </c>
    </row>
    <row r="12" spans="1:20" x14ac:dyDescent="0.3">
      <c r="A12" t="str">
        <f>Mass!$B$1</f>
        <v>0.1.7</v>
      </c>
      <c r="B12" t="str">
        <f>Mass!$B$2</f>
        <v>Draft</v>
      </c>
      <c r="C12" t="str">
        <f>TEXT(Mass!$B$3,"yyyy-mm-dd")</f>
        <v>2026-05-16</v>
      </c>
      <c r="D12">
        <f>Mass!$B$4</f>
        <v>0</v>
      </c>
      <c r="E12" t="str">
        <f>Mass!$B$5</f>
        <v>Initial business jet baseline (Challenger 350 / Praetor 500 class)</v>
      </c>
      <c r="F12">
        <f>Mass!A28</f>
        <v>24</v>
      </c>
      <c r="G12" t="str">
        <f>Mass!B28</f>
        <v>IDG 1</v>
      </c>
      <c r="H12" t="e">
        <f>Mass!#REF!</f>
        <v>#REF!</v>
      </c>
      <c r="I12">
        <f>Mass!C28</f>
        <v>1</v>
      </c>
      <c r="J12">
        <f>Mass!D28</f>
        <v>77.161699999999996</v>
      </c>
      <c r="K12">
        <f>Mass!E28</f>
        <v>77.161699999999996</v>
      </c>
      <c r="L12">
        <f>Mass!F28</f>
        <v>41.0105</v>
      </c>
      <c r="M12">
        <f>Mass!G28</f>
        <v>-1.64042</v>
      </c>
      <c r="N12">
        <f>Mass!H28</f>
        <v>7.2178480000000009</v>
      </c>
      <c r="O12">
        <f>Mass!I28</f>
        <v>3164.4398978499999</v>
      </c>
      <c r="P12">
        <f>Mass!J28</f>
        <v>-126.577595914</v>
      </c>
      <c r="Q12">
        <f>Mass!K28</f>
        <v>556.94142202160003</v>
      </c>
      <c r="R12" t="str">
        <f>Mass!L28</f>
        <v>Engine accessory gearbox LH</v>
      </c>
    </row>
    <row r="13" spans="1:20" x14ac:dyDescent="0.3">
      <c r="A13" t="str">
        <f>Mass!$B$1</f>
        <v>0.1.7</v>
      </c>
      <c r="B13" t="str">
        <f>Mass!$B$2</f>
        <v>Draft</v>
      </c>
      <c r="C13" t="str">
        <f>TEXT(Mass!$B$3,"yyyy-mm-dd")</f>
        <v>2026-05-16</v>
      </c>
      <c r="D13">
        <f>Mass!$B$4</f>
        <v>0</v>
      </c>
      <c r="E13" t="str">
        <f>Mass!$B$5</f>
        <v>Initial business jet baseline (Challenger 350 / Praetor 500 class)</v>
      </c>
      <c r="F13">
        <f>Mass!A29</f>
        <v>24</v>
      </c>
      <c r="G13" t="str">
        <f>Mass!B29</f>
        <v>IDG 2</v>
      </c>
      <c r="H13" t="e">
        <f>Mass!#REF!</f>
        <v>#REF!</v>
      </c>
      <c r="I13">
        <f>Mass!C29</f>
        <v>1</v>
      </c>
      <c r="J13">
        <f>Mass!D29</f>
        <v>77.161699999999996</v>
      </c>
      <c r="K13">
        <f>Mass!E29</f>
        <v>77.161699999999996</v>
      </c>
      <c r="L13">
        <f>Mass!F29</f>
        <v>41.0105</v>
      </c>
      <c r="M13">
        <f>Mass!G29</f>
        <v>1.64042</v>
      </c>
      <c r="N13">
        <f>Mass!H29</f>
        <v>7.2178480000000009</v>
      </c>
      <c r="O13">
        <f>Mass!I29</f>
        <v>3164.4398978499999</v>
      </c>
      <c r="P13">
        <f>Mass!J29</f>
        <v>126.577595914</v>
      </c>
      <c r="Q13">
        <f>Mass!K29</f>
        <v>556.94142202160003</v>
      </c>
      <c r="R13" t="str">
        <f>Mass!L29</f>
        <v>Engine accessory gearbox RH</v>
      </c>
    </row>
    <row r="14" spans="1:20" x14ac:dyDescent="0.3">
      <c r="A14" t="str">
        <f>Mass!$B$1</f>
        <v>0.1.7</v>
      </c>
      <c r="B14" t="str">
        <f>Mass!$B$2</f>
        <v>Draft</v>
      </c>
      <c r="C14" t="str">
        <f>TEXT(Mass!$B$3,"yyyy-mm-dd")</f>
        <v>2026-05-16</v>
      </c>
      <c r="D14">
        <f>Mass!$B$4</f>
        <v>0</v>
      </c>
      <c r="E14" t="str">
        <f>Mass!$B$5</f>
        <v>Initial business jet baseline (Challenger 350 / Praetor 500 class)</v>
      </c>
      <c r="F14">
        <f>Mass!A30</f>
        <v>24</v>
      </c>
      <c r="G14" t="str">
        <f>Mass!B30</f>
        <v>APU Generator</v>
      </c>
      <c r="H14" t="e">
        <f>Mass!#REF!</f>
        <v>#REF!</v>
      </c>
      <c r="I14">
        <f>Mass!C30</f>
        <v>1</v>
      </c>
      <c r="J14">
        <f>Mass!D30</f>
        <v>55.115499999999997</v>
      </c>
      <c r="K14">
        <f>Mass!E30</f>
        <v>55.115499999999997</v>
      </c>
      <c r="L14">
        <f>Mass!F30</f>
        <v>63.976379999999999</v>
      </c>
      <c r="M14">
        <f>Mass!G30</f>
        <v>0</v>
      </c>
      <c r="N14">
        <f>Mass!H30</f>
        <v>7.8740159999999992</v>
      </c>
      <c r="O14">
        <f>Mass!I30</f>
        <v>3526.09017189</v>
      </c>
      <c r="P14">
        <f>Mass!J30</f>
        <v>0</v>
      </c>
      <c r="Q14">
        <f>Mass!K30</f>
        <v>433.98032884799994</v>
      </c>
      <c r="R14" t="str">
        <f>Mass!L30</f>
        <v>On APU</v>
      </c>
    </row>
    <row r="15" spans="1:20" x14ac:dyDescent="0.3">
      <c r="A15" t="str">
        <f>Mass!$B$1</f>
        <v>0.1.7</v>
      </c>
      <c r="B15" t="str">
        <f>Mass!$B$2</f>
        <v>Draft</v>
      </c>
      <c r="C15" t="str">
        <f>TEXT(Mass!$B$3,"yyyy-mm-dd")</f>
        <v>2026-05-16</v>
      </c>
      <c r="D15">
        <f>Mass!$B$4</f>
        <v>0</v>
      </c>
      <c r="E15" t="str">
        <f>Mass!$B$5</f>
        <v>Initial business jet baseline (Challenger 350 / Praetor 500 class)</v>
      </c>
      <c r="F15">
        <f>Mass!A31</f>
        <v>24</v>
      </c>
      <c r="G15" t="str">
        <f>Mass!B31</f>
        <v>Main Battery</v>
      </c>
      <c r="H15" t="e">
        <f>Mass!#REF!</f>
        <v>#REF!</v>
      </c>
      <c r="I15">
        <f>Mass!C31</f>
        <v>2</v>
      </c>
      <c r="J15">
        <f>Mass!D31</f>
        <v>48.501639999999995</v>
      </c>
      <c r="K15">
        <f>Mass!E31</f>
        <v>97.00327999999999</v>
      </c>
      <c r="L15">
        <f>Mass!F31</f>
        <v>9.1863519999999994</v>
      </c>
      <c r="M15">
        <f>Mass!G31</f>
        <v>0</v>
      </c>
      <c r="N15">
        <f>Mass!H31</f>
        <v>2.9527559999999999</v>
      </c>
      <c r="O15">
        <f>Mass!I31</f>
        <v>891.1062752345598</v>
      </c>
      <c r="P15">
        <f>Mass!J31</f>
        <v>0</v>
      </c>
      <c r="Q15">
        <f>Mass!K31</f>
        <v>286.42701703967998</v>
      </c>
      <c r="R15" t="str">
        <f>Mass!L31</f>
        <v>Fwd equipment bay, 2x NiCd</v>
      </c>
    </row>
    <row r="16" spans="1:20" x14ac:dyDescent="0.3">
      <c r="A16" t="str">
        <f>Mass!$B$1</f>
        <v>0.1.7</v>
      </c>
      <c r="B16" t="str">
        <f>Mass!$B$2</f>
        <v>Draft</v>
      </c>
      <c r="C16" t="str">
        <f>TEXT(Mass!$B$3,"yyyy-mm-dd")</f>
        <v>2026-05-16</v>
      </c>
      <c r="D16">
        <f>Mass!$B$4</f>
        <v>0</v>
      </c>
      <c r="E16" t="str">
        <f>Mass!$B$5</f>
        <v>Initial business jet baseline (Challenger 350 / Praetor 500 class)</v>
      </c>
      <c r="F16">
        <f>Mass!A32</f>
        <v>24</v>
      </c>
      <c r="G16" t="str">
        <f>Mass!B32</f>
        <v>TRU 1</v>
      </c>
      <c r="H16" t="e">
        <f>Mass!#REF!</f>
        <v>#REF!</v>
      </c>
      <c r="I16">
        <f>Mass!C32</f>
        <v>1</v>
      </c>
      <c r="J16">
        <f>Mass!D32</f>
        <v>39.683159999999994</v>
      </c>
      <c r="K16">
        <f>Mass!E32</f>
        <v>39.683159999999994</v>
      </c>
      <c r="L16">
        <f>Mass!F32</f>
        <v>9.8425200000000004</v>
      </c>
      <c r="M16">
        <f>Mass!G32</f>
        <v>-0.9842519999999999</v>
      </c>
      <c r="N16">
        <f>Mass!H32</f>
        <v>4.5931759999999997</v>
      </c>
      <c r="O16">
        <f>Mass!I32</f>
        <v>390.58229596319995</v>
      </c>
      <c r="P16">
        <f>Mass!J32</f>
        <v>-39.05822959631999</v>
      </c>
      <c r="Q16">
        <f>Mass!K32</f>
        <v>182.27173811615995</v>
      </c>
      <c r="R16">
        <f>Mass!L32</f>
        <v>0</v>
      </c>
    </row>
    <row r="17" spans="1:18" x14ac:dyDescent="0.3">
      <c r="A17" t="str">
        <f>Mass!$B$1</f>
        <v>0.1.7</v>
      </c>
      <c r="B17" t="str">
        <f>Mass!$B$2</f>
        <v>Draft</v>
      </c>
      <c r="C17" t="str">
        <f>TEXT(Mass!$B$3,"yyyy-mm-dd")</f>
        <v>2026-05-16</v>
      </c>
      <c r="D17">
        <f>Mass!$B$4</f>
        <v>0</v>
      </c>
      <c r="E17" t="str">
        <f>Mass!$B$5</f>
        <v>Initial business jet baseline (Challenger 350 / Praetor 500 class)</v>
      </c>
      <c r="F17">
        <f>Mass!A33</f>
        <v>24</v>
      </c>
      <c r="G17" t="str">
        <f>Mass!B33</f>
        <v>TRU 2</v>
      </c>
      <c r="H17" t="e">
        <f>Mass!#REF!</f>
        <v>#REF!</v>
      </c>
      <c r="I17">
        <f>Mass!C33</f>
        <v>1</v>
      </c>
      <c r="J17">
        <f>Mass!D33</f>
        <v>39.683159999999994</v>
      </c>
      <c r="K17">
        <f>Mass!E33</f>
        <v>39.683159999999994</v>
      </c>
      <c r="L17">
        <f>Mass!F33</f>
        <v>9.8425200000000004</v>
      </c>
      <c r="M17">
        <f>Mass!G33</f>
        <v>0.9842519999999999</v>
      </c>
      <c r="N17">
        <f>Mass!H33</f>
        <v>4.5931759999999997</v>
      </c>
      <c r="O17">
        <f>Mass!I33</f>
        <v>390.58229596319995</v>
      </c>
      <c r="P17">
        <f>Mass!J33</f>
        <v>39.05822959631999</v>
      </c>
      <c r="Q17">
        <f>Mass!K33</f>
        <v>182.27173811615995</v>
      </c>
      <c r="R17">
        <f>Mass!L33</f>
        <v>0</v>
      </c>
    </row>
    <row r="18" spans="1:18" x14ac:dyDescent="0.3">
      <c r="A18" t="str">
        <f>Mass!$B$1</f>
        <v>0.1.7</v>
      </c>
      <c r="B18" t="str">
        <f>Mass!$B$2</f>
        <v>Draft</v>
      </c>
      <c r="C18" t="str">
        <f>TEXT(Mass!$B$3,"yyyy-mm-dd")</f>
        <v>2026-05-16</v>
      </c>
      <c r="D18">
        <f>Mass!$B$4</f>
        <v>0</v>
      </c>
      <c r="E18" t="str">
        <f>Mass!$B$5</f>
        <v>Initial business jet baseline (Challenger 350 / Praetor 500 class)</v>
      </c>
      <c r="F18">
        <f>Mass!A36</f>
        <v>25</v>
      </c>
      <c r="G18" t="str">
        <f>Mass!B36</f>
        <v>Flight Deck Seats</v>
      </c>
      <c r="H18" t="e">
        <f>Mass!#REF!</f>
        <v>#REF!</v>
      </c>
      <c r="I18">
        <f>Mass!C36</f>
        <v>2</v>
      </c>
      <c r="J18">
        <f>Mass!D36</f>
        <v>77.161699999999996</v>
      </c>
      <c r="K18">
        <f>Mass!E36</f>
        <v>154.32339999999999</v>
      </c>
      <c r="L18">
        <f>Mass!F36</f>
        <v>10.498688000000001</v>
      </c>
      <c r="M18">
        <f>Mass!G36</f>
        <v>0</v>
      </c>
      <c r="N18">
        <f>Mass!H36</f>
        <v>5.2493440000000007</v>
      </c>
      <c r="O18">
        <f>Mass!I36</f>
        <v>1620.1932276992002</v>
      </c>
      <c r="P18">
        <f>Mass!J36</f>
        <v>0</v>
      </c>
      <c r="Q18">
        <f>Mass!K36</f>
        <v>810.09661384960009</v>
      </c>
      <c r="R18" t="str">
        <f>Mass!L36</f>
        <v>2 crew</v>
      </c>
    </row>
    <row r="19" spans="1:18" x14ac:dyDescent="0.3">
      <c r="A19" t="str">
        <f>Mass!$B$1</f>
        <v>0.1.7</v>
      </c>
      <c r="B19" t="str">
        <f>Mass!$B$2</f>
        <v>Draft</v>
      </c>
      <c r="C19" t="str">
        <f>TEXT(Mass!$B$3,"yyyy-mm-dd")</f>
        <v>2026-05-16</v>
      </c>
      <c r="D19">
        <f>Mass!$B$4</f>
        <v>0</v>
      </c>
      <c r="E19" t="str">
        <f>Mass!$B$5</f>
        <v>Initial business jet baseline (Challenger 350 / Praetor 500 class)</v>
      </c>
      <c r="F19">
        <f>Mass!A37</f>
        <v>25</v>
      </c>
      <c r="G19" t="str">
        <f>Mass!B37</f>
        <v>Cabin Seats</v>
      </c>
      <c r="H19" t="e">
        <f>Mass!#REF!</f>
        <v>#REF!</v>
      </c>
      <c r="I19">
        <f>Mass!C37</f>
        <v>9</v>
      </c>
      <c r="J19">
        <f>Mass!D37</f>
        <v>99.207899999999995</v>
      </c>
      <c r="K19">
        <f>Mass!E37</f>
        <v>892.87109999999996</v>
      </c>
      <c r="L19">
        <f>Mass!F37</f>
        <v>27.887139999999999</v>
      </c>
      <c r="M19">
        <f>Mass!G37</f>
        <v>0</v>
      </c>
      <c r="N19">
        <f>Mass!H37</f>
        <v>5.2493440000000007</v>
      </c>
      <c r="O19">
        <f>Mass!I37</f>
        <v>24899.621367653999</v>
      </c>
      <c r="P19">
        <f>Mass!J37</f>
        <v>0</v>
      </c>
      <c r="Q19">
        <f>Mass!K37</f>
        <v>4686.9875515584008</v>
      </c>
      <c r="R19" t="str">
        <f>Mass!L37</f>
        <v>9 pax club + divan avg position</v>
      </c>
    </row>
    <row r="20" spans="1:18" x14ac:dyDescent="0.3">
      <c r="A20" t="str">
        <f>Mass!$B$1</f>
        <v>0.1.7</v>
      </c>
      <c r="B20" t="str">
        <f>Mass!$B$2</f>
        <v>Draft</v>
      </c>
      <c r="C20" t="str">
        <f>TEXT(Mass!$B$3,"yyyy-mm-dd")</f>
        <v>2026-05-16</v>
      </c>
      <c r="D20">
        <f>Mass!$B$4</f>
        <v>0</v>
      </c>
      <c r="E20" t="str">
        <f>Mass!$B$5</f>
        <v>Initial business jet baseline (Challenger 350 / Praetor 500 class)</v>
      </c>
      <c r="F20">
        <f>Mass!A38</f>
        <v>25</v>
      </c>
      <c r="G20" t="str">
        <f>Mass!B38</f>
        <v>Galley Fwd</v>
      </c>
      <c r="H20" t="e">
        <f>Mass!#REF!</f>
        <v>#REF!</v>
      </c>
      <c r="I20">
        <f>Mass!C38</f>
        <v>1</v>
      </c>
      <c r="J20">
        <f>Mass!D38</f>
        <v>198.41579999999999</v>
      </c>
      <c r="K20">
        <f>Mass!E38</f>
        <v>198.41579999999999</v>
      </c>
      <c r="L20">
        <f>Mass!F38</f>
        <v>16.404199999999999</v>
      </c>
      <c r="M20">
        <f>Mass!G38</f>
        <v>-1.3123360000000002</v>
      </c>
      <c r="N20">
        <f>Mass!H38</f>
        <v>5.5774279999999994</v>
      </c>
      <c r="O20">
        <f>Mass!I38</f>
        <v>3254.8524663599997</v>
      </c>
      <c r="P20">
        <f>Mass!J38</f>
        <v>-260.38819730880004</v>
      </c>
      <c r="Q20">
        <f>Mass!K38</f>
        <v>1106.6498385623997</v>
      </c>
      <c r="R20">
        <f>Mass!L38</f>
        <v>0</v>
      </c>
    </row>
    <row r="21" spans="1:18" x14ac:dyDescent="0.3">
      <c r="A21" t="str">
        <f>Mass!$B$1</f>
        <v>0.1.7</v>
      </c>
      <c r="B21" t="str">
        <f>Mass!$B$2</f>
        <v>Draft</v>
      </c>
      <c r="C21" t="str">
        <f>TEXT(Mass!$B$3,"yyyy-mm-dd")</f>
        <v>2026-05-16</v>
      </c>
      <c r="D21">
        <f>Mass!$B$4</f>
        <v>0</v>
      </c>
      <c r="E21" t="str">
        <f>Mass!$B$5</f>
        <v>Initial business jet baseline (Challenger 350 / Praetor 500 class)</v>
      </c>
      <c r="F21">
        <f>Mass!A39</f>
        <v>25</v>
      </c>
      <c r="G21" t="str">
        <f>Mass!B39</f>
        <v>Galley Aft</v>
      </c>
      <c r="H21" t="e">
        <f>Mass!#REF!</f>
        <v>#REF!</v>
      </c>
      <c r="I21">
        <f>Mass!C39</f>
        <v>1</v>
      </c>
      <c r="J21">
        <f>Mass!D39</f>
        <v>132.27719999999999</v>
      </c>
      <c r="K21">
        <f>Mass!E39</f>
        <v>132.27719999999999</v>
      </c>
      <c r="L21">
        <f>Mass!F39</f>
        <v>45.931759999999997</v>
      </c>
      <c r="M21">
        <f>Mass!G39</f>
        <v>1.3123360000000002</v>
      </c>
      <c r="N21">
        <f>Mass!H39</f>
        <v>5.5774279999999994</v>
      </c>
      <c r="O21">
        <f>Mass!I39</f>
        <v>6075.7246038719995</v>
      </c>
      <c r="P21">
        <f>Mass!J39</f>
        <v>173.59213153920001</v>
      </c>
      <c r="Q21">
        <f>Mass!K39</f>
        <v>737.76655904159986</v>
      </c>
      <c r="R21">
        <f>Mass!L39</f>
        <v>0</v>
      </c>
    </row>
    <row r="22" spans="1:18" x14ac:dyDescent="0.3">
      <c r="A22" t="str">
        <f>Mass!$B$1</f>
        <v>0.1.7</v>
      </c>
      <c r="B22" t="str">
        <f>Mass!$B$2</f>
        <v>Draft</v>
      </c>
      <c r="C22" t="str">
        <f>TEXT(Mass!$B$3,"yyyy-mm-dd")</f>
        <v>2026-05-16</v>
      </c>
      <c r="D22">
        <f>Mass!$B$4</f>
        <v>0</v>
      </c>
      <c r="E22" t="str">
        <f>Mass!$B$5</f>
        <v>Initial business jet baseline (Challenger 350 / Praetor 500 class)</v>
      </c>
      <c r="F22">
        <f>Mass!A40</f>
        <v>25</v>
      </c>
      <c r="G22" t="str">
        <f>Mass!B40</f>
        <v>Lavatory Fwd</v>
      </c>
      <c r="H22" t="e">
        <f>Mass!#REF!</f>
        <v>#REF!</v>
      </c>
      <c r="I22">
        <f>Mass!C40</f>
        <v>1</v>
      </c>
      <c r="J22">
        <f>Mass!D40</f>
        <v>88.184799999999996</v>
      </c>
      <c r="K22">
        <f>Mass!E40</f>
        <v>88.184799999999996</v>
      </c>
      <c r="L22">
        <f>Mass!F40</f>
        <v>18.044619999999998</v>
      </c>
      <c r="M22">
        <f>Mass!G40</f>
        <v>1.3123360000000002</v>
      </c>
      <c r="N22">
        <f>Mass!H40</f>
        <v>5.5774279999999994</v>
      </c>
      <c r="O22">
        <f>Mass!I40</f>
        <v>1591.2612057759998</v>
      </c>
      <c r="P22">
        <f>Mass!J40</f>
        <v>115.7280876928</v>
      </c>
      <c r="Q22">
        <f>Mass!K40</f>
        <v>491.84437269439991</v>
      </c>
      <c r="R22">
        <f>Mass!L40</f>
        <v>0</v>
      </c>
    </row>
    <row r="23" spans="1:18" x14ac:dyDescent="0.3">
      <c r="A23" t="str">
        <f>Mass!$B$1</f>
        <v>0.1.7</v>
      </c>
      <c r="B23" t="str">
        <f>Mass!$B$2</f>
        <v>Draft</v>
      </c>
      <c r="C23" t="str">
        <f>TEXT(Mass!$B$3,"yyyy-mm-dd")</f>
        <v>2026-05-16</v>
      </c>
      <c r="D23">
        <f>Mass!$B$4</f>
        <v>0</v>
      </c>
      <c r="E23" t="str">
        <f>Mass!$B$5</f>
        <v>Initial business jet baseline (Challenger 350 / Praetor 500 class)</v>
      </c>
      <c r="F23">
        <f>Mass!A41</f>
        <v>25</v>
      </c>
      <c r="G23" t="str">
        <f>Mass!B41</f>
        <v>Lavatory Aft</v>
      </c>
      <c r="H23" t="e">
        <f>Mass!#REF!</f>
        <v>#REF!</v>
      </c>
      <c r="I23">
        <f>Mass!C41</f>
        <v>1</v>
      </c>
      <c r="J23">
        <f>Mass!D41</f>
        <v>121.25409999999999</v>
      </c>
      <c r="K23">
        <f>Mass!E41</f>
        <v>121.25409999999999</v>
      </c>
      <c r="L23">
        <f>Mass!F41</f>
        <v>50.853020000000001</v>
      </c>
      <c r="M23">
        <f>Mass!G41</f>
        <v>0</v>
      </c>
      <c r="N23">
        <f>Mass!H41</f>
        <v>5.5774279999999994</v>
      </c>
      <c r="O23">
        <f>Mass!I41</f>
        <v>6166.1371723819993</v>
      </c>
      <c r="P23">
        <f>Mass!J41</f>
        <v>0</v>
      </c>
      <c r="Q23">
        <f>Mass!K41</f>
        <v>676.2860124547999</v>
      </c>
      <c r="R23">
        <f>Mass!L41</f>
        <v>0</v>
      </c>
    </row>
    <row r="24" spans="1:18" x14ac:dyDescent="0.3">
      <c r="A24" t="str">
        <f>Mass!$B$1</f>
        <v>0.1.7</v>
      </c>
      <c r="B24" t="str">
        <f>Mass!$B$2</f>
        <v>Draft</v>
      </c>
      <c r="C24" t="str">
        <f>TEXT(Mass!$B$3,"yyyy-mm-dd")</f>
        <v>2026-05-16</v>
      </c>
      <c r="D24">
        <f>Mass!$B$4</f>
        <v>0</v>
      </c>
      <c r="E24" t="str">
        <f>Mass!$B$5</f>
        <v>Initial business jet baseline (Challenger 350 / Praetor 500 class)</v>
      </c>
      <c r="F24">
        <f>Mass!A42</f>
        <v>25</v>
      </c>
      <c r="G24" t="str">
        <f>Mass!B42</f>
        <v>Overhead Bins</v>
      </c>
      <c r="H24" t="e">
        <f>Mass!#REF!</f>
        <v>#REF!</v>
      </c>
      <c r="I24">
        <f>Mass!C42</f>
        <v>1</v>
      </c>
      <c r="J24">
        <f>Mass!D42</f>
        <v>264.55439999999999</v>
      </c>
      <c r="K24">
        <f>Mass!E42</f>
        <v>264.55439999999999</v>
      </c>
      <c r="L24">
        <f>Mass!F42</f>
        <v>27.887139999999999</v>
      </c>
      <c r="M24">
        <f>Mass!G42</f>
        <v>0</v>
      </c>
      <c r="N24">
        <f>Mass!H42</f>
        <v>7.8740159999999992</v>
      </c>
      <c r="O24">
        <f>Mass!I42</f>
        <v>7377.6655904159988</v>
      </c>
      <c r="P24">
        <f>Mass!J42</f>
        <v>0</v>
      </c>
      <c r="Q24">
        <f>Mass!K42</f>
        <v>2083.1055784703999</v>
      </c>
      <c r="R24" t="str">
        <f>Mass!L42</f>
        <v>Distributed, lumped at cabin centroid</v>
      </c>
    </row>
    <row r="25" spans="1:18" x14ac:dyDescent="0.3">
      <c r="A25" t="str">
        <f>Mass!$B$1</f>
        <v>0.1.7</v>
      </c>
      <c r="B25" t="str">
        <f>Mass!$B$2</f>
        <v>Draft</v>
      </c>
      <c r="C25" t="str">
        <f>TEXT(Mass!$B$3,"yyyy-mm-dd")</f>
        <v>2026-05-16</v>
      </c>
      <c r="D25">
        <f>Mass!$B$4</f>
        <v>0</v>
      </c>
      <c r="E25" t="str">
        <f>Mass!$B$5</f>
        <v>Initial business jet baseline (Challenger 350 / Praetor 500 class)</v>
      </c>
      <c r="F25">
        <f>Mass!A45</f>
        <v>26</v>
      </c>
      <c r="G25" t="str">
        <f>Mass!B45</f>
        <v>Engine 1 Fire Bottle</v>
      </c>
      <c r="H25" t="e">
        <f>Mass!#REF!</f>
        <v>#REF!</v>
      </c>
      <c r="I25">
        <f>Mass!C45</f>
        <v>1</v>
      </c>
      <c r="J25">
        <f>Mass!D45</f>
        <v>17.636959999999998</v>
      </c>
      <c r="K25">
        <f>Mass!E45</f>
        <v>17.636959999999998</v>
      </c>
      <c r="L25">
        <f>Mass!F45</f>
        <v>39.370080000000002</v>
      </c>
      <c r="M25">
        <f>Mass!G45</f>
        <v>-1.9685039999999998</v>
      </c>
      <c r="N25">
        <f>Mass!H45</f>
        <v>7.5459319999999996</v>
      </c>
      <c r="O25">
        <f>Mass!I45</f>
        <v>694.36852615679993</v>
      </c>
      <c r="P25">
        <f>Mass!J45</f>
        <v>-34.718426307839991</v>
      </c>
      <c r="Q25">
        <f>Mass!K45</f>
        <v>133.08730084671998</v>
      </c>
      <c r="R25">
        <f>Mass!L45</f>
        <v>0</v>
      </c>
    </row>
    <row r="26" spans="1:18" x14ac:dyDescent="0.3">
      <c r="A26" t="str">
        <f>Mass!$B$1</f>
        <v>0.1.7</v>
      </c>
      <c r="B26" t="str">
        <f>Mass!$B$2</f>
        <v>Draft</v>
      </c>
      <c r="C26" t="str">
        <f>TEXT(Mass!$B$3,"yyyy-mm-dd")</f>
        <v>2026-05-16</v>
      </c>
      <c r="D26">
        <f>Mass!$B$4</f>
        <v>0</v>
      </c>
      <c r="E26" t="str">
        <f>Mass!$B$5</f>
        <v>Initial business jet baseline (Challenger 350 / Praetor 500 class)</v>
      </c>
      <c r="F26">
        <f>Mass!A46</f>
        <v>26</v>
      </c>
      <c r="G26" t="str">
        <f>Mass!B46</f>
        <v>Engine 2 Fire Bottle</v>
      </c>
      <c r="H26" t="e">
        <f>Mass!#REF!</f>
        <v>#REF!</v>
      </c>
      <c r="I26">
        <f>Mass!C46</f>
        <v>1</v>
      </c>
      <c r="J26">
        <f>Mass!D46</f>
        <v>17.636959999999998</v>
      </c>
      <c r="K26">
        <f>Mass!E46</f>
        <v>17.636959999999998</v>
      </c>
      <c r="L26">
        <f>Mass!F46</f>
        <v>39.370080000000002</v>
      </c>
      <c r="M26">
        <f>Mass!G46</f>
        <v>1.9685039999999998</v>
      </c>
      <c r="N26">
        <f>Mass!H46</f>
        <v>7.5459319999999996</v>
      </c>
      <c r="O26">
        <f>Mass!I46</f>
        <v>694.36852615679993</v>
      </c>
      <c r="P26">
        <f>Mass!J46</f>
        <v>34.718426307839991</v>
      </c>
      <c r="Q26">
        <f>Mass!K46</f>
        <v>133.08730084671998</v>
      </c>
      <c r="R26">
        <f>Mass!L46</f>
        <v>0</v>
      </c>
    </row>
    <row r="27" spans="1:18" x14ac:dyDescent="0.3">
      <c r="A27" t="str">
        <f>Mass!$B$1</f>
        <v>0.1.7</v>
      </c>
      <c r="B27" t="str">
        <f>Mass!$B$2</f>
        <v>Draft</v>
      </c>
      <c r="C27" t="str">
        <f>TEXT(Mass!$B$3,"yyyy-mm-dd")</f>
        <v>2026-05-16</v>
      </c>
      <c r="D27">
        <f>Mass!$B$4</f>
        <v>0</v>
      </c>
      <c r="E27" t="str">
        <f>Mass!$B$5</f>
        <v>Initial business jet baseline (Challenger 350 / Praetor 500 class)</v>
      </c>
      <c r="F27">
        <f>Mass!A47</f>
        <v>26</v>
      </c>
      <c r="G27" t="str">
        <f>Mass!B47</f>
        <v>APU Fire Bottle</v>
      </c>
      <c r="H27" t="e">
        <f>Mass!#REF!</f>
        <v>#REF!</v>
      </c>
      <c r="I27">
        <f>Mass!C47</f>
        <v>1</v>
      </c>
      <c r="J27">
        <f>Mass!D47</f>
        <v>13.227719999999998</v>
      </c>
      <c r="K27">
        <f>Mass!E47</f>
        <v>13.227719999999998</v>
      </c>
      <c r="L27">
        <f>Mass!F47</f>
        <v>62.33596</v>
      </c>
      <c r="M27">
        <f>Mass!G47</f>
        <v>0</v>
      </c>
      <c r="N27">
        <f>Mass!H47</f>
        <v>7.5459319999999996</v>
      </c>
      <c r="O27">
        <f>Mass!I47</f>
        <v>824.56262481119984</v>
      </c>
      <c r="P27">
        <f>Mass!J47</f>
        <v>0</v>
      </c>
      <c r="Q27">
        <f>Mass!K47</f>
        <v>99.815475635039974</v>
      </c>
      <c r="R27">
        <f>Mass!L47</f>
        <v>0</v>
      </c>
    </row>
    <row r="28" spans="1:18" x14ac:dyDescent="0.3">
      <c r="A28" t="str">
        <f>Mass!$B$1</f>
        <v>0.1.7</v>
      </c>
      <c r="B28" t="str">
        <f>Mass!$B$2</f>
        <v>Draft</v>
      </c>
      <c r="C28" t="str">
        <f>TEXT(Mass!$B$3,"yyyy-mm-dd")</f>
        <v>2026-05-16</v>
      </c>
      <c r="D28">
        <f>Mass!$B$4</f>
        <v>0</v>
      </c>
      <c r="E28" t="str">
        <f>Mass!$B$5</f>
        <v>Initial business jet baseline (Challenger 350 / Praetor 500 class)</v>
      </c>
      <c r="F28">
        <f>Mass!A48</f>
        <v>26</v>
      </c>
      <c r="G28" t="str">
        <f>Mass!B48</f>
        <v>Cargo Fire Bottles</v>
      </c>
      <c r="H28" t="e">
        <f>Mass!#REF!</f>
        <v>#REF!</v>
      </c>
      <c r="I28">
        <f>Mass!C48</f>
        <v>2</v>
      </c>
      <c r="J28">
        <f>Mass!D48</f>
        <v>15.432339999999998</v>
      </c>
      <c r="K28">
        <f>Mass!E48</f>
        <v>30.864679999999996</v>
      </c>
      <c r="L28">
        <f>Mass!F48</f>
        <v>54.133859999999999</v>
      </c>
      <c r="M28">
        <f>Mass!G48</f>
        <v>0</v>
      </c>
      <c r="N28">
        <f>Mass!H48</f>
        <v>3.28084</v>
      </c>
      <c r="O28">
        <f>Mass!I48</f>
        <v>1670.8242660647998</v>
      </c>
      <c r="P28">
        <f>Mass!J48</f>
        <v>0</v>
      </c>
      <c r="Q28">
        <f>Mass!K48</f>
        <v>101.26207673119998</v>
      </c>
      <c r="R28">
        <f>Mass!L48</f>
        <v>0</v>
      </c>
    </row>
    <row r="29" spans="1:18" x14ac:dyDescent="0.3">
      <c r="A29" t="str">
        <f>Mass!$B$1</f>
        <v>0.1.7</v>
      </c>
      <c r="B29" t="str">
        <f>Mass!$B$2</f>
        <v>Draft</v>
      </c>
      <c r="C29" t="str">
        <f>TEXT(Mass!$B$3,"yyyy-mm-dd")</f>
        <v>2026-05-16</v>
      </c>
      <c r="D29">
        <f>Mass!$B$4</f>
        <v>0</v>
      </c>
      <c r="E29" t="str">
        <f>Mass!$B$5</f>
        <v>Initial business jet baseline (Challenger 350 / Praetor 500 class)</v>
      </c>
      <c r="F29">
        <f>Mass!A51</f>
        <v>27</v>
      </c>
      <c r="G29" t="str">
        <f>Mass!B51</f>
        <v>Aileron LH</v>
      </c>
      <c r="H29" t="e">
        <f>Mass!#REF!</f>
        <v>#REF!</v>
      </c>
      <c r="I29">
        <f>Mass!C51</f>
        <v>1</v>
      </c>
      <c r="J29">
        <f>Mass!D51</f>
        <v>39.683159999999994</v>
      </c>
      <c r="K29">
        <f>Mass!E51</f>
        <v>39.683159999999994</v>
      </c>
      <c r="L29">
        <f>Mass!F51</f>
        <v>36.089239999999997</v>
      </c>
      <c r="M29">
        <f>Mass!G51</f>
        <v>-24.606300000000001</v>
      </c>
      <c r="N29">
        <f>Mass!H51</f>
        <v>7.2178480000000009</v>
      </c>
      <c r="O29">
        <f>Mass!I51</f>
        <v>1432.1350851983996</v>
      </c>
      <c r="P29">
        <f>Mass!J51</f>
        <v>-976.45573990799983</v>
      </c>
      <c r="Q29">
        <f>Mass!K51</f>
        <v>286.42701703967998</v>
      </c>
      <c r="R29">
        <f>Mass!L51</f>
        <v>0</v>
      </c>
    </row>
    <row r="30" spans="1:18" x14ac:dyDescent="0.3">
      <c r="A30" t="str">
        <f>Mass!$B$1</f>
        <v>0.1.7</v>
      </c>
      <c r="B30" t="str">
        <f>Mass!$B$2</f>
        <v>Draft</v>
      </c>
      <c r="C30" t="str">
        <f>TEXT(Mass!$B$3,"yyyy-mm-dd")</f>
        <v>2026-05-16</v>
      </c>
      <c r="D30">
        <f>Mass!$B$4</f>
        <v>0</v>
      </c>
      <c r="E30" t="str">
        <f>Mass!$B$5</f>
        <v>Initial business jet baseline (Challenger 350 / Praetor 500 class)</v>
      </c>
      <c r="F30">
        <f>Mass!A52</f>
        <v>27</v>
      </c>
      <c r="G30" t="str">
        <f>Mass!B52</f>
        <v>Aileron RH</v>
      </c>
      <c r="H30" t="e">
        <f>Mass!#REF!</f>
        <v>#REF!</v>
      </c>
      <c r="I30">
        <f>Mass!C52</f>
        <v>1</v>
      </c>
      <c r="J30">
        <f>Mass!D52</f>
        <v>39.683159999999994</v>
      </c>
      <c r="K30">
        <f>Mass!E52</f>
        <v>39.683159999999994</v>
      </c>
      <c r="L30">
        <f>Mass!F52</f>
        <v>36.089239999999997</v>
      </c>
      <c r="M30">
        <f>Mass!G52</f>
        <v>24.606300000000001</v>
      </c>
      <c r="N30">
        <f>Mass!H52</f>
        <v>7.2178480000000009</v>
      </c>
      <c r="O30">
        <f>Mass!I52</f>
        <v>1432.1350851983996</v>
      </c>
      <c r="P30">
        <f>Mass!J52</f>
        <v>976.45573990799983</v>
      </c>
      <c r="Q30">
        <f>Mass!K52</f>
        <v>286.42701703967998</v>
      </c>
      <c r="R30">
        <f>Mass!L52</f>
        <v>0</v>
      </c>
    </row>
    <row r="31" spans="1:18" x14ac:dyDescent="0.3">
      <c r="A31" t="str">
        <f>Mass!$B$1</f>
        <v>0.1.7</v>
      </c>
      <c r="B31" t="str">
        <f>Mass!$B$2</f>
        <v>Draft</v>
      </c>
      <c r="C31" t="str">
        <f>TEXT(Mass!$B$3,"yyyy-mm-dd")</f>
        <v>2026-05-16</v>
      </c>
      <c r="D31">
        <f>Mass!$B$4</f>
        <v>0</v>
      </c>
      <c r="E31" t="str">
        <f>Mass!$B$5</f>
        <v>Initial business jet baseline (Challenger 350 / Praetor 500 class)</v>
      </c>
      <c r="F31">
        <f>Mass!A53</f>
        <v>27</v>
      </c>
      <c r="G31" t="str">
        <f>Mass!B53</f>
        <v>Elevator LH</v>
      </c>
      <c r="H31" t="e">
        <f>Mass!#REF!</f>
        <v>#REF!</v>
      </c>
      <c r="I31">
        <f>Mass!C53</f>
        <v>1</v>
      </c>
      <c r="J31">
        <f>Mass!D53</f>
        <v>48.501639999999995</v>
      </c>
      <c r="K31">
        <f>Mass!E53</f>
        <v>48.501639999999995</v>
      </c>
      <c r="L31">
        <f>Mass!F53</f>
        <v>63.976379999999999</v>
      </c>
      <c r="M31">
        <f>Mass!G53</f>
        <v>-6.56168</v>
      </c>
      <c r="N31">
        <f>Mass!H53</f>
        <v>16.404199999999999</v>
      </c>
      <c r="O31">
        <f>Mass!I53</f>
        <v>3102.9593512631996</v>
      </c>
      <c r="P31">
        <f>Mass!J53</f>
        <v>-318.25224115519995</v>
      </c>
      <c r="Q31">
        <f>Mass!K53</f>
        <v>795.63060288799988</v>
      </c>
      <c r="R31" t="str">
        <f>Mass!L53</f>
        <v>T-tail</v>
      </c>
    </row>
    <row r="32" spans="1:18" x14ac:dyDescent="0.3">
      <c r="A32" t="str">
        <f>Mass!$B$1</f>
        <v>0.1.7</v>
      </c>
      <c r="B32" t="str">
        <f>Mass!$B$2</f>
        <v>Draft</v>
      </c>
      <c r="C32" t="str">
        <f>TEXT(Mass!$B$3,"yyyy-mm-dd")</f>
        <v>2026-05-16</v>
      </c>
      <c r="D32">
        <f>Mass!$B$4</f>
        <v>0</v>
      </c>
      <c r="E32" t="str">
        <f>Mass!$B$5</f>
        <v>Initial business jet baseline (Challenger 350 / Praetor 500 class)</v>
      </c>
      <c r="F32">
        <f>Mass!A54</f>
        <v>27</v>
      </c>
      <c r="G32" t="str">
        <f>Mass!B54</f>
        <v>Elevator RH</v>
      </c>
      <c r="H32" t="e">
        <f>Mass!#REF!</f>
        <v>#REF!</v>
      </c>
      <c r="I32">
        <f>Mass!C54</f>
        <v>1</v>
      </c>
      <c r="J32">
        <f>Mass!D54</f>
        <v>48.501639999999995</v>
      </c>
      <c r="K32">
        <f>Mass!E54</f>
        <v>48.501639999999995</v>
      </c>
      <c r="L32">
        <f>Mass!F54</f>
        <v>63.976379999999999</v>
      </c>
      <c r="M32">
        <f>Mass!G54</f>
        <v>6.56168</v>
      </c>
      <c r="N32">
        <f>Mass!H54</f>
        <v>16.404199999999999</v>
      </c>
      <c r="O32">
        <f>Mass!I54</f>
        <v>3102.9593512631996</v>
      </c>
      <c r="P32">
        <f>Mass!J54</f>
        <v>318.25224115519995</v>
      </c>
      <c r="Q32">
        <f>Mass!K54</f>
        <v>795.63060288799988</v>
      </c>
      <c r="R32" t="str">
        <f>Mass!L54</f>
        <v>T-tail</v>
      </c>
    </row>
    <row r="33" spans="1:18" x14ac:dyDescent="0.3">
      <c r="A33" t="str">
        <f>Mass!$B$1</f>
        <v>0.1.7</v>
      </c>
      <c r="B33" t="str">
        <f>Mass!$B$2</f>
        <v>Draft</v>
      </c>
      <c r="C33" t="str">
        <f>TEXT(Mass!$B$3,"yyyy-mm-dd")</f>
        <v>2026-05-16</v>
      </c>
      <c r="D33">
        <f>Mass!$B$4</f>
        <v>0</v>
      </c>
      <c r="E33" t="str">
        <f>Mass!$B$5</f>
        <v>Initial business jet baseline (Challenger 350 / Praetor 500 class)</v>
      </c>
      <c r="F33">
        <f>Mass!A55</f>
        <v>27</v>
      </c>
      <c r="G33" t="str">
        <f>Mass!B55</f>
        <v>Rudder</v>
      </c>
      <c r="H33" t="e">
        <f>Mass!#REF!</f>
        <v>#REF!</v>
      </c>
      <c r="I33">
        <f>Mass!C55</f>
        <v>1</v>
      </c>
      <c r="J33">
        <f>Mass!D55</f>
        <v>66.138599999999997</v>
      </c>
      <c r="K33">
        <f>Mass!E55</f>
        <v>66.138599999999997</v>
      </c>
      <c r="L33">
        <f>Mass!F55</f>
        <v>63.976379999999999</v>
      </c>
      <c r="M33">
        <f>Mass!G55</f>
        <v>0</v>
      </c>
      <c r="N33">
        <f>Mass!H55</f>
        <v>13.779528000000001</v>
      </c>
      <c r="O33">
        <f>Mass!I55</f>
        <v>4231.3082062679996</v>
      </c>
      <c r="P33">
        <f>Mass!J55</f>
        <v>0</v>
      </c>
      <c r="Q33">
        <f>Mass!K55</f>
        <v>911.35869058080004</v>
      </c>
      <c r="R33">
        <f>Mass!L55</f>
        <v>0</v>
      </c>
    </row>
    <row r="34" spans="1:18" x14ac:dyDescent="0.3">
      <c r="A34" t="str">
        <f>Mass!$B$1</f>
        <v>0.1.7</v>
      </c>
      <c r="B34" t="str">
        <f>Mass!$B$2</f>
        <v>Draft</v>
      </c>
      <c r="C34" t="str">
        <f>TEXT(Mass!$B$3,"yyyy-mm-dd")</f>
        <v>2026-05-16</v>
      </c>
      <c r="D34">
        <f>Mass!$B$4</f>
        <v>0</v>
      </c>
      <c r="E34" t="str">
        <f>Mass!$B$5</f>
        <v>Initial business jet baseline (Challenger 350 / Praetor 500 class)</v>
      </c>
      <c r="F34">
        <f>Mass!A56</f>
        <v>27</v>
      </c>
      <c r="G34" t="str">
        <f>Mass!B56</f>
        <v>Flap LH</v>
      </c>
      <c r="H34" t="e">
        <f>Mass!#REF!</f>
        <v>#REF!</v>
      </c>
      <c r="I34">
        <f>Mass!C56</f>
        <v>1</v>
      </c>
      <c r="J34">
        <f>Mass!D56</f>
        <v>121.25409999999999</v>
      </c>
      <c r="K34">
        <f>Mass!E56</f>
        <v>121.25409999999999</v>
      </c>
      <c r="L34">
        <f>Mass!F56</f>
        <v>34.448819999999998</v>
      </c>
      <c r="M34">
        <f>Mass!G56</f>
        <v>-13.12336</v>
      </c>
      <c r="N34">
        <f>Mass!H56</f>
        <v>6.56168</v>
      </c>
      <c r="O34">
        <f>Mass!I56</f>
        <v>4177.0606651619992</v>
      </c>
      <c r="P34">
        <f>Mass!J56</f>
        <v>-1591.261205776</v>
      </c>
      <c r="Q34">
        <f>Mass!K56</f>
        <v>795.630602888</v>
      </c>
      <c r="R34">
        <f>Mass!L56</f>
        <v>0</v>
      </c>
    </row>
    <row r="35" spans="1:18" x14ac:dyDescent="0.3">
      <c r="A35" t="str">
        <f>Mass!$B$1</f>
        <v>0.1.7</v>
      </c>
      <c r="B35" t="str">
        <f>Mass!$B$2</f>
        <v>Draft</v>
      </c>
      <c r="C35" t="str">
        <f>TEXT(Mass!$B$3,"yyyy-mm-dd")</f>
        <v>2026-05-16</v>
      </c>
      <c r="D35">
        <f>Mass!$B$4</f>
        <v>0</v>
      </c>
      <c r="E35" t="str">
        <f>Mass!$B$5</f>
        <v>Initial business jet baseline (Challenger 350 / Praetor 500 class)</v>
      </c>
      <c r="F35">
        <f>Mass!A57</f>
        <v>27</v>
      </c>
      <c r="G35" t="str">
        <f>Mass!B57</f>
        <v>Flap RH</v>
      </c>
      <c r="H35" t="e">
        <f>Mass!#REF!</f>
        <v>#REF!</v>
      </c>
      <c r="I35">
        <f>Mass!C57</f>
        <v>1</v>
      </c>
      <c r="J35">
        <f>Mass!D57</f>
        <v>121.25409999999999</v>
      </c>
      <c r="K35">
        <f>Mass!E57</f>
        <v>121.25409999999999</v>
      </c>
      <c r="L35">
        <f>Mass!F57</f>
        <v>34.448819999999998</v>
      </c>
      <c r="M35">
        <f>Mass!G57</f>
        <v>13.12336</v>
      </c>
      <c r="N35">
        <f>Mass!H57</f>
        <v>6.56168</v>
      </c>
      <c r="O35">
        <f>Mass!I57</f>
        <v>4177.0606651619992</v>
      </c>
      <c r="P35">
        <f>Mass!J57</f>
        <v>1591.261205776</v>
      </c>
      <c r="Q35">
        <f>Mass!K57</f>
        <v>795.630602888</v>
      </c>
      <c r="R35">
        <f>Mass!L57</f>
        <v>0</v>
      </c>
    </row>
    <row r="36" spans="1:18" x14ac:dyDescent="0.3">
      <c r="A36" t="str">
        <f>Mass!$B$1</f>
        <v>0.1.7</v>
      </c>
      <c r="B36" t="str">
        <f>Mass!$B$2</f>
        <v>Draft</v>
      </c>
      <c r="C36" t="str">
        <f>TEXT(Mass!$B$3,"yyyy-mm-dd")</f>
        <v>2026-05-16</v>
      </c>
      <c r="D36">
        <f>Mass!$B$4</f>
        <v>0</v>
      </c>
      <c r="E36" t="str">
        <f>Mass!$B$5</f>
        <v>Initial business jet baseline (Challenger 350 / Praetor 500 class)</v>
      </c>
      <c r="F36">
        <f>Mass!A58</f>
        <v>27</v>
      </c>
      <c r="G36" t="str">
        <f>Mass!B58</f>
        <v>Spoilers</v>
      </c>
      <c r="H36" t="e">
        <f>Mass!#REF!</f>
        <v>#REF!</v>
      </c>
      <c r="I36">
        <f>Mass!C58</f>
        <v>4</v>
      </c>
      <c r="J36">
        <f>Mass!D58</f>
        <v>26.455439999999996</v>
      </c>
      <c r="K36">
        <f>Mass!E58</f>
        <v>105.82175999999998</v>
      </c>
      <c r="L36">
        <f>Mass!F58</f>
        <v>35.433072000000003</v>
      </c>
      <c r="M36">
        <f>Mass!G58</f>
        <v>0</v>
      </c>
      <c r="N36">
        <f>Mass!H58</f>
        <v>6.8897640000000004</v>
      </c>
      <c r="O36">
        <f>Mass!I58</f>
        <v>3749.5900412467199</v>
      </c>
      <c r="P36">
        <f>Mass!J58</f>
        <v>0</v>
      </c>
      <c r="Q36">
        <f>Mass!K58</f>
        <v>729.08695246463992</v>
      </c>
      <c r="R36" t="str">
        <f>Mass!L58</f>
        <v>2 per wing</v>
      </c>
    </row>
    <row r="37" spans="1:18" x14ac:dyDescent="0.3">
      <c r="A37" t="str">
        <f>Mass!$B$1</f>
        <v>0.1.7</v>
      </c>
      <c r="B37" t="str">
        <f>Mass!$B$2</f>
        <v>Draft</v>
      </c>
      <c r="C37" t="str">
        <f>TEXT(Mass!$B$3,"yyyy-mm-dd")</f>
        <v>2026-05-16</v>
      </c>
      <c r="D37">
        <f>Mass!$B$4</f>
        <v>0</v>
      </c>
      <c r="E37" t="str">
        <f>Mass!$B$5</f>
        <v>Initial business jet baseline (Challenger 350 / Praetor 500 class)</v>
      </c>
      <c r="F37">
        <f>Mass!A59</f>
        <v>27</v>
      </c>
      <c r="G37" t="str">
        <f>Mass!B59</f>
        <v>PCU Assemblies</v>
      </c>
      <c r="H37" t="e">
        <f>Mass!#REF!</f>
        <v>#REF!</v>
      </c>
      <c r="I37">
        <f>Mass!C59</f>
        <v>8</v>
      </c>
      <c r="J37">
        <f>Mass!D59</f>
        <v>22.046199999999999</v>
      </c>
      <c r="K37">
        <f>Mass!E59</f>
        <v>176.36959999999999</v>
      </c>
      <c r="L37">
        <f>Mass!F59</f>
        <v>39.370080000000002</v>
      </c>
      <c r="M37">
        <f>Mass!G59</f>
        <v>0</v>
      </c>
      <c r="N37">
        <f>Mass!H59</f>
        <v>8.2020999999999997</v>
      </c>
      <c r="O37">
        <f>Mass!I59</f>
        <v>6943.685261568</v>
      </c>
      <c r="P37">
        <f>Mass!J59</f>
        <v>0</v>
      </c>
      <c r="Q37">
        <f>Mass!K59</f>
        <v>1446.6010961599998</v>
      </c>
      <c r="R37" t="str">
        <f>Mass!L59</f>
        <v>Distributed</v>
      </c>
    </row>
    <row r="38" spans="1:18" x14ac:dyDescent="0.3">
      <c r="A38" t="str">
        <f>Mass!$B$1</f>
        <v>0.1.7</v>
      </c>
      <c r="B38" t="str">
        <f>Mass!$B$2</f>
        <v>Draft</v>
      </c>
      <c r="C38" t="str">
        <f>TEXT(Mass!$B$3,"yyyy-mm-dd")</f>
        <v>2026-05-16</v>
      </c>
      <c r="D38">
        <f>Mass!$B$4</f>
        <v>0</v>
      </c>
      <c r="E38" t="str">
        <f>Mass!$B$5</f>
        <v>Initial business jet baseline (Challenger 350 / Praetor 500 class)</v>
      </c>
      <c r="F38">
        <f>Mass!A62</f>
        <v>28</v>
      </c>
      <c r="G38" t="str">
        <f>Mass!B62</f>
        <v>Fuel Tank LH (full)</v>
      </c>
      <c r="H38" t="e">
        <f>Mass!#REF!</f>
        <v>#REF!</v>
      </c>
      <c r="I38">
        <f>Mass!C62</f>
        <v>1</v>
      </c>
      <c r="J38">
        <f>Mass!D62</f>
        <v>5511.5499999999993</v>
      </c>
      <c r="K38">
        <f>Mass!E62</f>
        <v>5511.5499999999993</v>
      </c>
      <c r="L38">
        <f>Mass!F62</f>
        <v>34.448819999999998</v>
      </c>
      <c r="M38">
        <f>Mass!G62</f>
        <v>-9.8425200000000004</v>
      </c>
      <c r="N38">
        <f>Mass!H62</f>
        <v>6.56168</v>
      </c>
      <c r="O38">
        <f>Mass!I62</f>
        <v>189866.39387099995</v>
      </c>
      <c r="P38">
        <f>Mass!J62</f>
        <v>-54247.541105999997</v>
      </c>
      <c r="Q38">
        <f>Mass!K62</f>
        <v>36165.027403999993</v>
      </c>
      <c r="R38" t="str">
        <f>Mass!L62</f>
        <v>Integral wing tank, ~3100 L Jet A</v>
      </c>
    </row>
    <row r="39" spans="1:18" x14ac:dyDescent="0.3">
      <c r="A39" t="str">
        <f>Mass!$B$1</f>
        <v>0.1.7</v>
      </c>
      <c r="B39" t="str">
        <f>Mass!$B$2</f>
        <v>Draft</v>
      </c>
      <c r="C39" t="str">
        <f>TEXT(Mass!$B$3,"yyyy-mm-dd")</f>
        <v>2026-05-16</v>
      </c>
      <c r="D39">
        <f>Mass!$B$4</f>
        <v>0</v>
      </c>
      <c r="E39" t="str">
        <f>Mass!$B$5</f>
        <v>Initial business jet baseline (Challenger 350 / Praetor 500 class)</v>
      </c>
      <c r="F39">
        <f>Mass!A63</f>
        <v>28</v>
      </c>
      <c r="G39" t="str">
        <f>Mass!B63</f>
        <v>Fuel Tank RH (full)</v>
      </c>
      <c r="H39" t="e">
        <f>Mass!#REF!</f>
        <v>#REF!</v>
      </c>
      <c r="I39">
        <f>Mass!C63</f>
        <v>1</v>
      </c>
      <c r="J39">
        <f>Mass!D63</f>
        <v>5511.5499999999993</v>
      </c>
      <c r="K39">
        <f>Mass!E63</f>
        <v>5511.5499999999993</v>
      </c>
      <c r="L39">
        <f>Mass!F63</f>
        <v>34.448819999999998</v>
      </c>
      <c r="M39">
        <f>Mass!G63</f>
        <v>9.8425200000000004</v>
      </c>
      <c r="N39">
        <f>Mass!H63</f>
        <v>6.56168</v>
      </c>
      <c r="O39">
        <f>Mass!I63</f>
        <v>189866.39387099995</v>
      </c>
      <c r="P39">
        <f>Mass!J63</f>
        <v>54247.541105999997</v>
      </c>
      <c r="Q39">
        <f>Mass!K63</f>
        <v>36165.027403999993</v>
      </c>
      <c r="R39" t="str">
        <f>Mass!L63</f>
        <v>Integral wing tank, ~3100 L Jet A</v>
      </c>
    </row>
    <row r="40" spans="1:18" x14ac:dyDescent="0.3">
      <c r="A40" t="str">
        <f>Mass!$B$1</f>
        <v>0.1.7</v>
      </c>
      <c r="B40" t="str">
        <f>Mass!$B$2</f>
        <v>Draft</v>
      </c>
      <c r="C40" t="str">
        <f>TEXT(Mass!$B$3,"yyyy-mm-dd")</f>
        <v>2026-05-16</v>
      </c>
      <c r="D40">
        <f>Mass!$B$4</f>
        <v>0</v>
      </c>
      <c r="E40" t="str">
        <f>Mass!$B$5</f>
        <v>Initial business jet baseline (Challenger 350 / Praetor 500 class)</v>
      </c>
      <c r="F40">
        <f>Mass!A64</f>
        <v>28</v>
      </c>
      <c r="G40" t="str">
        <f>Mass!B64</f>
        <v>Center Tank (full)</v>
      </c>
      <c r="H40" t="e">
        <f>Mass!#REF!</f>
        <v>#REF!</v>
      </c>
      <c r="I40">
        <f>Mass!C64</f>
        <v>1</v>
      </c>
      <c r="J40">
        <f>Mass!D64</f>
        <v>2866.0059999999999</v>
      </c>
      <c r="K40">
        <f>Mass!E64</f>
        <v>2866.0059999999999</v>
      </c>
      <c r="L40">
        <f>Mass!F64</f>
        <v>32.808399999999999</v>
      </c>
      <c r="M40">
        <f>Mass!G64</f>
        <v>0</v>
      </c>
      <c r="N40">
        <f>Mass!H64</f>
        <v>5.2493440000000007</v>
      </c>
      <c r="O40">
        <f>Mass!I64</f>
        <v>94029.071250399997</v>
      </c>
      <c r="P40">
        <f>Mass!J64</f>
        <v>0</v>
      </c>
      <c r="Q40">
        <f>Mass!K64</f>
        <v>15044.651400064002</v>
      </c>
      <c r="R40" t="str">
        <f>Mass!L64</f>
        <v>Wing center section</v>
      </c>
    </row>
    <row r="41" spans="1:18" x14ac:dyDescent="0.3">
      <c r="A41" t="str">
        <f>Mass!$B$1</f>
        <v>0.1.7</v>
      </c>
      <c r="B41" t="str">
        <f>Mass!$B$2</f>
        <v>Draft</v>
      </c>
      <c r="C41" t="str">
        <f>TEXT(Mass!$B$3,"yyyy-mm-dd")</f>
        <v>2026-05-16</v>
      </c>
      <c r="D41">
        <f>Mass!$B$4</f>
        <v>0</v>
      </c>
      <c r="E41" t="str">
        <f>Mass!$B$5</f>
        <v>Initial business jet baseline (Challenger 350 / Praetor 500 class)</v>
      </c>
      <c r="F41">
        <f>Mass!A65</f>
        <v>28</v>
      </c>
      <c r="G41" t="str">
        <f>Mass!B65</f>
        <v>Boost Pumps</v>
      </c>
      <c r="H41" t="e">
        <f>Mass!#REF!</f>
        <v>#REF!</v>
      </c>
      <c r="I41">
        <f>Mass!C65</f>
        <v>4</v>
      </c>
      <c r="J41">
        <f>Mass!D65</f>
        <v>13.227719999999998</v>
      </c>
      <c r="K41">
        <f>Mass!E65</f>
        <v>52.910879999999992</v>
      </c>
      <c r="L41">
        <f>Mass!F65</f>
        <v>34.448819999999998</v>
      </c>
      <c r="M41">
        <f>Mass!G65</f>
        <v>0</v>
      </c>
      <c r="N41">
        <f>Mass!H65</f>
        <v>5.9055119999999999</v>
      </c>
      <c r="O41">
        <f>Mass!I65</f>
        <v>1822.7173811615996</v>
      </c>
      <c r="P41">
        <f>Mass!J65</f>
        <v>0</v>
      </c>
      <c r="Q41">
        <f>Mass!K65</f>
        <v>312.46583677055992</v>
      </c>
      <c r="R41">
        <f>Mass!L65</f>
        <v>0</v>
      </c>
    </row>
    <row r="42" spans="1:18" x14ac:dyDescent="0.3">
      <c r="A42" t="str">
        <f>Mass!$B$1</f>
        <v>0.1.7</v>
      </c>
      <c r="B42" t="str">
        <f>Mass!$B$2</f>
        <v>Draft</v>
      </c>
      <c r="C42" t="str">
        <f>TEXT(Mass!$B$3,"yyyy-mm-dd")</f>
        <v>2026-05-16</v>
      </c>
      <c r="D42">
        <f>Mass!$B$4</f>
        <v>0</v>
      </c>
      <c r="E42" t="str">
        <f>Mass!$B$5</f>
        <v>Initial business jet baseline (Challenger 350 / Praetor 500 class)</v>
      </c>
      <c r="F42">
        <f>Mass!A66</f>
        <v>28</v>
      </c>
      <c r="G42" t="str">
        <f>Mass!B66</f>
        <v>Fuel Lines</v>
      </c>
      <c r="H42" t="e">
        <f>Mass!#REF!</f>
        <v>#REF!</v>
      </c>
      <c r="I42">
        <f>Mass!C66</f>
        <v>1</v>
      </c>
      <c r="J42">
        <f>Mass!D66</f>
        <v>88.184799999999996</v>
      </c>
      <c r="K42">
        <f>Mass!E66</f>
        <v>88.184799999999996</v>
      </c>
      <c r="L42">
        <f>Mass!F66</f>
        <v>36.089239999999997</v>
      </c>
      <c r="M42">
        <f>Mass!G66</f>
        <v>0</v>
      </c>
      <c r="N42">
        <f>Mass!H66</f>
        <v>5.9055119999999999</v>
      </c>
      <c r="O42">
        <f>Mass!I66</f>
        <v>3182.5224115519995</v>
      </c>
      <c r="P42">
        <f>Mass!J66</f>
        <v>0</v>
      </c>
      <c r="Q42">
        <f>Mass!K66</f>
        <v>520.77639461759998</v>
      </c>
      <c r="R42" t="str">
        <f>Mass!L66</f>
        <v>Lumped</v>
      </c>
    </row>
    <row r="43" spans="1:18" x14ac:dyDescent="0.3">
      <c r="A43" t="str">
        <f>Mass!$B$1</f>
        <v>0.1.7</v>
      </c>
      <c r="B43" t="str">
        <f>Mass!$B$2</f>
        <v>Draft</v>
      </c>
      <c r="C43" t="str">
        <f>TEXT(Mass!$B$3,"yyyy-mm-dd")</f>
        <v>2026-05-16</v>
      </c>
      <c r="D43">
        <f>Mass!$B$4</f>
        <v>0</v>
      </c>
      <c r="E43" t="str">
        <f>Mass!$B$5</f>
        <v>Initial business jet baseline (Challenger 350 / Praetor 500 class)</v>
      </c>
      <c r="F43">
        <f>Mass!A69</f>
        <v>29</v>
      </c>
      <c r="G43" t="str">
        <f>Mass!B69</f>
        <v>Hyd System A Pump</v>
      </c>
      <c r="H43" t="e">
        <f>Mass!#REF!</f>
        <v>#REF!</v>
      </c>
      <c r="I43">
        <f>Mass!C69</f>
        <v>1</v>
      </c>
      <c r="J43">
        <f>Mass!D69</f>
        <v>26.455439999999996</v>
      </c>
      <c r="K43">
        <f>Mass!E69</f>
        <v>26.455439999999996</v>
      </c>
      <c r="L43">
        <f>Mass!F69</f>
        <v>41.0105</v>
      </c>
      <c r="M43">
        <f>Mass!G69</f>
        <v>-1.64042</v>
      </c>
      <c r="N43">
        <f>Mass!H69</f>
        <v>6.56168</v>
      </c>
      <c r="O43">
        <f>Mass!I69</f>
        <v>1084.9508221199999</v>
      </c>
      <c r="P43">
        <f>Mass!J69</f>
        <v>-43.398032884799996</v>
      </c>
      <c r="Q43">
        <f>Mass!K69</f>
        <v>173.59213153919998</v>
      </c>
      <c r="R43" t="str">
        <f>Mass!L69</f>
        <v>Engine-driven LH</v>
      </c>
    </row>
    <row r="44" spans="1:18" x14ac:dyDescent="0.3">
      <c r="A44" t="str">
        <f>Mass!$B$1</f>
        <v>0.1.7</v>
      </c>
      <c r="B44" t="str">
        <f>Mass!$B$2</f>
        <v>Draft</v>
      </c>
      <c r="C44" t="str">
        <f>TEXT(Mass!$B$3,"yyyy-mm-dd")</f>
        <v>2026-05-16</v>
      </c>
      <c r="D44">
        <f>Mass!$B$4</f>
        <v>0</v>
      </c>
      <c r="E44" t="str">
        <f>Mass!$B$5</f>
        <v>Initial business jet baseline (Challenger 350 / Praetor 500 class)</v>
      </c>
      <c r="F44">
        <f>Mass!A70</f>
        <v>29</v>
      </c>
      <c r="G44" t="str">
        <f>Mass!B70</f>
        <v>Hyd System B Pump</v>
      </c>
      <c r="H44" t="e">
        <f>Mass!#REF!</f>
        <v>#REF!</v>
      </c>
      <c r="I44">
        <f>Mass!C70</f>
        <v>1</v>
      </c>
      <c r="J44">
        <f>Mass!D70</f>
        <v>26.455439999999996</v>
      </c>
      <c r="K44">
        <f>Mass!E70</f>
        <v>26.455439999999996</v>
      </c>
      <c r="L44">
        <f>Mass!F70</f>
        <v>41.0105</v>
      </c>
      <c r="M44">
        <f>Mass!G70</f>
        <v>1.64042</v>
      </c>
      <c r="N44">
        <f>Mass!H70</f>
        <v>6.56168</v>
      </c>
      <c r="O44">
        <f>Mass!I70</f>
        <v>1084.9508221199999</v>
      </c>
      <c r="P44">
        <f>Mass!J70</f>
        <v>43.398032884799996</v>
      </c>
      <c r="Q44">
        <f>Mass!K70</f>
        <v>173.59213153919998</v>
      </c>
      <c r="R44" t="str">
        <f>Mass!L70</f>
        <v>Engine-driven RH</v>
      </c>
    </row>
    <row r="45" spans="1:18" x14ac:dyDescent="0.3">
      <c r="A45" t="str">
        <f>Mass!$B$1</f>
        <v>0.1.7</v>
      </c>
      <c r="B45" t="str">
        <f>Mass!$B$2</f>
        <v>Draft</v>
      </c>
      <c r="C45" t="str">
        <f>TEXT(Mass!$B$3,"yyyy-mm-dd")</f>
        <v>2026-05-16</v>
      </c>
      <c r="D45">
        <f>Mass!$B$4</f>
        <v>0</v>
      </c>
      <c r="E45" t="str">
        <f>Mass!$B$5</f>
        <v>Initial business jet baseline (Challenger 350 / Praetor 500 class)</v>
      </c>
      <c r="F45">
        <f>Mass!A71</f>
        <v>29</v>
      </c>
      <c r="G45" t="str">
        <f>Mass!B71</f>
        <v>Hyd Reservoir A</v>
      </c>
      <c r="H45" t="e">
        <f>Mass!#REF!</f>
        <v>#REF!</v>
      </c>
      <c r="I45">
        <f>Mass!C71</f>
        <v>1</v>
      </c>
      <c r="J45">
        <f>Mass!D71</f>
        <v>33.069299999999998</v>
      </c>
      <c r="K45">
        <f>Mass!E71</f>
        <v>33.069299999999998</v>
      </c>
      <c r="L45">
        <f>Mass!F71</f>
        <v>44.291339999999998</v>
      </c>
      <c r="M45">
        <f>Mass!G71</f>
        <v>-1.3123360000000002</v>
      </c>
      <c r="N45">
        <f>Mass!H71</f>
        <v>6.2335959999999995</v>
      </c>
      <c r="O45">
        <f>Mass!I71</f>
        <v>1464.6836098619999</v>
      </c>
      <c r="P45">
        <f>Mass!J71</f>
        <v>-43.398032884800003</v>
      </c>
      <c r="Q45">
        <f>Mass!K71</f>
        <v>206.14065620279996</v>
      </c>
      <c r="R45">
        <f>Mass!L71</f>
        <v>0</v>
      </c>
    </row>
    <row r="46" spans="1:18" x14ac:dyDescent="0.3">
      <c r="A46" t="str">
        <f>Mass!$B$1</f>
        <v>0.1.7</v>
      </c>
      <c r="B46" t="str">
        <f>Mass!$B$2</f>
        <v>Draft</v>
      </c>
      <c r="C46" t="str">
        <f>TEXT(Mass!$B$3,"yyyy-mm-dd")</f>
        <v>2026-05-16</v>
      </c>
      <c r="D46">
        <f>Mass!$B$4</f>
        <v>0</v>
      </c>
      <c r="E46" t="str">
        <f>Mass!$B$5</f>
        <v>Initial business jet baseline (Challenger 350 / Praetor 500 class)</v>
      </c>
      <c r="F46">
        <f>Mass!A72</f>
        <v>29</v>
      </c>
      <c r="G46" t="str">
        <f>Mass!B72</f>
        <v>Hyd Reservoir B</v>
      </c>
      <c r="H46" t="e">
        <f>Mass!#REF!</f>
        <v>#REF!</v>
      </c>
      <c r="I46">
        <f>Mass!C72</f>
        <v>1</v>
      </c>
      <c r="J46">
        <f>Mass!D72</f>
        <v>33.069299999999998</v>
      </c>
      <c r="K46">
        <f>Mass!E72</f>
        <v>33.069299999999998</v>
      </c>
      <c r="L46">
        <f>Mass!F72</f>
        <v>44.291339999999998</v>
      </c>
      <c r="M46">
        <f>Mass!G72</f>
        <v>1.3123360000000002</v>
      </c>
      <c r="N46">
        <f>Mass!H72</f>
        <v>6.2335959999999995</v>
      </c>
      <c r="O46">
        <f>Mass!I72</f>
        <v>1464.6836098619999</v>
      </c>
      <c r="P46">
        <f>Mass!J72</f>
        <v>43.398032884800003</v>
      </c>
      <c r="Q46">
        <f>Mass!K72</f>
        <v>206.14065620279996</v>
      </c>
      <c r="R46">
        <f>Mass!L72</f>
        <v>0</v>
      </c>
    </row>
    <row r="47" spans="1:18" x14ac:dyDescent="0.3">
      <c r="A47" t="str">
        <f>Mass!$B$1</f>
        <v>0.1.7</v>
      </c>
      <c r="B47" t="str">
        <f>Mass!$B$2</f>
        <v>Draft</v>
      </c>
      <c r="C47" t="str">
        <f>TEXT(Mass!$B$3,"yyyy-mm-dd")</f>
        <v>2026-05-16</v>
      </c>
      <c r="D47">
        <f>Mass!$B$4</f>
        <v>0</v>
      </c>
      <c r="E47" t="str">
        <f>Mass!$B$5</f>
        <v>Initial business jet baseline (Challenger 350 / Praetor 500 class)</v>
      </c>
      <c r="F47">
        <f>Mass!A75</f>
        <v>30</v>
      </c>
      <c r="G47" t="str">
        <f>Mass!B75</f>
        <v>Wing Anti-Ice Ducting</v>
      </c>
      <c r="H47" t="e">
        <f>Mass!#REF!</f>
        <v>#REF!</v>
      </c>
      <c r="I47">
        <f>Mass!C75</f>
        <v>1</v>
      </c>
      <c r="J47">
        <f>Mass!D75</f>
        <v>77.161699999999996</v>
      </c>
      <c r="K47">
        <f>Mass!E75</f>
        <v>77.161699999999996</v>
      </c>
      <c r="L47">
        <f>Mass!F75</f>
        <v>34.448819999999998</v>
      </c>
      <c r="M47">
        <f>Mass!G75</f>
        <v>0</v>
      </c>
      <c r="N47">
        <f>Mass!H75</f>
        <v>6.2335959999999995</v>
      </c>
      <c r="O47">
        <f>Mass!I75</f>
        <v>2658.1295141939995</v>
      </c>
      <c r="P47">
        <f>Mass!J75</f>
        <v>0</v>
      </c>
      <c r="Q47">
        <f>Mass!K75</f>
        <v>480.99486447319993</v>
      </c>
      <c r="R47" t="str">
        <f>Mass!L75</f>
        <v>Bleed-air leading edge</v>
      </c>
    </row>
    <row r="48" spans="1:18" x14ac:dyDescent="0.3">
      <c r="A48" t="str">
        <f>Mass!$B$1</f>
        <v>0.1.7</v>
      </c>
      <c r="B48" t="str">
        <f>Mass!$B$2</f>
        <v>Draft</v>
      </c>
      <c r="C48" t="str">
        <f>TEXT(Mass!$B$3,"yyyy-mm-dd")</f>
        <v>2026-05-16</v>
      </c>
      <c r="D48">
        <f>Mass!$B$4</f>
        <v>0</v>
      </c>
      <c r="E48" t="str">
        <f>Mass!$B$5</f>
        <v>Initial business jet baseline (Challenger 350 / Praetor 500 class)</v>
      </c>
      <c r="F48">
        <f>Mass!A76</f>
        <v>30</v>
      </c>
      <c r="G48" t="str">
        <f>Mass!B76</f>
        <v>Engine Anti-Ice Valves</v>
      </c>
      <c r="H48" t="e">
        <f>Mass!#REF!</f>
        <v>#REF!</v>
      </c>
      <c r="I48">
        <f>Mass!C76</f>
        <v>2</v>
      </c>
      <c r="J48">
        <f>Mass!D76</f>
        <v>6.613859999999999</v>
      </c>
      <c r="K48">
        <f>Mass!E76</f>
        <v>13.227719999999998</v>
      </c>
      <c r="L48">
        <f>Mass!F76</f>
        <v>39.370080000000002</v>
      </c>
      <c r="M48">
        <f>Mass!G76</f>
        <v>0</v>
      </c>
      <c r="N48">
        <f>Mass!H76</f>
        <v>7.2178480000000009</v>
      </c>
      <c r="O48">
        <f>Mass!I76</f>
        <v>520.77639461759998</v>
      </c>
      <c r="P48">
        <f>Mass!J76</f>
        <v>0</v>
      </c>
      <c r="Q48">
        <f>Mass!K76</f>
        <v>95.475672346560003</v>
      </c>
      <c r="R48">
        <f>Mass!L76</f>
        <v>0</v>
      </c>
    </row>
    <row r="49" spans="1:18" x14ac:dyDescent="0.3">
      <c r="A49" t="str">
        <f>Mass!$B$1</f>
        <v>0.1.7</v>
      </c>
      <c r="B49" t="str">
        <f>Mass!$B$2</f>
        <v>Draft</v>
      </c>
      <c r="C49" t="str">
        <f>TEXT(Mass!$B$3,"yyyy-mm-dd")</f>
        <v>2026-05-16</v>
      </c>
      <c r="D49">
        <f>Mass!$B$4</f>
        <v>0</v>
      </c>
      <c r="E49" t="str">
        <f>Mass!$B$5</f>
        <v>Initial business jet baseline (Challenger 350 / Praetor 500 class)</v>
      </c>
      <c r="F49">
        <f>Mass!A77</f>
        <v>30</v>
      </c>
      <c r="G49" t="str">
        <f>Mass!B77</f>
        <v>Window Heat</v>
      </c>
      <c r="H49" t="e">
        <f>Mass!#REF!</f>
        <v>#REF!</v>
      </c>
      <c r="I49">
        <f>Mass!C77</f>
        <v>1</v>
      </c>
      <c r="J49">
        <f>Mass!D77</f>
        <v>17.636959999999998</v>
      </c>
      <c r="K49">
        <f>Mass!E77</f>
        <v>17.636959999999998</v>
      </c>
      <c r="L49">
        <f>Mass!F77</f>
        <v>9.8425200000000004</v>
      </c>
      <c r="M49">
        <f>Mass!G77</f>
        <v>0</v>
      </c>
      <c r="N49">
        <f>Mass!H77</f>
        <v>6.56168</v>
      </c>
      <c r="O49">
        <f>Mass!I77</f>
        <v>173.59213153919998</v>
      </c>
      <c r="P49">
        <f>Mass!J77</f>
        <v>0</v>
      </c>
      <c r="Q49">
        <f>Mass!K77</f>
        <v>115.72808769279999</v>
      </c>
      <c r="R49">
        <f>Mass!L77</f>
        <v>0</v>
      </c>
    </row>
    <row r="50" spans="1:18" x14ac:dyDescent="0.3">
      <c r="A50" t="str">
        <f>Mass!$B$1</f>
        <v>0.1.7</v>
      </c>
      <c r="B50" t="str">
        <f>Mass!$B$2</f>
        <v>Draft</v>
      </c>
      <c r="C50" t="str">
        <f>TEXT(Mass!$B$3,"yyyy-mm-dd")</f>
        <v>2026-05-16</v>
      </c>
      <c r="D50">
        <f>Mass!$B$4</f>
        <v>0</v>
      </c>
      <c r="E50" t="str">
        <f>Mass!$B$5</f>
        <v>Initial business jet baseline (Challenger 350 / Praetor 500 class)</v>
      </c>
      <c r="F50">
        <f>Mass!A80</f>
        <v>31</v>
      </c>
      <c r="G50" t="str">
        <f>Mass!B80</f>
        <v>DFDR</v>
      </c>
      <c r="H50" t="e">
        <f>Mass!#REF!</f>
        <v>#REF!</v>
      </c>
      <c r="I50">
        <f>Mass!C80</f>
        <v>1</v>
      </c>
      <c r="J50">
        <f>Mass!D80</f>
        <v>17.636959999999998</v>
      </c>
      <c r="K50">
        <f>Mass!E80</f>
        <v>17.636959999999998</v>
      </c>
      <c r="L50">
        <f>Mass!F80</f>
        <v>55.774279999999997</v>
      </c>
      <c r="M50">
        <f>Mass!G80</f>
        <v>0</v>
      </c>
      <c r="N50">
        <f>Mass!H80</f>
        <v>6.56168</v>
      </c>
      <c r="O50">
        <f>Mass!I80</f>
        <v>983.68874538879982</v>
      </c>
      <c r="P50">
        <f>Mass!J80</f>
        <v>0</v>
      </c>
      <c r="Q50">
        <f>Mass!K80</f>
        <v>115.72808769279999</v>
      </c>
      <c r="R50" t="str">
        <f>Mass!L80</f>
        <v>Aft fuselage (crashworthy)</v>
      </c>
    </row>
    <row r="51" spans="1:18" x14ac:dyDescent="0.3">
      <c r="A51" t="str">
        <f>Mass!$B$1</f>
        <v>0.1.7</v>
      </c>
      <c r="B51" t="str">
        <f>Mass!$B$2</f>
        <v>Draft</v>
      </c>
      <c r="C51" t="str">
        <f>TEXT(Mass!$B$3,"yyyy-mm-dd")</f>
        <v>2026-05-16</v>
      </c>
      <c r="D51">
        <f>Mass!$B$4</f>
        <v>0</v>
      </c>
      <c r="E51" t="str">
        <f>Mass!$B$5</f>
        <v>Initial business jet baseline (Challenger 350 / Praetor 500 class)</v>
      </c>
      <c r="F51">
        <f>Mass!A81</f>
        <v>31</v>
      </c>
      <c r="G51" t="str">
        <f>Mass!B81</f>
        <v>Display Units</v>
      </c>
      <c r="H51" t="e">
        <f>Mass!#REF!</f>
        <v>#REF!</v>
      </c>
      <c r="I51">
        <f>Mass!C81</f>
        <v>4</v>
      </c>
      <c r="J51">
        <f>Mass!D81</f>
        <v>22.046199999999999</v>
      </c>
      <c r="K51">
        <f>Mass!E81</f>
        <v>88.184799999999996</v>
      </c>
      <c r="L51">
        <f>Mass!F81</f>
        <v>9.8425200000000004</v>
      </c>
      <c r="M51">
        <f>Mass!G81</f>
        <v>0</v>
      </c>
      <c r="N51">
        <f>Mass!H81</f>
        <v>5.9055119999999999</v>
      </c>
      <c r="O51">
        <f>Mass!I81</f>
        <v>867.960657696</v>
      </c>
      <c r="P51">
        <f>Mass!J81</f>
        <v>0</v>
      </c>
      <c r="Q51">
        <f>Mass!K81</f>
        <v>520.77639461759998</v>
      </c>
      <c r="R51" t="str">
        <f>Mass!L81</f>
        <v>Cockpit</v>
      </c>
    </row>
    <row r="52" spans="1:18" x14ac:dyDescent="0.3">
      <c r="A52" t="str">
        <f>Mass!$B$1</f>
        <v>0.1.7</v>
      </c>
      <c r="B52" t="str">
        <f>Mass!$B$2</f>
        <v>Draft</v>
      </c>
      <c r="C52" t="str">
        <f>TEXT(Mass!$B$3,"yyyy-mm-dd")</f>
        <v>2026-05-16</v>
      </c>
      <c r="D52">
        <f>Mass!$B$4</f>
        <v>0</v>
      </c>
      <c r="E52" t="str">
        <f>Mass!$B$5</f>
        <v>Initial business jet baseline (Challenger 350 / Praetor 500 class)</v>
      </c>
      <c r="F52">
        <f>Mass!A84</f>
        <v>32</v>
      </c>
      <c r="G52" t="str">
        <f>Mass!B84</f>
        <v>Nose Gear Assy</v>
      </c>
      <c r="H52" t="e">
        <f>Mass!#REF!</f>
        <v>#REF!</v>
      </c>
      <c r="I52">
        <f>Mass!C84</f>
        <v>1</v>
      </c>
      <c r="J52">
        <f>Mass!D84</f>
        <v>308.64679999999998</v>
      </c>
      <c r="K52">
        <f>Mass!E84</f>
        <v>308.64679999999998</v>
      </c>
      <c r="L52">
        <f>Mass!F84</f>
        <v>14.763780000000001</v>
      </c>
      <c r="M52">
        <f>Mass!G84</f>
        <v>0</v>
      </c>
      <c r="N52">
        <f>Mass!H84</f>
        <v>1.9685039999999998</v>
      </c>
      <c r="O52">
        <f>Mass!I84</f>
        <v>4556.7934529040003</v>
      </c>
      <c r="P52">
        <f>Mass!J84</f>
        <v>0</v>
      </c>
      <c r="Q52">
        <f>Mass!K84</f>
        <v>607.57246038719995</v>
      </c>
      <c r="R52" t="str">
        <f>Mass!L84</f>
        <v>Retracted position centroid</v>
      </c>
    </row>
    <row r="53" spans="1:18" x14ac:dyDescent="0.3">
      <c r="A53" t="str">
        <f>Mass!$B$1</f>
        <v>0.1.7</v>
      </c>
      <c r="B53" t="str">
        <f>Mass!$B$2</f>
        <v>Draft</v>
      </c>
      <c r="C53" t="str">
        <f>TEXT(Mass!$B$3,"yyyy-mm-dd")</f>
        <v>2026-05-16</v>
      </c>
      <c r="D53">
        <f>Mass!$B$4</f>
        <v>0</v>
      </c>
      <c r="E53" t="str">
        <f>Mass!$B$5</f>
        <v>Initial business jet baseline (Challenger 350 / Praetor 500 class)</v>
      </c>
      <c r="F53">
        <f>Mass!A85</f>
        <v>32</v>
      </c>
      <c r="G53" t="str">
        <f>Mass!B85</f>
        <v>MLG LH</v>
      </c>
      <c r="H53" t="e">
        <f>Mass!#REF!</f>
        <v>#REF!</v>
      </c>
      <c r="I53">
        <f>Mass!C85</f>
        <v>1</v>
      </c>
      <c r="J53">
        <f>Mass!D85</f>
        <v>771.61699999999996</v>
      </c>
      <c r="K53">
        <f>Mass!E85</f>
        <v>771.61699999999996</v>
      </c>
      <c r="L53">
        <f>Mass!F85</f>
        <v>37.729660000000003</v>
      </c>
      <c r="M53">
        <f>Mass!G85</f>
        <v>-5.9055119999999999</v>
      </c>
      <c r="N53">
        <f>Mass!H85</f>
        <v>2.6246720000000003</v>
      </c>
      <c r="O53">
        <f>Mass!I85</f>
        <v>29112.84706022</v>
      </c>
      <c r="P53">
        <f>Mass!J85</f>
        <v>-4556.7934529039994</v>
      </c>
      <c r="Q53">
        <f>Mass!K85</f>
        <v>2025.2415346240002</v>
      </c>
      <c r="R53">
        <f>Mass!L85</f>
        <v>0</v>
      </c>
    </row>
    <row r="54" spans="1:18" x14ac:dyDescent="0.3">
      <c r="A54" t="str">
        <f>Mass!$B$1</f>
        <v>0.1.7</v>
      </c>
      <c r="B54" t="str">
        <f>Mass!$B$2</f>
        <v>Draft</v>
      </c>
      <c r="C54" t="str">
        <f>TEXT(Mass!$B$3,"yyyy-mm-dd")</f>
        <v>2026-05-16</v>
      </c>
      <c r="D54">
        <f>Mass!$B$4</f>
        <v>0</v>
      </c>
      <c r="E54" t="str">
        <f>Mass!$B$5</f>
        <v>Initial business jet baseline (Challenger 350 / Praetor 500 class)</v>
      </c>
      <c r="F54">
        <f>Mass!A86</f>
        <v>32</v>
      </c>
      <c r="G54" t="str">
        <f>Mass!B86</f>
        <v>MLG RH</v>
      </c>
      <c r="H54" t="e">
        <f>Mass!#REF!</f>
        <v>#REF!</v>
      </c>
      <c r="I54">
        <f>Mass!C86</f>
        <v>1</v>
      </c>
      <c r="J54">
        <f>Mass!D86</f>
        <v>771.61699999999996</v>
      </c>
      <c r="K54">
        <f>Mass!E86</f>
        <v>771.61699999999996</v>
      </c>
      <c r="L54">
        <f>Mass!F86</f>
        <v>37.729660000000003</v>
      </c>
      <c r="M54">
        <f>Mass!G86</f>
        <v>5.9055119999999999</v>
      </c>
      <c r="N54">
        <f>Mass!H86</f>
        <v>2.6246720000000003</v>
      </c>
      <c r="O54">
        <f>Mass!I86</f>
        <v>29112.84706022</v>
      </c>
      <c r="P54">
        <f>Mass!J86</f>
        <v>4556.7934529039994</v>
      </c>
      <c r="Q54">
        <f>Mass!K86</f>
        <v>2025.2415346240002</v>
      </c>
      <c r="R54">
        <f>Mass!L86</f>
        <v>0</v>
      </c>
    </row>
    <row r="55" spans="1:18" x14ac:dyDescent="0.3">
      <c r="A55" t="str">
        <f>Mass!$B$1</f>
        <v>0.1.7</v>
      </c>
      <c r="B55" t="str">
        <f>Mass!$B$2</f>
        <v>Draft</v>
      </c>
      <c r="C55" t="str">
        <f>TEXT(Mass!$B$3,"yyyy-mm-dd")</f>
        <v>2026-05-16</v>
      </c>
      <c r="D55">
        <f>Mass!$B$4</f>
        <v>0</v>
      </c>
      <c r="E55" t="str">
        <f>Mass!$B$5</f>
        <v>Initial business jet baseline (Challenger 350 / Praetor 500 class)</v>
      </c>
      <c r="F55">
        <f>Mass!A87</f>
        <v>32</v>
      </c>
      <c r="G55" t="str">
        <f>Mass!B87</f>
        <v>Brakes</v>
      </c>
      <c r="H55" t="e">
        <f>Mass!#REF!</f>
        <v>#REF!</v>
      </c>
      <c r="I55">
        <f>Mass!C87</f>
        <v>4</v>
      </c>
      <c r="J55">
        <f>Mass!D87</f>
        <v>77.161699999999996</v>
      </c>
      <c r="K55">
        <f>Mass!E87</f>
        <v>308.64679999999998</v>
      </c>
      <c r="L55">
        <f>Mass!F87</f>
        <v>37.729660000000003</v>
      </c>
      <c r="M55">
        <f>Mass!G87</f>
        <v>0</v>
      </c>
      <c r="N55">
        <f>Mass!H87</f>
        <v>1.9685039999999998</v>
      </c>
      <c r="O55">
        <f>Mass!I87</f>
        <v>11645.138824088001</v>
      </c>
      <c r="P55">
        <f>Mass!J87</f>
        <v>0</v>
      </c>
      <c r="Q55">
        <f>Mass!K87</f>
        <v>607.57246038719995</v>
      </c>
      <c r="R55" t="str">
        <f>Mass!L87</f>
        <v>4 wheels</v>
      </c>
    </row>
    <row r="56" spans="1:18" x14ac:dyDescent="0.3">
      <c r="A56" t="str">
        <f>Mass!$B$1</f>
        <v>0.1.7</v>
      </c>
      <c r="B56" t="str">
        <f>Mass!$B$2</f>
        <v>Draft</v>
      </c>
      <c r="C56" t="str">
        <f>TEXT(Mass!$B$3,"yyyy-mm-dd")</f>
        <v>2026-05-16</v>
      </c>
      <c r="D56">
        <f>Mass!$B$4</f>
        <v>0</v>
      </c>
      <c r="E56" t="str">
        <f>Mass!$B$5</f>
        <v>Initial business jet baseline (Challenger 350 / Praetor 500 class)</v>
      </c>
      <c r="F56">
        <f>Mass!A88</f>
        <v>32</v>
      </c>
      <c r="G56" t="str">
        <f>Mass!B88</f>
        <v>Wheels &amp; Tires</v>
      </c>
      <c r="H56" t="e">
        <f>Mass!#REF!</f>
        <v>#REF!</v>
      </c>
      <c r="I56">
        <f>Mass!C88</f>
        <v>6</v>
      </c>
      <c r="J56">
        <f>Mass!D88</f>
        <v>55.115499999999997</v>
      </c>
      <c r="K56">
        <f>Mass!E88</f>
        <v>330.69299999999998</v>
      </c>
      <c r="L56">
        <f>Mass!F88</f>
        <v>34.448819999999998</v>
      </c>
      <c r="M56">
        <f>Mass!G88</f>
        <v>0</v>
      </c>
      <c r="N56">
        <f>Mass!H88</f>
        <v>1.9685039999999998</v>
      </c>
      <c r="O56">
        <f>Mass!I88</f>
        <v>11391.983632259999</v>
      </c>
      <c r="P56">
        <f>Mass!J88</f>
        <v>0</v>
      </c>
      <c r="Q56">
        <f>Mass!K88</f>
        <v>650.97049327199989</v>
      </c>
      <c r="R56" t="str">
        <f>Mass!L88</f>
        <v>4 MLG + 2 NLG</v>
      </c>
    </row>
    <row r="57" spans="1:18" x14ac:dyDescent="0.3">
      <c r="A57" t="str">
        <f>Mass!$B$1</f>
        <v>0.1.7</v>
      </c>
      <c r="B57" t="str">
        <f>Mass!$B$2</f>
        <v>Draft</v>
      </c>
      <c r="C57" t="str">
        <f>TEXT(Mass!$B$3,"yyyy-mm-dd")</f>
        <v>2026-05-16</v>
      </c>
      <c r="D57">
        <f>Mass!$B$4</f>
        <v>0</v>
      </c>
      <c r="E57" t="str">
        <f>Mass!$B$5</f>
        <v>Initial business jet baseline (Challenger 350 / Praetor 500 class)</v>
      </c>
      <c r="F57">
        <f>Mass!A91</f>
        <v>33</v>
      </c>
      <c r="G57" t="str">
        <f>Mass!B91</f>
        <v>Landing Lights</v>
      </c>
      <c r="H57" t="e">
        <f>Mass!#REF!</f>
        <v>#REF!</v>
      </c>
      <c r="I57">
        <f>Mass!C91</f>
        <v>4</v>
      </c>
      <c r="J57">
        <f>Mass!D91</f>
        <v>6.613859999999999</v>
      </c>
      <c r="K57">
        <f>Mass!E91</f>
        <v>26.455439999999996</v>
      </c>
      <c r="L57">
        <f>Mass!F91</f>
        <v>34.448819999999998</v>
      </c>
      <c r="M57">
        <f>Mass!G91</f>
        <v>0</v>
      </c>
      <c r="N57">
        <f>Mass!H91</f>
        <v>3.28084</v>
      </c>
      <c r="O57">
        <f>Mass!I91</f>
        <v>911.35869058079982</v>
      </c>
      <c r="P57">
        <f>Mass!J91</f>
        <v>0</v>
      </c>
      <c r="Q57">
        <f>Mass!K91</f>
        <v>86.796065769599991</v>
      </c>
      <c r="R57" t="str">
        <f>Mass!L91</f>
        <v>Wing root / MLG</v>
      </c>
    </row>
    <row r="58" spans="1:18" x14ac:dyDescent="0.3">
      <c r="A58" t="str">
        <f>Mass!$B$1</f>
        <v>0.1.7</v>
      </c>
      <c r="B58" t="str">
        <f>Mass!$B$2</f>
        <v>Draft</v>
      </c>
      <c r="C58" t="str">
        <f>TEXT(Mass!$B$3,"yyyy-mm-dd")</f>
        <v>2026-05-16</v>
      </c>
      <c r="D58">
        <f>Mass!$B$4</f>
        <v>0</v>
      </c>
      <c r="E58" t="str">
        <f>Mass!$B$5</f>
        <v>Initial business jet baseline (Challenger 350 / Praetor 500 class)</v>
      </c>
      <c r="F58">
        <f>Mass!A92</f>
        <v>33</v>
      </c>
      <c r="G58" t="str">
        <f>Mass!B92</f>
        <v>Nav Lights</v>
      </c>
      <c r="H58" t="e">
        <f>Mass!#REF!</f>
        <v>#REF!</v>
      </c>
      <c r="I58">
        <f>Mass!C92</f>
        <v>3</v>
      </c>
      <c r="J58">
        <f>Mass!D92</f>
        <v>2.2046199999999998</v>
      </c>
      <c r="K58">
        <f>Mass!E92</f>
        <v>6.613859999999999</v>
      </c>
      <c r="L58">
        <f>Mass!F92</f>
        <v>39.370080000000002</v>
      </c>
      <c r="M58">
        <f>Mass!G92</f>
        <v>0</v>
      </c>
      <c r="N58">
        <f>Mass!H92</f>
        <v>8.2020999999999997</v>
      </c>
      <c r="O58">
        <f>Mass!I92</f>
        <v>260.38819730879999</v>
      </c>
      <c r="P58">
        <f>Mass!J92</f>
        <v>0</v>
      </c>
      <c r="Q58">
        <f>Mass!K92</f>
        <v>54.247541105999993</v>
      </c>
      <c r="R58" t="str">
        <f>Mass!L92</f>
        <v>Wingtips + tail</v>
      </c>
    </row>
    <row r="59" spans="1:18" x14ac:dyDescent="0.3">
      <c r="A59" t="str">
        <f>Mass!$B$1</f>
        <v>0.1.7</v>
      </c>
      <c r="B59" t="str">
        <f>Mass!$B$2</f>
        <v>Draft</v>
      </c>
      <c r="C59" t="str">
        <f>TEXT(Mass!$B$3,"yyyy-mm-dd")</f>
        <v>2026-05-16</v>
      </c>
      <c r="D59">
        <f>Mass!$B$4</f>
        <v>0</v>
      </c>
      <c r="E59" t="str">
        <f>Mass!$B$5</f>
        <v>Initial business jet baseline (Challenger 350 / Praetor 500 class)</v>
      </c>
      <c r="F59">
        <f>Mass!A93</f>
        <v>33</v>
      </c>
      <c r="G59" t="str">
        <f>Mass!B93</f>
        <v>Cabin Lighting</v>
      </c>
      <c r="H59" t="e">
        <f>Mass!#REF!</f>
        <v>#REF!</v>
      </c>
      <c r="I59">
        <f>Mass!C93</f>
        <v>1</v>
      </c>
      <c r="J59">
        <f>Mass!D93</f>
        <v>44.092399999999998</v>
      </c>
      <c r="K59">
        <f>Mass!E93</f>
        <v>44.092399999999998</v>
      </c>
      <c r="L59">
        <f>Mass!F93</f>
        <v>27.887139999999999</v>
      </c>
      <c r="M59">
        <f>Mass!G93</f>
        <v>0</v>
      </c>
      <c r="N59">
        <f>Mass!H93</f>
        <v>7.5459319999999996</v>
      </c>
      <c r="O59">
        <f>Mass!I93</f>
        <v>1229.6109317359999</v>
      </c>
      <c r="P59">
        <f>Mass!J93</f>
        <v>0</v>
      </c>
      <c r="Q59">
        <f>Mass!K93</f>
        <v>332.71825211679999</v>
      </c>
      <c r="R59" t="str">
        <f>Mass!L93</f>
        <v>Distributed</v>
      </c>
    </row>
    <row r="60" spans="1:18" x14ac:dyDescent="0.3">
      <c r="A60" t="str">
        <f>Mass!$B$1</f>
        <v>0.1.7</v>
      </c>
      <c r="B60" t="str">
        <f>Mass!$B$2</f>
        <v>Draft</v>
      </c>
      <c r="C60" t="str">
        <f>TEXT(Mass!$B$3,"yyyy-mm-dd")</f>
        <v>2026-05-16</v>
      </c>
      <c r="D60">
        <f>Mass!$B$4</f>
        <v>0</v>
      </c>
      <c r="E60" t="str">
        <f>Mass!$B$5</f>
        <v>Initial business jet baseline (Challenger 350 / Praetor 500 class)</v>
      </c>
      <c r="F60">
        <f>Mass!A96</f>
        <v>34</v>
      </c>
      <c r="G60" t="str">
        <f>Mass!B96</f>
        <v>IRS 1</v>
      </c>
      <c r="H60" t="e">
        <f>Mass!#REF!</f>
        <v>#REF!</v>
      </c>
      <c r="I60">
        <f>Mass!C96</f>
        <v>1</v>
      </c>
      <c r="J60">
        <f>Mass!D96</f>
        <v>39.683159999999994</v>
      </c>
      <c r="K60">
        <f>Mass!E96</f>
        <v>39.683159999999994</v>
      </c>
      <c r="L60">
        <f>Mass!F96</f>
        <v>11.482939999999999</v>
      </c>
      <c r="M60">
        <f>Mass!G96</f>
        <v>-0.9842519999999999</v>
      </c>
      <c r="N60">
        <f>Mass!H96</f>
        <v>5.5774279999999994</v>
      </c>
      <c r="O60">
        <f>Mass!I96</f>
        <v>455.67934529039991</v>
      </c>
      <c r="P60">
        <f>Mass!J96</f>
        <v>-39.05822959631999</v>
      </c>
      <c r="Q60">
        <f>Mass!K96</f>
        <v>221.32996771247994</v>
      </c>
      <c r="R60">
        <f>Mass!L96</f>
        <v>0</v>
      </c>
    </row>
    <row r="61" spans="1:18" x14ac:dyDescent="0.3">
      <c r="A61" t="str">
        <f>Mass!$B$1</f>
        <v>0.1.7</v>
      </c>
      <c r="B61" t="str">
        <f>Mass!$B$2</f>
        <v>Draft</v>
      </c>
      <c r="C61" t="str">
        <f>TEXT(Mass!$B$3,"yyyy-mm-dd")</f>
        <v>2026-05-16</v>
      </c>
      <c r="D61">
        <f>Mass!$B$4</f>
        <v>0</v>
      </c>
      <c r="E61" t="str">
        <f>Mass!$B$5</f>
        <v>Initial business jet baseline (Challenger 350 / Praetor 500 class)</v>
      </c>
      <c r="F61">
        <f>Mass!A97</f>
        <v>34</v>
      </c>
      <c r="G61" t="str">
        <f>Mass!B97</f>
        <v>IRS 2</v>
      </c>
      <c r="H61" t="e">
        <f>Mass!#REF!</f>
        <v>#REF!</v>
      </c>
      <c r="I61">
        <f>Mass!C97</f>
        <v>1</v>
      </c>
      <c r="J61">
        <f>Mass!D97</f>
        <v>39.683159999999994</v>
      </c>
      <c r="K61">
        <f>Mass!E97</f>
        <v>39.683159999999994</v>
      </c>
      <c r="L61">
        <f>Mass!F97</f>
        <v>11.482939999999999</v>
      </c>
      <c r="M61">
        <f>Mass!G97</f>
        <v>0.9842519999999999</v>
      </c>
      <c r="N61">
        <f>Mass!H97</f>
        <v>5.5774279999999994</v>
      </c>
      <c r="O61">
        <f>Mass!I97</f>
        <v>455.67934529039991</v>
      </c>
      <c r="P61">
        <f>Mass!J97</f>
        <v>39.05822959631999</v>
      </c>
      <c r="Q61">
        <f>Mass!K97</f>
        <v>221.32996771247994</v>
      </c>
      <c r="R61">
        <f>Mass!L97</f>
        <v>0</v>
      </c>
    </row>
    <row r="62" spans="1:18" x14ac:dyDescent="0.3">
      <c r="A62" t="str">
        <f>Mass!$B$1</f>
        <v>0.1.7</v>
      </c>
      <c r="B62" t="str">
        <f>Mass!$B$2</f>
        <v>Draft</v>
      </c>
      <c r="C62" t="str">
        <f>TEXT(Mass!$B$3,"yyyy-mm-dd")</f>
        <v>2026-05-16</v>
      </c>
      <c r="D62">
        <f>Mass!$B$4</f>
        <v>0</v>
      </c>
      <c r="E62" t="str">
        <f>Mass!$B$5</f>
        <v>Initial business jet baseline (Challenger 350 / Praetor 500 class)</v>
      </c>
      <c r="F62">
        <f>Mass!A98</f>
        <v>34</v>
      </c>
      <c r="G62" t="str">
        <f>Mass!B98</f>
        <v>GPS</v>
      </c>
      <c r="H62" t="e">
        <f>Mass!#REF!</f>
        <v>#REF!</v>
      </c>
      <c r="I62">
        <f>Mass!C98</f>
        <v>2</v>
      </c>
      <c r="J62">
        <f>Mass!D98</f>
        <v>6.613859999999999</v>
      </c>
      <c r="K62">
        <f>Mass!E98</f>
        <v>13.227719999999998</v>
      </c>
      <c r="L62">
        <f>Mass!F98</f>
        <v>11.482939999999999</v>
      </c>
      <c r="M62">
        <f>Mass!G98</f>
        <v>0</v>
      </c>
      <c r="N62">
        <f>Mass!H98</f>
        <v>8.2020999999999997</v>
      </c>
      <c r="O62">
        <f>Mass!I98</f>
        <v>151.89311509679996</v>
      </c>
      <c r="P62">
        <f>Mass!J98</f>
        <v>0</v>
      </c>
      <c r="Q62">
        <f>Mass!K98</f>
        <v>108.49508221199999</v>
      </c>
      <c r="R62" t="str">
        <f>Mass!L98</f>
        <v>Antennas on top fuselage</v>
      </c>
    </row>
    <row r="63" spans="1:18" x14ac:dyDescent="0.3">
      <c r="A63" t="str">
        <f>Mass!$B$1</f>
        <v>0.1.7</v>
      </c>
      <c r="B63" t="str">
        <f>Mass!$B$2</f>
        <v>Draft</v>
      </c>
      <c r="C63" t="str">
        <f>TEXT(Mass!$B$3,"yyyy-mm-dd")</f>
        <v>2026-05-16</v>
      </c>
      <c r="D63">
        <f>Mass!$B$4</f>
        <v>0</v>
      </c>
      <c r="E63" t="str">
        <f>Mass!$B$5</f>
        <v>Initial business jet baseline (Challenger 350 / Praetor 500 class)</v>
      </c>
      <c r="F63">
        <f>Mass!A99</f>
        <v>34</v>
      </c>
      <c r="G63" t="str">
        <f>Mass!B99</f>
        <v>Weather Radar</v>
      </c>
      <c r="H63" t="e">
        <f>Mass!#REF!</f>
        <v>#REF!</v>
      </c>
      <c r="I63">
        <f>Mass!C99</f>
        <v>1</v>
      </c>
      <c r="J63">
        <f>Mass!D99</f>
        <v>33.069299999999998</v>
      </c>
      <c r="K63">
        <f>Mass!E99</f>
        <v>33.069299999999998</v>
      </c>
      <c r="L63">
        <f>Mass!F99</f>
        <v>4.9212600000000002</v>
      </c>
      <c r="M63">
        <f>Mass!G99</f>
        <v>0</v>
      </c>
      <c r="N63">
        <f>Mass!H99</f>
        <v>4.9212600000000002</v>
      </c>
      <c r="O63">
        <f>Mass!I99</f>
        <v>162.742623318</v>
      </c>
      <c r="P63">
        <f>Mass!J99</f>
        <v>0</v>
      </c>
      <c r="Q63">
        <f>Mass!K99</f>
        <v>162.742623318</v>
      </c>
      <c r="R63" t="str">
        <f>Mass!L99</f>
        <v>Nose radome</v>
      </c>
    </row>
    <row r="64" spans="1:18" x14ac:dyDescent="0.3">
      <c r="A64" t="str">
        <f>Mass!$B$1</f>
        <v>0.1.7</v>
      </c>
      <c r="B64" t="str">
        <f>Mass!$B$2</f>
        <v>Draft</v>
      </c>
      <c r="C64" t="str">
        <f>TEXT(Mass!$B$3,"yyyy-mm-dd")</f>
        <v>2026-05-16</v>
      </c>
      <c r="D64">
        <f>Mass!$B$4</f>
        <v>0</v>
      </c>
      <c r="E64" t="str">
        <f>Mass!$B$5</f>
        <v>Initial business jet baseline (Challenger 350 / Praetor 500 class)</v>
      </c>
      <c r="F64">
        <f>Mass!A100</f>
        <v>34</v>
      </c>
      <c r="G64" t="str">
        <f>Mass!B100</f>
        <v>Radio Altimeter</v>
      </c>
      <c r="H64" t="e">
        <f>Mass!#REF!</f>
        <v>#REF!</v>
      </c>
      <c r="I64">
        <f>Mass!C100</f>
        <v>2</v>
      </c>
      <c r="J64">
        <f>Mass!D100</f>
        <v>8.8184799999999992</v>
      </c>
      <c r="K64">
        <f>Mass!E100</f>
        <v>17.636959999999998</v>
      </c>
      <c r="L64">
        <f>Mass!F100</f>
        <v>36.089239999999997</v>
      </c>
      <c r="M64">
        <f>Mass!G100</f>
        <v>0</v>
      </c>
      <c r="N64">
        <f>Mass!H100</f>
        <v>2.2965879999999999</v>
      </c>
      <c r="O64">
        <f>Mass!I100</f>
        <v>636.50448231039991</v>
      </c>
      <c r="P64">
        <f>Mass!J100</f>
        <v>0</v>
      </c>
      <c r="Q64">
        <f>Mass!K100</f>
        <v>40.504830692479992</v>
      </c>
      <c r="R64">
        <f>Mass!L100</f>
        <v>0</v>
      </c>
    </row>
    <row r="65" spans="1:18" x14ac:dyDescent="0.3">
      <c r="A65" t="str">
        <f>Mass!$B$1</f>
        <v>0.1.7</v>
      </c>
      <c r="B65" t="str">
        <f>Mass!$B$2</f>
        <v>Draft</v>
      </c>
      <c r="C65" t="str">
        <f>TEXT(Mass!$B$3,"yyyy-mm-dd")</f>
        <v>2026-05-16</v>
      </c>
      <c r="D65">
        <f>Mass!$B$4</f>
        <v>0</v>
      </c>
      <c r="E65" t="str">
        <f>Mass!$B$5</f>
        <v>Initial business jet baseline (Challenger 350 / Praetor 500 class)</v>
      </c>
      <c r="F65">
        <f>Mass!A103</f>
        <v>35</v>
      </c>
      <c r="G65" t="str">
        <f>Mass!B103</f>
        <v>Crew O2 Bottle</v>
      </c>
      <c r="H65" t="e">
        <f>Mass!#REF!</f>
        <v>#REF!</v>
      </c>
      <c r="I65">
        <f>Mass!C103</f>
        <v>1</v>
      </c>
      <c r="J65">
        <f>Mass!D103</f>
        <v>39.683159999999994</v>
      </c>
      <c r="K65">
        <f>Mass!E103</f>
        <v>39.683159999999994</v>
      </c>
      <c r="L65">
        <f>Mass!F103</f>
        <v>11.482939999999999</v>
      </c>
      <c r="M65">
        <f>Mass!G103</f>
        <v>1.3123360000000002</v>
      </c>
      <c r="N65">
        <f>Mass!H103</f>
        <v>2.9527559999999999</v>
      </c>
      <c r="O65">
        <f>Mass!I103</f>
        <v>455.67934529039991</v>
      </c>
      <c r="P65">
        <f>Mass!J103</f>
        <v>52.07763946176</v>
      </c>
      <c r="Q65">
        <f>Mass!K103</f>
        <v>117.17468878895998</v>
      </c>
      <c r="R65" t="str">
        <f>Mass!L103</f>
        <v>Fwd equipment bay</v>
      </c>
    </row>
    <row r="66" spans="1:18" x14ac:dyDescent="0.3">
      <c r="A66" t="str">
        <f>Mass!$B$1</f>
        <v>0.1.7</v>
      </c>
      <c r="B66" t="str">
        <f>Mass!$B$2</f>
        <v>Draft</v>
      </c>
      <c r="C66" t="str">
        <f>TEXT(Mass!$B$3,"yyyy-mm-dd")</f>
        <v>2026-05-16</v>
      </c>
      <c r="D66">
        <f>Mass!$B$4</f>
        <v>0</v>
      </c>
      <c r="E66" t="str">
        <f>Mass!$B$5</f>
        <v>Initial business jet baseline (Challenger 350 / Praetor 500 class)</v>
      </c>
      <c r="F66">
        <f>Mass!A104</f>
        <v>35</v>
      </c>
      <c r="G66" t="str">
        <f>Mass!B104</f>
        <v>Pax O2 Generators</v>
      </c>
      <c r="H66" t="e">
        <f>Mass!#REF!</f>
        <v>#REF!</v>
      </c>
      <c r="I66">
        <f>Mass!C104</f>
        <v>1</v>
      </c>
      <c r="J66">
        <f>Mass!D104</f>
        <v>99.207899999999995</v>
      </c>
      <c r="K66">
        <f>Mass!E104</f>
        <v>99.207899999999995</v>
      </c>
      <c r="L66">
        <f>Mass!F104</f>
        <v>27.887139999999999</v>
      </c>
      <c r="M66">
        <f>Mass!G104</f>
        <v>0</v>
      </c>
      <c r="N66">
        <f>Mass!H104</f>
        <v>7.8740159999999992</v>
      </c>
      <c r="O66">
        <f>Mass!I104</f>
        <v>2766.6245964059999</v>
      </c>
      <c r="P66">
        <f>Mass!J104</f>
        <v>0</v>
      </c>
      <c r="Q66">
        <f>Mass!K104</f>
        <v>781.16459192639991</v>
      </c>
      <c r="R66" t="str">
        <f>Mass!L104</f>
        <v>Chemical generators in PSU</v>
      </c>
    </row>
    <row r="67" spans="1:18" x14ac:dyDescent="0.3">
      <c r="A67" t="str">
        <f>Mass!$B$1</f>
        <v>0.1.7</v>
      </c>
      <c r="B67" t="str">
        <f>Mass!$B$2</f>
        <v>Draft</v>
      </c>
      <c r="C67" t="str">
        <f>TEXT(Mass!$B$3,"yyyy-mm-dd")</f>
        <v>2026-05-16</v>
      </c>
      <c r="D67">
        <f>Mass!$B$4</f>
        <v>0</v>
      </c>
      <c r="E67" t="str">
        <f>Mass!$B$5</f>
        <v>Initial business jet baseline (Challenger 350 / Praetor 500 class)</v>
      </c>
      <c r="F67">
        <f>Mass!A107</f>
        <v>36</v>
      </c>
      <c r="G67" t="str">
        <f>Mass!B107</f>
        <v>Bleed Air Ducting</v>
      </c>
      <c r="H67" t="e">
        <f>Mass!#REF!</f>
        <v>#REF!</v>
      </c>
      <c r="I67">
        <f>Mass!C107</f>
        <v>1</v>
      </c>
      <c r="J67">
        <f>Mass!D107</f>
        <v>132.27719999999999</v>
      </c>
      <c r="K67">
        <f>Mass!E107</f>
        <v>132.27719999999999</v>
      </c>
      <c r="L67">
        <f>Mass!F107</f>
        <v>37.729660000000003</v>
      </c>
      <c r="M67">
        <f>Mass!G107</f>
        <v>0</v>
      </c>
      <c r="N67">
        <f>Mass!H107</f>
        <v>6.2335959999999995</v>
      </c>
      <c r="O67">
        <f>Mass!I107</f>
        <v>4990.7737817520001</v>
      </c>
      <c r="P67">
        <f>Mass!J107</f>
        <v>0</v>
      </c>
      <c r="Q67">
        <f>Mass!K107</f>
        <v>824.56262481119984</v>
      </c>
      <c r="R67" t="str">
        <f>Mass!L107</f>
        <v>Engine to wing/pack</v>
      </c>
    </row>
    <row r="68" spans="1:18" x14ac:dyDescent="0.3">
      <c r="A68" t="str">
        <f>Mass!$B$1</f>
        <v>0.1.7</v>
      </c>
      <c r="B68" t="str">
        <f>Mass!$B$2</f>
        <v>Draft</v>
      </c>
      <c r="C68" t="str">
        <f>TEXT(Mass!$B$3,"yyyy-mm-dd")</f>
        <v>2026-05-16</v>
      </c>
      <c r="D68">
        <f>Mass!$B$4</f>
        <v>0</v>
      </c>
      <c r="E68" t="str">
        <f>Mass!$B$5</f>
        <v>Initial business jet baseline (Challenger 350 / Praetor 500 class)</v>
      </c>
      <c r="F68">
        <f>Mass!A108</f>
        <v>36</v>
      </c>
      <c r="G68" t="str">
        <f>Mass!B108</f>
        <v>Precoolers</v>
      </c>
      <c r="H68" t="e">
        <f>Mass!#REF!</f>
        <v>#REF!</v>
      </c>
      <c r="I68">
        <f>Mass!C108</f>
        <v>2</v>
      </c>
      <c r="J68">
        <f>Mass!D108</f>
        <v>44.092399999999998</v>
      </c>
      <c r="K68">
        <f>Mass!E108</f>
        <v>88.184799999999996</v>
      </c>
      <c r="L68">
        <f>Mass!F108</f>
        <v>39.370080000000002</v>
      </c>
      <c r="M68">
        <f>Mass!G108</f>
        <v>0</v>
      </c>
      <c r="N68">
        <f>Mass!H108</f>
        <v>6.56168</v>
      </c>
      <c r="O68">
        <f>Mass!I108</f>
        <v>3471.842630784</v>
      </c>
      <c r="P68">
        <f>Mass!J108</f>
        <v>0</v>
      </c>
      <c r="Q68">
        <f>Mass!K108</f>
        <v>578.640438464</v>
      </c>
      <c r="R68">
        <f>Mass!L108</f>
        <v>0</v>
      </c>
    </row>
    <row r="69" spans="1:18" x14ac:dyDescent="0.3">
      <c r="A69" t="str">
        <f>Mass!$B$1</f>
        <v>0.1.7</v>
      </c>
      <c r="B69" t="str">
        <f>Mass!$B$2</f>
        <v>Draft</v>
      </c>
      <c r="C69" t="str">
        <f>TEXT(Mass!$B$3,"yyyy-mm-dd")</f>
        <v>2026-05-16</v>
      </c>
      <c r="D69">
        <f>Mass!$B$4</f>
        <v>0</v>
      </c>
      <c r="E69" t="str">
        <f>Mass!$B$5</f>
        <v>Initial business jet baseline (Challenger 350 / Praetor 500 class)</v>
      </c>
      <c r="F69">
        <f>Mass!A111</f>
        <v>38</v>
      </c>
      <c r="G69" t="str">
        <f>Mass!B111</f>
        <v>Potable Water Tank</v>
      </c>
      <c r="H69" t="e">
        <f>Mass!#REF!</f>
        <v>#REF!</v>
      </c>
      <c r="I69">
        <f>Mass!C111</f>
        <v>1</v>
      </c>
      <c r="J69">
        <f>Mass!D111</f>
        <v>143.30029999999999</v>
      </c>
      <c r="K69">
        <f>Mass!E111</f>
        <v>143.30029999999999</v>
      </c>
      <c r="L69">
        <f>Mass!F111</f>
        <v>16.404199999999999</v>
      </c>
      <c r="M69">
        <f>Mass!G111</f>
        <v>0</v>
      </c>
      <c r="N69">
        <f>Mass!H111</f>
        <v>3.28084</v>
      </c>
      <c r="O69">
        <f>Mass!I111</f>
        <v>2350.7267812599998</v>
      </c>
      <c r="P69">
        <f>Mass!J111</f>
        <v>0</v>
      </c>
      <c r="Q69">
        <f>Mass!K111</f>
        <v>470.145356252</v>
      </c>
      <c r="R69" t="str">
        <f>Mass!L111</f>
        <v>~60 L at 100% fill</v>
      </c>
    </row>
    <row r="70" spans="1:18" x14ac:dyDescent="0.3">
      <c r="A70" t="str">
        <f>Mass!$B$1</f>
        <v>0.1.7</v>
      </c>
      <c r="B70" t="str">
        <f>Mass!$B$2</f>
        <v>Draft</v>
      </c>
      <c r="C70" t="str">
        <f>TEXT(Mass!$B$3,"yyyy-mm-dd")</f>
        <v>2026-05-16</v>
      </c>
      <c r="D70">
        <f>Mass!$B$4</f>
        <v>0</v>
      </c>
      <c r="E70" t="str">
        <f>Mass!$B$5</f>
        <v>Initial business jet baseline (Challenger 350 / Praetor 500 class)</v>
      </c>
      <c r="F70">
        <f>Mass!A112</f>
        <v>38</v>
      </c>
      <c r="G70" t="str">
        <f>Mass!B112</f>
        <v>Waste Tank</v>
      </c>
      <c r="H70" t="e">
        <f>Mass!#REF!</f>
        <v>#REF!</v>
      </c>
      <c r="I70">
        <f>Mass!C112</f>
        <v>1</v>
      </c>
      <c r="J70">
        <f>Mass!D112</f>
        <v>176.36959999999999</v>
      </c>
      <c r="K70">
        <f>Mass!E112</f>
        <v>176.36959999999999</v>
      </c>
      <c r="L70">
        <f>Mass!F112</f>
        <v>50.853020000000001</v>
      </c>
      <c r="M70">
        <f>Mass!G112</f>
        <v>0</v>
      </c>
      <c r="N70">
        <f>Mass!H112</f>
        <v>3.28084</v>
      </c>
      <c r="O70">
        <f>Mass!I112</f>
        <v>8968.9267961919995</v>
      </c>
      <c r="P70">
        <f>Mass!J112</f>
        <v>0</v>
      </c>
      <c r="Q70">
        <f>Mass!K112</f>
        <v>578.640438464</v>
      </c>
      <c r="R70" t="str">
        <f>Mass!L112</f>
        <v>Aft of aft lav</v>
      </c>
    </row>
    <row r="71" spans="1:18" x14ac:dyDescent="0.3">
      <c r="A71" t="str">
        <f>Mass!$B$1</f>
        <v>0.1.7</v>
      </c>
      <c r="B71" t="str">
        <f>Mass!$B$2</f>
        <v>Draft</v>
      </c>
      <c r="C71" t="str">
        <f>TEXT(Mass!$B$3,"yyyy-mm-dd")</f>
        <v>2026-05-16</v>
      </c>
      <c r="D71">
        <f>Mass!$B$4</f>
        <v>0</v>
      </c>
      <c r="E71" t="str">
        <f>Mass!$B$5</f>
        <v>Initial business jet baseline (Challenger 350 / Praetor 500 class)</v>
      </c>
      <c r="F71">
        <f>Mass!A115</f>
        <v>49</v>
      </c>
      <c r="G71" t="str">
        <f>Mass!B115</f>
        <v>APU Assembly</v>
      </c>
      <c r="H71" t="e">
        <f>Mass!#REF!</f>
        <v>#REF!</v>
      </c>
      <c r="I71">
        <f>Mass!C115</f>
        <v>1</v>
      </c>
      <c r="J71">
        <f>Mass!D115</f>
        <v>319.66989999999998</v>
      </c>
      <c r="K71">
        <f>Mass!E115</f>
        <v>319.66989999999998</v>
      </c>
      <c r="L71">
        <f>Mass!F115</f>
        <v>63.976379999999999</v>
      </c>
      <c r="M71">
        <f>Mass!G115</f>
        <v>0</v>
      </c>
      <c r="N71">
        <f>Mass!H115</f>
        <v>7.5459319999999996</v>
      </c>
      <c r="O71">
        <f>Mass!I115</f>
        <v>20451.322996961997</v>
      </c>
      <c r="P71">
        <f>Mass!J115</f>
        <v>0</v>
      </c>
      <c r="Q71">
        <f>Mass!K115</f>
        <v>2412.2073278467997</v>
      </c>
      <c r="R71" t="str">
        <f>Mass!L115</f>
        <v>Aft fuselage, typ. P&amp;W 901 class</v>
      </c>
    </row>
    <row r="72" spans="1:18" x14ac:dyDescent="0.3">
      <c r="A72" t="str">
        <f>Mass!$B$1</f>
        <v>0.1.7</v>
      </c>
      <c r="B72" t="str">
        <f>Mass!$B$2</f>
        <v>Draft</v>
      </c>
      <c r="C72" t="str">
        <f>TEXT(Mass!$B$3,"yyyy-mm-dd")</f>
        <v>2026-05-16</v>
      </c>
      <c r="D72">
        <f>Mass!$B$4</f>
        <v>0</v>
      </c>
      <c r="E72" t="str">
        <f>Mass!$B$5</f>
        <v>Initial business jet baseline (Challenger 350 / Praetor 500 class)</v>
      </c>
      <c r="F72">
        <f>Mass!A116</f>
        <v>49</v>
      </c>
      <c r="G72" t="str">
        <f>Mass!B116</f>
        <v>APU Mounts</v>
      </c>
      <c r="H72" t="e">
        <f>Mass!#REF!</f>
        <v>#REF!</v>
      </c>
      <c r="I72">
        <f>Mass!C116</f>
        <v>1</v>
      </c>
      <c r="J72">
        <f>Mass!D116</f>
        <v>39.683159999999994</v>
      </c>
      <c r="K72">
        <f>Mass!E116</f>
        <v>39.683159999999994</v>
      </c>
      <c r="L72">
        <f>Mass!F116</f>
        <v>63.976379999999999</v>
      </c>
      <c r="M72">
        <f>Mass!G116</f>
        <v>0</v>
      </c>
      <c r="N72">
        <f>Mass!H116</f>
        <v>7.5459319999999996</v>
      </c>
      <c r="O72">
        <f>Mass!I116</f>
        <v>2538.7849237607998</v>
      </c>
      <c r="P72">
        <f>Mass!J116</f>
        <v>0</v>
      </c>
      <c r="Q72">
        <f>Mass!K116</f>
        <v>299.44642690511995</v>
      </c>
      <c r="R72">
        <f>Mass!L116</f>
        <v>0</v>
      </c>
    </row>
    <row r="73" spans="1:18" x14ac:dyDescent="0.3">
      <c r="A73" t="str">
        <f>Mass!$B$1</f>
        <v>0.1.7</v>
      </c>
      <c r="B73" t="str">
        <f>Mass!$B$2</f>
        <v>Draft</v>
      </c>
      <c r="C73" t="str">
        <f>TEXT(Mass!$B$3,"yyyy-mm-dd")</f>
        <v>2026-05-16</v>
      </c>
      <c r="D73">
        <f>Mass!$B$4</f>
        <v>0</v>
      </c>
      <c r="E73" t="str">
        <f>Mass!$B$5</f>
        <v>Initial business jet baseline (Challenger 350 / Praetor 500 class)</v>
      </c>
      <c r="F73">
        <f>Mass!A117</f>
        <v>49</v>
      </c>
      <c r="G73" t="str">
        <f>Mass!B117</f>
        <v>APU Inlet/Exhaust</v>
      </c>
      <c r="H73" t="e">
        <f>Mass!#REF!</f>
        <v>#REF!</v>
      </c>
      <c r="I73">
        <f>Mass!C117</f>
        <v>1</v>
      </c>
      <c r="J73">
        <f>Mass!D117</f>
        <v>48.501639999999995</v>
      </c>
      <c r="K73">
        <f>Mass!E117</f>
        <v>48.501639999999995</v>
      </c>
      <c r="L73">
        <f>Mass!F117</f>
        <v>63.976379999999999</v>
      </c>
      <c r="M73">
        <f>Mass!G117</f>
        <v>0</v>
      </c>
      <c r="N73">
        <f>Mass!H117</f>
        <v>8.5301840000000002</v>
      </c>
      <c r="O73">
        <f>Mass!I117</f>
        <v>3102.9593512631996</v>
      </c>
      <c r="P73">
        <f>Mass!J117</f>
        <v>0</v>
      </c>
      <c r="Q73">
        <f>Mass!K117</f>
        <v>413.72791350175999</v>
      </c>
      <c r="R73">
        <f>Mass!L117</f>
        <v>0</v>
      </c>
    </row>
    <row r="74" spans="1:18" x14ac:dyDescent="0.3">
      <c r="A74" t="str">
        <f>Mass!$B$1</f>
        <v>0.1.7</v>
      </c>
      <c r="B74" t="str">
        <f>Mass!$B$2</f>
        <v>Draft</v>
      </c>
      <c r="C74" t="str">
        <f>TEXT(Mass!$B$3,"yyyy-mm-dd")</f>
        <v>2026-05-16</v>
      </c>
      <c r="D74">
        <f>Mass!$B$4</f>
        <v>0</v>
      </c>
      <c r="E74" t="str">
        <f>Mass!$B$5</f>
        <v>Initial business jet baseline (Challenger 350 / Praetor 500 class)</v>
      </c>
      <c r="F74">
        <f>Mass!A120</f>
        <v>52</v>
      </c>
      <c r="G74" t="str">
        <f>Mass!B120</f>
        <v>Fwd Pax Door LH</v>
      </c>
      <c r="H74" t="e">
        <f>Mass!#REF!</f>
        <v>#REF!</v>
      </c>
      <c r="I74">
        <f>Mass!C120</f>
        <v>1</v>
      </c>
      <c r="J74">
        <f>Mass!D120</f>
        <v>187.39269999999999</v>
      </c>
      <c r="K74">
        <f>Mass!E120</f>
        <v>187.39269999999999</v>
      </c>
      <c r="L74">
        <f>Mass!F120</f>
        <v>13.12336</v>
      </c>
      <c r="M74">
        <f>Mass!G120</f>
        <v>-2.9527559999999999</v>
      </c>
      <c r="N74">
        <f>Mass!H120</f>
        <v>4.5931759999999997</v>
      </c>
      <c r="O74">
        <f>Mass!I120</f>
        <v>2459.2218634719998</v>
      </c>
      <c r="P74">
        <f>Mass!J120</f>
        <v>-553.32491928119998</v>
      </c>
      <c r="Q74">
        <f>Mass!K120</f>
        <v>860.7276522151999</v>
      </c>
      <c r="R74" t="str">
        <f>Mass!L120</f>
        <v>Main entry / airstair</v>
      </c>
    </row>
    <row r="75" spans="1:18" x14ac:dyDescent="0.3">
      <c r="A75" t="str">
        <f>Mass!$B$1</f>
        <v>0.1.7</v>
      </c>
      <c r="B75" t="str">
        <f>Mass!$B$2</f>
        <v>Draft</v>
      </c>
      <c r="C75" t="str">
        <f>TEXT(Mass!$B$3,"yyyy-mm-dd")</f>
        <v>2026-05-16</v>
      </c>
      <c r="D75">
        <f>Mass!$B$4</f>
        <v>0</v>
      </c>
      <c r="E75" t="str">
        <f>Mass!$B$5</f>
        <v>Initial business jet baseline (Challenger 350 / Praetor 500 class)</v>
      </c>
      <c r="F75">
        <f>Mass!A121</f>
        <v>52</v>
      </c>
      <c r="G75" t="str">
        <f>Mass!B121</f>
        <v>Fwd Pax Door RH</v>
      </c>
      <c r="H75" t="e">
        <f>Mass!#REF!</f>
        <v>#REF!</v>
      </c>
      <c r="I75">
        <f>Mass!C121</f>
        <v>1</v>
      </c>
      <c r="J75">
        <f>Mass!D121</f>
        <v>77.161699999999996</v>
      </c>
      <c r="K75">
        <f>Mass!E121</f>
        <v>77.161699999999996</v>
      </c>
      <c r="L75">
        <f>Mass!F121</f>
        <v>13.12336</v>
      </c>
      <c r="M75">
        <f>Mass!G121</f>
        <v>2.9527559999999999</v>
      </c>
      <c r="N75">
        <f>Mass!H121</f>
        <v>4.5931759999999997</v>
      </c>
      <c r="O75">
        <f>Mass!I121</f>
        <v>1012.620767312</v>
      </c>
      <c r="P75">
        <f>Mass!J121</f>
        <v>227.83967264519998</v>
      </c>
      <c r="Q75">
        <f>Mass!K121</f>
        <v>354.41726855919995</v>
      </c>
      <c r="R75" t="str">
        <f>Mass!L121</f>
        <v>Service door</v>
      </c>
    </row>
    <row r="76" spans="1:18" x14ac:dyDescent="0.3">
      <c r="A76" t="str">
        <f>Mass!$B$1</f>
        <v>0.1.7</v>
      </c>
      <c r="B76" t="str">
        <f>Mass!$B$2</f>
        <v>Draft</v>
      </c>
      <c r="C76" t="str">
        <f>TEXT(Mass!$B$3,"yyyy-mm-dd")</f>
        <v>2026-05-16</v>
      </c>
      <c r="D76">
        <f>Mass!$B$4</f>
        <v>0</v>
      </c>
      <c r="E76" t="str">
        <f>Mass!$B$5</f>
        <v>Initial business jet baseline (Challenger 350 / Praetor 500 class)</v>
      </c>
      <c r="F76">
        <f>Mass!A122</f>
        <v>52</v>
      </c>
      <c r="G76" t="str">
        <f>Mass!B122</f>
        <v>Aft Pax Door LH</v>
      </c>
      <c r="H76" t="e">
        <f>Mass!#REF!</f>
        <v>#REF!</v>
      </c>
      <c r="I76">
        <f>Mass!C122</f>
        <v>1</v>
      </c>
      <c r="J76">
        <f>Mass!D122</f>
        <v>66.138599999999997</v>
      </c>
      <c r="K76">
        <f>Mass!E122</f>
        <v>66.138599999999997</v>
      </c>
      <c r="L76">
        <f>Mass!F122</f>
        <v>50.853020000000001</v>
      </c>
      <c r="M76">
        <f>Mass!G122</f>
        <v>-2.9527559999999999</v>
      </c>
      <c r="N76">
        <f>Mass!H122</f>
        <v>4.5931759999999997</v>
      </c>
      <c r="O76">
        <f>Mass!I122</f>
        <v>3363.3475485720001</v>
      </c>
      <c r="P76">
        <f>Mass!J122</f>
        <v>-195.29114798159998</v>
      </c>
      <c r="Q76">
        <f>Mass!K122</f>
        <v>303.78623019359998</v>
      </c>
      <c r="R76" t="str">
        <f>Mass!L122</f>
        <v>Emergency exit</v>
      </c>
    </row>
    <row r="77" spans="1:18" x14ac:dyDescent="0.3">
      <c r="A77" t="str">
        <f>Mass!$B$1</f>
        <v>0.1.7</v>
      </c>
      <c r="B77" t="str">
        <f>Mass!$B$2</f>
        <v>Draft</v>
      </c>
      <c r="C77" t="str">
        <f>TEXT(Mass!$B$3,"yyyy-mm-dd")</f>
        <v>2026-05-16</v>
      </c>
      <c r="D77">
        <f>Mass!$B$4</f>
        <v>0</v>
      </c>
      <c r="E77" t="str">
        <f>Mass!$B$5</f>
        <v>Initial business jet baseline (Challenger 350 / Praetor 500 class)</v>
      </c>
      <c r="F77">
        <f>Mass!A123</f>
        <v>52</v>
      </c>
      <c r="G77" t="str">
        <f>Mass!B123</f>
        <v>Aft Pax Door RH</v>
      </c>
      <c r="H77" t="e">
        <f>Mass!#REF!</f>
        <v>#REF!</v>
      </c>
      <c r="I77">
        <f>Mass!C123</f>
        <v>1</v>
      </c>
      <c r="J77">
        <f>Mass!D123</f>
        <v>66.138599999999997</v>
      </c>
      <c r="K77">
        <f>Mass!E123</f>
        <v>66.138599999999997</v>
      </c>
      <c r="L77">
        <f>Mass!F123</f>
        <v>50.853020000000001</v>
      </c>
      <c r="M77">
        <f>Mass!G123</f>
        <v>2.9527559999999999</v>
      </c>
      <c r="N77">
        <f>Mass!H123</f>
        <v>4.5931759999999997</v>
      </c>
      <c r="O77">
        <f>Mass!I123</f>
        <v>3363.3475485720001</v>
      </c>
      <c r="P77">
        <f>Mass!J123</f>
        <v>195.29114798159998</v>
      </c>
      <c r="Q77">
        <f>Mass!K123</f>
        <v>303.78623019359998</v>
      </c>
      <c r="R77" t="str">
        <f>Mass!L123</f>
        <v>Emergency exit</v>
      </c>
    </row>
    <row r="78" spans="1:18" x14ac:dyDescent="0.3">
      <c r="A78" t="str">
        <f>Mass!$B$1</f>
        <v>0.1.7</v>
      </c>
      <c r="B78" t="str">
        <f>Mass!$B$2</f>
        <v>Draft</v>
      </c>
      <c r="C78" t="str">
        <f>TEXT(Mass!$B$3,"yyyy-mm-dd")</f>
        <v>2026-05-16</v>
      </c>
      <c r="D78">
        <f>Mass!$B$4</f>
        <v>0</v>
      </c>
      <c r="E78" t="str">
        <f>Mass!$B$5</f>
        <v>Initial business jet baseline (Challenger 350 / Praetor 500 class)</v>
      </c>
      <c r="F78">
        <f>Mass!A124</f>
        <v>52</v>
      </c>
      <c r="G78" t="str">
        <f>Mass!B124</f>
        <v>Cargo Door Fwd</v>
      </c>
      <c r="H78" t="e">
        <f>Mass!#REF!</f>
        <v>#REF!</v>
      </c>
      <c r="I78">
        <f>Mass!C124</f>
        <v>1</v>
      </c>
      <c r="J78">
        <f>Mass!D124</f>
        <v>99.207899999999995</v>
      </c>
      <c r="K78">
        <f>Mass!E124</f>
        <v>99.207899999999995</v>
      </c>
      <c r="L78">
        <f>Mass!F124</f>
        <v>14.763780000000001</v>
      </c>
      <c r="M78">
        <f>Mass!G124</f>
        <v>0</v>
      </c>
      <c r="N78">
        <f>Mass!H124</f>
        <v>1.64042</v>
      </c>
      <c r="O78">
        <f>Mass!I124</f>
        <v>1464.6836098619999</v>
      </c>
      <c r="P78">
        <f>Mass!J124</f>
        <v>0</v>
      </c>
      <c r="Q78">
        <f>Mass!K124</f>
        <v>162.742623318</v>
      </c>
      <c r="R78" t="str">
        <f>Mass!L124</f>
        <v>Belly nose baggage</v>
      </c>
    </row>
    <row r="79" spans="1:18" x14ac:dyDescent="0.3">
      <c r="A79" t="str">
        <f>Mass!$B$1</f>
        <v>0.1.7</v>
      </c>
      <c r="B79" t="str">
        <f>Mass!$B$2</f>
        <v>Draft</v>
      </c>
      <c r="C79" t="str">
        <f>TEXT(Mass!$B$3,"yyyy-mm-dd")</f>
        <v>2026-05-16</v>
      </c>
      <c r="D79">
        <f>Mass!$B$4</f>
        <v>0</v>
      </c>
      <c r="E79" t="str">
        <f>Mass!$B$5</f>
        <v>Initial business jet baseline (Challenger 350 / Praetor 500 class)</v>
      </c>
      <c r="F79">
        <f>Mass!A125</f>
        <v>52</v>
      </c>
      <c r="G79" t="str">
        <f>Mass!B125</f>
        <v>Cargo Door Aft</v>
      </c>
      <c r="H79" t="e">
        <f>Mass!#REF!</f>
        <v>#REF!</v>
      </c>
      <c r="I79">
        <f>Mass!C125</f>
        <v>1</v>
      </c>
      <c r="J79">
        <f>Mass!D125</f>
        <v>121.25409999999999</v>
      </c>
      <c r="K79">
        <f>Mass!E125</f>
        <v>121.25409999999999</v>
      </c>
      <c r="L79">
        <f>Mass!F125</f>
        <v>54.133859999999999</v>
      </c>
      <c r="M79">
        <f>Mass!G125</f>
        <v>-2.9527559999999999</v>
      </c>
      <c r="N79">
        <f>Mass!H125</f>
        <v>3.9370079999999996</v>
      </c>
      <c r="O79">
        <f>Mass!I125</f>
        <v>6563.9524738259997</v>
      </c>
      <c r="P79">
        <f>Mass!J125</f>
        <v>-358.03377129959995</v>
      </c>
      <c r="Q79">
        <f>Mass!K125</f>
        <v>477.37836173279993</v>
      </c>
      <c r="R79" t="str">
        <f>Mass!L125</f>
        <v>External aft baggage</v>
      </c>
    </row>
    <row r="80" spans="1:18" x14ac:dyDescent="0.3">
      <c r="A80" t="str">
        <f>Mass!$B$1</f>
        <v>0.1.7</v>
      </c>
      <c r="B80" t="str">
        <f>Mass!$B$2</f>
        <v>Draft</v>
      </c>
      <c r="C80" t="str">
        <f>TEXT(Mass!$B$3,"yyyy-mm-dd")</f>
        <v>2026-05-16</v>
      </c>
      <c r="D80">
        <f>Mass!$B$4</f>
        <v>0</v>
      </c>
      <c r="E80" t="str">
        <f>Mass!$B$5</f>
        <v>Initial business jet baseline (Challenger 350 / Praetor 500 class)</v>
      </c>
      <c r="F80">
        <f>Mass!A128</f>
        <v>53</v>
      </c>
      <c r="G80" t="str">
        <f>Mass!B128</f>
        <v>Fwd Fuselage Section</v>
      </c>
      <c r="H80" t="e">
        <f>Mass!#REF!</f>
        <v>#REF!</v>
      </c>
      <c r="I80">
        <f>Mass!C128</f>
        <v>1</v>
      </c>
      <c r="J80">
        <f>Mass!D128</f>
        <v>1212.5409999999999</v>
      </c>
      <c r="K80">
        <f>Mass!E128</f>
        <v>1212.5409999999999</v>
      </c>
      <c r="L80">
        <f>Mass!F128</f>
        <v>11.482939999999999</v>
      </c>
      <c r="M80">
        <f>Mass!G128</f>
        <v>0</v>
      </c>
      <c r="N80">
        <f>Mass!H128</f>
        <v>4.9212600000000002</v>
      </c>
      <c r="O80">
        <f>Mass!I128</f>
        <v>13923.535550539998</v>
      </c>
      <c r="P80">
        <f>Mass!J128</f>
        <v>0</v>
      </c>
      <c r="Q80">
        <f>Mass!K128</f>
        <v>5967.2295216599996</v>
      </c>
      <c r="R80" t="str">
        <f>Mass!L128</f>
        <v>Nose to fwd pressure bulkhead</v>
      </c>
    </row>
    <row r="81" spans="1:18" x14ac:dyDescent="0.3">
      <c r="A81" t="str">
        <f>Mass!$B$1</f>
        <v>0.1.7</v>
      </c>
      <c r="B81" t="str">
        <f>Mass!$B$2</f>
        <v>Draft</v>
      </c>
      <c r="C81" t="str">
        <f>TEXT(Mass!$B$3,"yyyy-mm-dd")</f>
        <v>2026-05-16</v>
      </c>
      <c r="D81">
        <f>Mass!$B$4</f>
        <v>0</v>
      </c>
      <c r="E81" t="str">
        <f>Mass!$B$5</f>
        <v>Initial business jet baseline (Challenger 350 / Praetor 500 class)</v>
      </c>
      <c r="F81">
        <f>Mass!A129</f>
        <v>53</v>
      </c>
      <c r="G81" t="str">
        <f>Mass!B129</f>
        <v>Center Fuselage Section</v>
      </c>
      <c r="H81" t="e">
        <f>Mass!#REF!</f>
        <v>#REF!</v>
      </c>
      <c r="I81">
        <f>Mass!C129</f>
        <v>1</v>
      </c>
      <c r="J81">
        <f>Mass!D129</f>
        <v>2094.3889999999997</v>
      </c>
      <c r="K81">
        <f>Mass!E129</f>
        <v>2094.3889999999997</v>
      </c>
      <c r="L81">
        <f>Mass!F129</f>
        <v>34.448819999999998</v>
      </c>
      <c r="M81">
        <f>Mass!G129</f>
        <v>0</v>
      </c>
      <c r="N81">
        <f>Mass!H129</f>
        <v>5.5774279999999994</v>
      </c>
      <c r="O81">
        <f>Mass!I129</f>
        <v>72149.229670979985</v>
      </c>
      <c r="P81">
        <f>Mass!J129</f>
        <v>0</v>
      </c>
      <c r="Q81">
        <f>Mass!K129</f>
        <v>11681.303851491997</v>
      </c>
      <c r="R81" t="str">
        <f>Mass!L129</f>
        <v>Wing carry-through</v>
      </c>
    </row>
    <row r="82" spans="1:18" x14ac:dyDescent="0.3">
      <c r="A82" t="str">
        <f>Mass!$B$1</f>
        <v>0.1.7</v>
      </c>
      <c r="B82" t="str">
        <f>Mass!$B$2</f>
        <v>Draft</v>
      </c>
      <c r="C82" t="str">
        <f>TEXT(Mass!$B$3,"yyyy-mm-dd")</f>
        <v>2026-05-16</v>
      </c>
      <c r="D82">
        <f>Mass!$B$4</f>
        <v>0</v>
      </c>
      <c r="E82" t="str">
        <f>Mass!$B$5</f>
        <v>Initial business jet baseline (Challenger 350 / Praetor 500 class)</v>
      </c>
      <c r="F82">
        <f>Mass!A130</f>
        <v>53</v>
      </c>
      <c r="G82" t="str">
        <f>Mass!B130</f>
        <v>Aft Fuselage Section</v>
      </c>
      <c r="H82" t="e">
        <f>Mass!#REF!</f>
        <v>#REF!</v>
      </c>
      <c r="I82">
        <f>Mass!C130</f>
        <v>1</v>
      </c>
      <c r="J82">
        <f>Mass!D130</f>
        <v>1433.0029999999999</v>
      </c>
      <c r="K82">
        <f>Mass!E130</f>
        <v>1433.0029999999999</v>
      </c>
      <c r="L82">
        <f>Mass!F130</f>
        <v>54.133859999999999</v>
      </c>
      <c r="M82">
        <f>Mass!G130</f>
        <v>0</v>
      </c>
      <c r="N82">
        <f>Mass!H130</f>
        <v>5.9055119999999999</v>
      </c>
      <c r="O82">
        <f>Mass!I130</f>
        <v>77573.983781579998</v>
      </c>
      <c r="P82">
        <f>Mass!J130</f>
        <v>0</v>
      </c>
      <c r="Q82">
        <f>Mass!K130</f>
        <v>8462.6164125359992</v>
      </c>
      <c r="R82" t="str">
        <f>Mass!L130</f>
        <v>Pressurized aft + tailcone</v>
      </c>
    </row>
    <row r="83" spans="1:18" x14ac:dyDescent="0.3">
      <c r="A83" t="str">
        <f>Mass!$B$1</f>
        <v>0.1.7</v>
      </c>
      <c r="B83" t="str">
        <f>Mass!$B$2</f>
        <v>Draft</v>
      </c>
      <c r="C83" t="str">
        <f>TEXT(Mass!$B$3,"yyyy-mm-dd")</f>
        <v>2026-05-16</v>
      </c>
      <c r="D83">
        <f>Mass!$B$4</f>
        <v>0</v>
      </c>
      <c r="E83" t="str">
        <f>Mass!$B$5</f>
        <v>Initial business jet baseline (Challenger 350 / Praetor 500 class)</v>
      </c>
      <c r="F83">
        <f>Mass!A131</f>
        <v>53</v>
      </c>
      <c r="G83" t="str">
        <f>Mass!B131</f>
        <v>Pressure Bulkhead</v>
      </c>
      <c r="H83" t="e">
        <f>Mass!#REF!</f>
        <v>#REF!</v>
      </c>
      <c r="I83">
        <f>Mass!C131</f>
        <v>1</v>
      </c>
      <c r="J83">
        <f>Mass!D131</f>
        <v>198.41579999999999</v>
      </c>
      <c r="K83">
        <f>Mass!E131</f>
        <v>198.41579999999999</v>
      </c>
      <c r="L83">
        <f>Mass!F131</f>
        <v>57.414699999999996</v>
      </c>
      <c r="M83">
        <f>Mass!G131</f>
        <v>0</v>
      </c>
      <c r="N83">
        <f>Mass!H131</f>
        <v>5.9055119999999999</v>
      </c>
      <c r="O83">
        <f>Mass!I131</f>
        <v>11391.983632259999</v>
      </c>
      <c r="P83">
        <f>Mass!J131</f>
        <v>0</v>
      </c>
      <c r="Q83">
        <f>Mass!K131</f>
        <v>1171.7468878896</v>
      </c>
      <c r="R83" t="str">
        <f>Mass!L131</f>
        <v>Aft pressure bulkhead</v>
      </c>
    </row>
    <row r="84" spans="1:18" x14ac:dyDescent="0.3">
      <c r="A84" t="str">
        <f>Mass!$B$1</f>
        <v>0.1.7</v>
      </c>
      <c r="B84" t="str">
        <f>Mass!$B$2</f>
        <v>Draft</v>
      </c>
      <c r="C84" t="str">
        <f>TEXT(Mass!$B$3,"yyyy-mm-dd")</f>
        <v>2026-05-16</v>
      </c>
      <c r="D84">
        <f>Mass!$B$4</f>
        <v>0</v>
      </c>
      <c r="E84" t="str">
        <f>Mass!$B$5</f>
        <v>Initial business jet baseline (Challenger 350 / Praetor 500 class)</v>
      </c>
      <c r="F84">
        <f>Mass!A134</f>
        <v>54</v>
      </c>
      <c r="G84" t="str">
        <f>Mass!B134</f>
        <v>Pylon LH</v>
      </c>
      <c r="H84" t="e">
        <f>Mass!#REF!</f>
        <v>#REF!</v>
      </c>
      <c r="I84">
        <f>Mass!C134</f>
        <v>1</v>
      </c>
      <c r="J84">
        <f>Mass!D134</f>
        <v>242.50819999999999</v>
      </c>
      <c r="K84">
        <f>Mass!E134</f>
        <v>242.50819999999999</v>
      </c>
      <c r="L84">
        <f>Mass!F134</f>
        <v>42.650919999999999</v>
      </c>
      <c r="M84">
        <f>Mass!G134</f>
        <v>-3.9370079999999996</v>
      </c>
      <c r="N84">
        <f>Mass!H134</f>
        <v>7.2178480000000009</v>
      </c>
      <c r="O84">
        <f>Mass!I134</f>
        <v>10343.197837543999</v>
      </c>
      <c r="P84">
        <f>Mass!J134</f>
        <v>-954.75672346559986</v>
      </c>
      <c r="Q84">
        <f>Mass!K134</f>
        <v>1750.3873263536002</v>
      </c>
      <c r="R84">
        <f>Mass!L134</f>
        <v>0</v>
      </c>
    </row>
    <row r="85" spans="1:18" x14ac:dyDescent="0.3">
      <c r="A85" t="str">
        <f>Mass!$B$1</f>
        <v>0.1.7</v>
      </c>
      <c r="B85" t="str">
        <f>Mass!$B$2</f>
        <v>Draft</v>
      </c>
      <c r="C85" t="str">
        <f>TEXT(Mass!$B$3,"yyyy-mm-dd")</f>
        <v>2026-05-16</v>
      </c>
      <c r="D85">
        <f>Mass!$B$4</f>
        <v>0</v>
      </c>
      <c r="E85" t="str">
        <f>Mass!$B$5</f>
        <v>Initial business jet baseline (Challenger 350 / Praetor 500 class)</v>
      </c>
      <c r="F85">
        <f>Mass!A135</f>
        <v>54</v>
      </c>
      <c r="G85" t="str">
        <f>Mass!B135</f>
        <v>Pylon RH</v>
      </c>
      <c r="H85" t="e">
        <f>Mass!#REF!</f>
        <v>#REF!</v>
      </c>
      <c r="I85">
        <f>Mass!C135</f>
        <v>1</v>
      </c>
      <c r="J85">
        <f>Mass!D135</f>
        <v>242.50819999999999</v>
      </c>
      <c r="K85">
        <f>Mass!E135</f>
        <v>242.50819999999999</v>
      </c>
      <c r="L85">
        <f>Mass!F135</f>
        <v>42.650919999999999</v>
      </c>
      <c r="M85">
        <f>Mass!G135</f>
        <v>3.9370079999999996</v>
      </c>
      <c r="N85">
        <f>Mass!H135</f>
        <v>7.2178480000000009</v>
      </c>
      <c r="O85">
        <f>Mass!I135</f>
        <v>10343.197837543999</v>
      </c>
      <c r="P85">
        <f>Mass!J135</f>
        <v>954.75672346559986</v>
      </c>
      <c r="Q85">
        <f>Mass!K135</f>
        <v>1750.3873263536002</v>
      </c>
      <c r="R85">
        <f>Mass!L135</f>
        <v>0</v>
      </c>
    </row>
    <row r="86" spans="1:18" x14ac:dyDescent="0.3">
      <c r="A86" t="str">
        <f>Mass!$B$1</f>
        <v>0.1.7</v>
      </c>
      <c r="B86" t="str">
        <f>Mass!$B$2</f>
        <v>Draft</v>
      </c>
      <c r="C86" t="str">
        <f>TEXT(Mass!$B$3,"yyyy-mm-dd")</f>
        <v>2026-05-16</v>
      </c>
      <c r="D86">
        <f>Mass!$B$4</f>
        <v>0</v>
      </c>
      <c r="E86" t="str">
        <f>Mass!$B$5</f>
        <v>Initial business jet baseline (Challenger 350 / Praetor 500 class)</v>
      </c>
      <c r="F86">
        <f>Mass!A136</f>
        <v>54</v>
      </c>
      <c r="G86" t="str">
        <f>Mass!B136</f>
        <v>Nacelle LH</v>
      </c>
      <c r="H86" t="e">
        <f>Mass!#REF!</f>
        <v>#REF!</v>
      </c>
      <c r="I86">
        <f>Mass!C136</f>
        <v>1</v>
      </c>
      <c r="J86">
        <f>Mass!D136</f>
        <v>396.83159999999998</v>
      </c>
      <c r="K86">
        <f>Mass!E136</f>
        <v>396.83159999999998</v>
      </c>
      <c r="L86">
        <f>Mass!F136</f>
        <v>43.307088</v>
      </c>
      <c r="M86">
        <f>Mass!G136</f>
        <v>-4.9212600000000002</v>
      </c>
      <c r="N86">
        <f>Mass!H136</f>
        <v>7.5459319999999996</v>
      </c>
      <c r="O86">
        <f>Mass!I136</f>
        <v>17185.621022380798</v>
      </c>
      <c r="P86">
        <f>Mass!J136</f>
        <v>-1952.9114798159999</v>
      </c>
      <c r="Q86">
        <f>Mass!K136</f>
        <v>2994.4642690511996</v>
      </c>
      <c r="R86">
        <f>Mass!L136</f>
        <v>0</v>
      </c>
    </row>
    <row r="87" spans="1:18" x14ac:dyDescent="0.3">
      <c r="A87" t="str">
        <f>Mass!$B$1</f>
        <v>0.1.7</v>
      </c>
      <c r="B87" t="str">
        <f>Mass!$B$2</f>
        <v>Draft</v>
      </c>
      <c r="C87" t="str">
        <f>TEXT(Mass!$B$3,"yyyy-mm-dd")</f>
        <v>2026-05-16</v>
      </c>
      <c r="D87">
        <f>Mass!$B$4</f>
        <v>0</v>
      </c>
      <c r="E87" t="str">
        <f>Mass!$B$5</f>
        <v>Initial business jet baseline (Challenger 350 / Praetor 500 class)</v>
      </c>
      <c r="F87">
        <f>Mass!A137</f>
        <v>54</v>
      </c>
      <c r="G87" t="str">
        <f>Mass!B137</f>
        <v>Nacelle RH</v>
      </c>
      <c r="H87" t="e">
        <f>Mass!#REF!</f>
        <v>#REF!</v>
      </c>
      <c r="I87">
        <f>Mass!C137</f>
        <v>1</v>
      </c>
      <c r="J87">
        <f>Mass!D137</f>
        <v>396.83159999999998</v>
      </c>
      <c r="K87">
        <f>Mass!E137</f>
        <v>396.83159999999998</v>
      </c>
      <c r="L87">
        <f>Mass!F137</f>
        <v>43.307088</v>
      </c>
      <c r="M87">
        <f>Mass!G137</f>
        <v>4.9212600000000002</v>
      </c>
      <c r="N87">
        <f>Mass!H137</f>
        <v>7.5459319999999996</v>
      </c>
      <c r="O87">
        <f>Mass!I137</f>
        <v>17185.621022380798</v>
      </c>
      <c r="P87">
        <f>Mass!J137</f>
        <v>1952.9114798159999</v>
      </c>
      <c r="Q87">
        <f>Mass!K137</f>
        <v>2994.4642690511996</v>
      </c>
      <c r="R87">
        <f>Mass!L137</f>
        <v>0</v>
      </c>
    </row>
    <row r="88" spans="1:18" x14ac:dyDescent="0.3">
      <c r="A88" t="str">
        <f>Mass!$B$1</f>
        <v>0.1.7</v>
      </c>
      <c r="B88" t="str">
        <f>Mass!$B$2</f>
        <v>Draft</v>
      </c>
      <c r="C88" t="str">
        <f>TEXT(Mass!$B$3,"yyyy-mm-dd")</f>
        <v>2026-05-16</v>
      </c>
      <c r="D88">
        <f>Mass!$B$4</f>
        <v>0</v>
      </c>
      <c r="E88" t="str">
        <f>Mass!$B$5</f>
        <v>Initial business jet baseline (Challenger 350 / Praetor 500 class)</v>
      </c>
      <c r="F88">
        <f>Mass!A140</f>
        <v>55</v>
      </c>
      <c r="G88" t="str">
        <f>Mass!B140</f>
        <v>Horizontal Stab</v>
      </c>
      <c r="H88" t="e">
        <f>Mass!#REF!</f>
        <v>#REF!</v>
      </c>
      <c r="I88">
        <f>Mass!C140</f>
        <v>1</v>
      </c>
      <c r="J88">
        <f>Mass!D140</f>
        <v>617.29359999999997</v>
      </c>
      <c r="K88">
        <f>Mass!E140</f>
        <v>617.29359999999997</v>
      </c>
      <c r="L88">
        <f>Mass!F140</f>
        <v>62.33596</v>
      </c>
      <c r="M88">
        <f>Mass!G140</f>
        <v>0</v>
      </c>
      <c r="N88">
        <f>Mass!H140</f>
        <v>16.404199999999999</v>
      </c>
      <c r="O88">
        <f>Mass!I140</f>
        <v>38479.589157855997</v>
      </c>
      <c r="P88">
        <f>Mass!J140</f>
        <v>0</v>
      </c>
      <c r="Q88">
        <f>Mass!K140</f>
        <v>10126.20767312</v>
      </c>
      <c r="R88" t="str">
        <f>Mass!L140</f>
        <v>T-tail top of vertical</v>
      </c>
    </row>
    <row r="89" spans="1:18" x14ac:dyDescent="0.3">
      <c r="A89" t="str">
        <f>Mass!$B$1</f>
        <v>0.1.7</v>
      </c>
      <c r="B89" t="str">
        <f>Mass!$B$2</f>
        <v>Draft</v>
      </c>
      <c r="C89" t="str">
        <f>TEXT(Mass!$B$3,"yyyy-mm-dd")</f>
        <v>2026-05-16</v>
      </c>
      <c r="D89">
        <f>Mass!$B$4</f>
        <v>0</v>
      </c>
      <c r="E89" t="str">
        <f>Mass!$B$5</f>
        <v>Initial business jet baseline (Challenger 350 / Praetor 500 class)</v>
      </c>
      <c r="F89">
        <f>Mass!A141</f>
        <v>55</v>
      </c>
      <c r="G89" t="str">
        <f>Mass!B141</f>
        <v>Vertical Stab</v>
      </c>
      <c r="H89" t="e">
        <f>Mass!#REF!</f>
        <v>#REF!</v>
      </c>
      <c r="I89">
        <f>Mass!C141</f>
        <v>1</v>
      </c>
      <c r="J89">
        <f>Mass!D141</f>
        <v>705.47839999999997</v>
      </c>
      <c r="K89">
        <f>Mass!E141</f>
        <v>705.47839999999997</v>
      </c>
      <c r="L89">
        <f>Mass!F141</f>
        <v>60.695540000000001</v>
      </c>
      <c r="M89">
        <f>Mass!G141</f>
        <v>0</v>
      </c>
      <c r="N89">
        <f>Mass!H141</f>
        <v>11.482939999999999</v>
      </c>
      <c r="O89">
        <f>Mass!I141</f>
        <v>42819.392446336002</v>
      </c>
      <c r="P89">
        <f>Mass!J141</f>
        <v>0</v>
      </c>
      <c r="Q89">
        <f>Mass!K141</f>
        <v>8100.9661384959991</v>
      </c>
      <c r="R89">
        <f>Mass!L141</f>
        <v>0</v>
      </c>
    </row>
    <row r="90" spans="1:18" x14ac:dyDescent="0.3">
      <c r="A90" t="str">
        <f>Mass!$B$1</f>
        <v>0.1.7</v>
      </c>
      <c r="B90" t="str">
        <f>Mass!$B$2</f>
        <v>Draft</v>
      </c>
      <c r="C90" t="str">
        <f>TEXT(Mass!$B$3,"yyyy-mm-dd")</f>
        <v>2026-05-16</v>
      </c>
      <c r="D90">
        <f>Mass!$B$4</f>
        <v>0</v>
      </c>
      <c r="E90" t="str">
        <f>Mass!$B$5</f>
        <v>Initial business jet baseline (Challenger 350 / Praetor 500 class)</v>
      </c>
      <c r="F90">
        <f>Mass!A144</f>
        <v>56</v>
      </c>
      <c r="G90" t="str">
        <f>Mass!B144</f>
        <v>Flight Deck Windows</v>
      </c>
      <c r="H90" t="e">
        <f>Mass!#REF!</f>
        <v>#REF!</v>
      </c>
      <c r="I90">
        <f>Mass!C144</f>
        <v>1</v>
      </c>
      <c r="J90">
        <f>Mass!D144</f>
        <v>187.39269999999999</v>
      </c>
      <c r="K90">
        <f>Mass!E144</f>
        <v>187.39269999999999</v>
      </c>
      <c r="L90">
        <f>Mass!F144</f>
        <v>10.498688000000001</v>
      </c>
      <c r="M90">
        <f>Mass!G144</f>
        <v>0</v>
      </c>
      <c r="N90">
        <f>Mass!H144</f>
        <v>6.56168</v>
      </c>
      <c r="O90">
        <f>Mass!I144</f>
        <v>1967.3774907776001</v>
      </c>
      <c r="P90">
        <f>Mass!J144</f>
        <v>0</v>
      </c>
      <c r="Q90">
        <f>Mass!K144</f>
        <v>1229.6109317359999</v>
      </c>
      <c r="R90" t="str">
        <f>Mass!L144</f>
        <v>5-panel, lumped</v>
      </c>
    </row>
    <row r="91" spans="1:18" x14ac:dyDescent="0.3">
      <c r="A91" t="str">
        <f>Mass!$B$1</f>
        <v>0.1.7</v>
      </c>
      <c r="B91" t="str">
        <f>Mass!$B$2</f>
        <v>Draft</v>
      </c>
      <c r="C91" t="str">
        <f>TEXT(Mass!$B$3,"yyyy-mm-dd")</f>
        <v>2026-05-16</v>
      </c>
      <c r="D91">
        <f>Mass!$B$4</f>
        <v>0</v>
      </c>
      <c r="E91" t="str">
        <f>Mass!$B$5</f>
        <v>Initial business jet baseline (Challenger 350 / Praetor 500 class)</v>
      </c>
      <c r="F91">
        <f>Mass!A145</f>
        <v>56</v>
      </c>
      <c r="G91" t="str">
        <f>Mass!B145</f>
        <v>Cabin Windows</v>
      </c>
      <c r="H91" t="e">
        <f>Mass!#REF!</f>
        <v>#REF!</v>
      </c>
      <c r="I91">
        <f>Mass!C145</f>
        <v>14</v>
      </c>
      <c r="J91">
        <f>Mass!D145</f>
        <v>22.046199999999999</v>
      </c>
      <c r="K91">
        <f>Mass!E145</f>
        <v>308.64679999999998</v>
      </c>
      <c r="L91">
        <f>Mass!F145</f>
        <v>27.887139999999999</v>
      </c>
      <c r="M91">
        <f>Mass!G145</f>
        <v>0</v>
      </c>
      <c r="N91">
        <f>Mass!H145</f>
        <v>6.56168</v>
      </c>
      <c r="O91">
        <f>Mass!I145</f>
        <v>8607.2765221519985</v>
      </c>
      <c r="P91">
        <f>Mass!J145</f>
        <v>0</v>
      </c>
      <c r="Q91">
        <f>Mass!K145</f>
        <v>2025.241534624</v>
      </c>
      <c r="R91" t="str">
        <f>Mass!L145</f>
        <v>7 per side</v>
      </c>
    </row>
    <row r="92" spans="1:18" x14ac:dyDescent="0.3">
      <c r="A92" t="str">
        <f>Mass!$B$1</f>
        <v>0.1.7</v>
      </c>
      <c r="B92" t="str">
        <f>Mass!$B$2</f>
        <v>Draft</v>
      </c>
      <c r="C92" t="str">
        <f>TEXT(Mass!$B$3,"yyyy-mm-dd")</f>
        <v>2026-05-16</v>
      </c>
      <c r="D92">
        <f>Mass!$B$4</f>
        <v>0</v>
      </c>
      <c r="E92" t="str">
        <f>Mass!$B$5</f>
        <v>Initial business jet baseline (Challenger 350 / Praetor 500 class)</v>
      </c>
      <c r="F92">
        <f>Mass!A148</f>
        <v>57</v>
      </c>
      <c r="G92" t="str">
        <f>Mass!B148</f>
        <v>Wing Box LH</v>
      </c>
      <c r="H92" t="e">
        <f>Mass!#REF!</f>
        <v>#REF!</v>
      </c>
      <c r="I92">
        <f>Mass!C148</f>
        <v>1</v>
      </c>
      <c r="J92">
        <f>Mass!D148</f>
        <v>1058.2175999999999</v>
      </c>
      <c r="K92">
        <f>Mass!E148</f>
        <v>1058.2175999999999</v>
      </c>
      <c r="L92">
        <f>Mass!F148</f>
        <v>34.448819999999998</v>
      </c>
      <c r="M92">
        <f>Mass!G148</f>
        <v>-9.8425200000000004</v>
      </c>
      <c r="N92">
        <f>Mass!H148</f>
        <v>6.2335959999999995</v>
      </c>
      <c r="O92">
        <f>Mass!I148</f>
        <v>36454.347623231995</v>
      </c>
      <c r="P92">
        <f>Mass!J148</f>
        <v>-10415.527892352</v>
      </c>
      <c r="Q92">
        <f>Mass!K148</f>
        <v>6596.5009984895987</v>
      </c>
      <c r="R92">
        <f>Mass!L148</f>
        <v>0</v>
      </c>
    </row>
    <row r="93" spans="1:18" x14ac:dyDescent="0.3">
      <c r="A93" t="str">
        <f>Mass!$B$1</f>
        <v>0.1.7</v>
      </c>
      <c r="B93" t="str">
        <f>Mass!$B$2</f>
        <v>Draft</v>
      </c>
      <c r="C93" t="str">
        <f>TEXT(Mass!$B$3,"yyyy-mm-dd")</f>
        <v>2026-05-16</v>
      </c>
      <c r="D93">
        <f>Mass!$B$4</f>
        <v>0</v>
      </c>
      <c r="E93" t="str">
        <f>Mass!$B$5</f>
        <v>Initial business jet baseline (Challenger 350 / Praetor 500 class)</v>
      </c>
      <c r="F93">
        <f>Mass!A149</f>
        <v>57</v>
      </c>
      <c r="G93" t="str">
        <f>Mass!B149</f>
        <v>Wing Box RH</v>
      </c>
      <c r="H93" t="e">
        <f>Mass!#REF!</f>
        <v>#REF!</v>
      </c>
      <c r="I93">
        <f>Mass!C149</f>
        <v>1</v>
      </c>
      <c r="J93">
        <f>Mass!D149</f>
        <v>1058.2175999999999</v>
      </c>
      <c r="K93">
        <f>Mass!E149</f>
        <v>1058.2175999999999</v>
      </c>
      <c r="L93">
        <f>Mass!F149</f>
        <v>34.448819999999998</v>
      </c>
      <c r="M93">
        <f>Mass!G149</f>
        <v>9.8425200000000004</v>
      </c>
      <c r="N93">
        <f>Mass!H149</f>
        <v>6.2335959999999995</v>
      </c>
      <c r="O93">
        <f>Mass!I149</f>
        <v>36454.347623231995</v>
      </c>
      <c r="P93">
        <f>Mass!J149</f>
        <v>10415.527892352</v>
      </c>
      <c r="Q93">
        <f>Mass!K149</f>
        <v>6596.5009984895987</v>
      </c>
      <c r="R93">
        <f>Mass!L149</f>
        <v>0</v>
      </c>
    </row>
    <row r="94" spans="1:18" x14ac:dyDescent="0.3">
      <c r="A94" t="str">
        <f>Mass!$B$1</f>
        <v>0.1.7</v>
      </c>
      <c r="B94" t="str">
        <f>Mass!$B$2</f>
        <v>Draft</v>
      </c>
      <c r="C94" t="str">
        <f>TEXT(Mass!$B$3,"yyyy-mm-dd")</f>
        <v>2026-05-16</v>
      </c>
      <c r="D94">
        <f>Mass!$B$4</f>
        <v>0</v>
      </c>
      <c r="E94" t="str">
        <f>Mass!$B$5</f>
        <v>Initial business jet baseline (Challenger 350 / Praetor 500 class)</v>
      </c>
      <c r="F94">
        <f>Mass!A150</f>
        <v>57</v>
      </c>
      <c r="G94" t="str">
        <f>Mass!B150</f>
        <v>Wing Skins LH</v>
      </c>
      <c r="H94" t="e">
        <f>Mass!#REF!</f>
        <v>#REF!</v>
      </c>
      <c r="I94">
        <f>Mass!C150</f>
        <v>1</v>
      </c>
      <c r="J94">
        <f>Mass!D150</f>
        <v>485.01639999999998</v>
      </c>
      <c r="K94">
        <f>Mass!E150</f>
        <v>485.01639999999998</v>
      </c>
      <c r="L94">
        <f>Mass!F150</f>
        <v>34.448819999999998</v>
      </c>
      <c r="M94">
        <f>Mass!G150</f>
        <v>-16.404199999999999</v>
      </c>
      <c r="N94">
        <f>Mass!H150</f>
        <v>6.56168</v>
      </c>
      <c r="O94">
        <f>Mass!I150</f>
        <v>16708.242660647997</v>
      </c>
      <c r="P94">
        <f>Mass!J150</f>
        <v>-7956.3060288799998</v>
      </c>
      <c r="Q94">
        <f>Mass!K150</f>
        <v>3182.522411552</v>
      </c>
      <c r="R94">
        <f>Mass!L150</f>
        <v>0</v>
      </c>
    </row>
    <row r="95" spans="1:18" x14ac:dyDescent="0.3">
      <c r="A95" t="str">
        <f>Mass!$B$1</f>
        <v>0.1.7</v>
      </c>
      <c r="B95" t="str">
        <f>Mass!$B$2</f>
        <v>Draft</v>
      </c>
      <c r="C95" t="str">
        <f>TEXT(Mass!$B$3,"yyyy-mm-dd")</f>
        <v>2026-05-16</v>
      </c>
      <c r="D95">
        <f>Mass!$B$4</f>
        <v>0</v>
      </c>
      <c r="E95" t="str">
        <f>Mass!$B$5</f>
        <v>Initial business jet baseline (Challenger 350 / Praetor 500 class)</v>
      </c>
      <c r="F95">
        <f>Mass!A151</f>
        <v>57</v>
      </c>
      <c r="G95" t="str">
        <f>Mass!B151</f>
        <v>Wing Skins RH</v>
      </c>
      <c r="H95" t="e">
        <f>Mass!#REF!</f>
        <v>#REF!</v>
      </c>
      <c r="I95">
        <f>Mass!C151</f>
        <v>1</v>
      </c>
      <c r="J95">
        <f>Mass!D151</f>
        <v>485.01639999999998</v>
      </c>
      <c r="K95">
        <f>Mass!E151</f>
        <v>485.01639999999998</v>
      </c>
      <c r="L95">
        <f>Mass!F151</f>
        <v>34.448819999999998</v>
      </c>
      <c r="M95">
        <f>Mass!G151</f>
        <v>16.404199999999999</v>
      </c>
      <c r="N95">
        <f>Mass!H151</f>
        <v>6.56168</v>
      </c>
      <c r="O95">
        <f>Mass!I151</f>
        <v>16708.242660647997</v>
      </c>
      <c r="P95">
        <f>Mass!J151</f>
        <v>7956.3060288799998</v>
      </c>
      <c r="Q95">
        <f>Mass!K151</f>
        <v>3182.522411552</v>
      </c>
      <c r="R95">
        <f>Mass!L151</f>
        <v>0</v>
      </c>
    </row>
    <row r="96" spans="1:18" x14ac:dyDescent="0.3">
      <c r="A96" t="str">
        <f>Mass!$B$1</f>
        <v>0.1.7</v>
      </c>
      <c r="B96" t="str">
        <f>Mass!$B$2</f>
        <v>Draft</v>
      </c>
      <c r="C96" t="str">
        <f>TEXT(Mass!$B$3,"yyyy-mm-dd")</f>
        <v>2026-05-16</v>
      </c>
      <c r="D96">
        <f>Mass!$B$4</f>
        <v>0</v>
      </c>
      <c r="E96" t="str">
        <f>Mass!$B$5</f>
        <v>Initial business jet baseline (Challenger 350 / Praetor 500 class)</v>
      </c>
      <c r="F96">
        <f>Mass!A152</f>
        <v>57</v>
      </c>
      <c r="G96" t="str">
        <f>Mass!B152</f>
        <v>Leading Edge</v>
      </c>
      <c r="H96" t="e">
        <f>Mass!#REF!</f>
        <v>#REF!</v>
      </c>
      <c r="I96">
        <f>Mass!C152</f>
        <v>1</v>
      </c>
      <c r="J96">
        <f>Mass!D152</f>
        <v>242.50819999999999</v>
      </c>
      <c r="K96">
        <f>Mass!E152</f>
        <v>242.50819999999999</v>
      </c>
      <c r="L96">
        <f>Mass!F152</f>
        <v>32.808399999999999</v>
      </c>
      <c r="M96">
        <f>Mass!G152</f>
        <v>0</v>
      </c>
      <c r="N96">
        <f>Mass!H152</f>
        <v>6.56168</v>
      </c>
      <c r="O96">
        <f>Mass!I152</f>
        <v>7956.3060288799998</v>
      </c>
      <c r="P96">
        <f>Mass!J152</f>
        <v>0</v>
      </c>
      <c r="Q96">
        <f>Mass!K152</f>
        <v>1591.261205776</v>
      </c>
      <c r="R96" t="str">
        <f>Mass!L152</f>
        <v>Both wings, lumped</v>
      </c>
    </row>
    <row r="97" spans="1:18" x14ac:dyDescent="0.3">
      <c r="A97" t="str">
        <f>Mass!$B$1</f>
        <v>0.1.7</v>
      </c>
      <c r="B97" t="str">
        <f>Mass!$B$2</f>
        <v>Draft</v>
      </c>
      <c r="C97" t="str">
        <f>TEXT(Mass!$B$3,"yyyy-mm-dd")</f>
        <v>2026-05-16</v>
      </c>
      <c r="D97">
        <f>Mass!$B$4</f>
        <v>0</v>
      </c>
      <c r="E97" t="str">
        <f>Mass!$B$5</f>
        <v>Initial business jet baseline (Challenger 350 / Praetor 500 class)</v>
      </c>
      <c r="F97">
        <f>Mass!A153</f>
        <v>57</v>
      </c>
      <c r="G97" t="str">
        <f>Mass!B153</f>
        <v>Trailing Edge</v>
      </c>
      <c r="H97" t="e">
        <f>Mass!#REF!</f>
        <v>#REF!</v>
      </c>
      <c r="I97">
        <f>Mass!C153</f>
        <v>1</v>
      </c>
      <c r="J97">
        <f>Mass!D153</f>
        <v>286.60059999999999</v>
      </c>
      <c r="K97">
        <f>Mass!E153</f>
        <v>286.60059999999999</v>
      </c>
      <c r="L97">
        <f>Mass!F153</f>
        <v>37.729660000000003</v>
      </c>
      <c r="M97">
        <f>Mass!G153</f>
        <v>0</v>
      </c>
      <c r="N97">
        <f>Mass!H153</f>
        <v>6.56168</v>
      </c>
      <c r="O97">
        <f>Mass!I153</f>
        <v>10813.343193795999</v>
      </c>
      <c r="P97">
        <f>Mass!J153</f>
        <v>0</v>
      </c>
      <c r="Q97">
        <f>Mass!K153</f>
        <v>1880.581425008</v>
      </c>
      <c r="R97" t="str">
        <f>Mass!L153</f>
        <v>Both wings, lumped</v>
      </c>
    </row>
    <row r="98" spans="1:18" x14ac:dyDescent="0.3">
      <c r="A98" t="str">
        <f>Mass!$B$1</f>
        <v>0.1.7</v>
      </c>
      <c r="B98" t="str">
        <f>Mass!$B$2</f>
        <v>Draft</v>
      </c>
      <c r="C98" t="str">
        <f>TEXT(Mass!$B$3,"yyyy-mm-dd")</f>
        <v>2026-05-16</v>
      </c>
      <c r="D98">
        <f>Mass!$B$4</f>
        <v>0</v>
      </c>
      <c r="E98" t="str">
        <f>Mass!$B$5</f>
        <v>Initial business jet baseline (Challenger 350 / Praetor 500 class)</v>
      </c>
      <c r="F98">
        <f>Mass!A156</f>
        <v>71</v>
      </c>
      <c r="G98" t="str">
        <f>Mass!B156</f>
        <v>Engine 1 Core</v>
      </c>
      <c r="H98" t="e">
        <f>Mass!#REF!</f>
        <v>#REF!</v>
      </c>
      <c r="I98">
        <f>Mass!C156</f>
        <v>1</v>
      </c>
      <c r="J98">
        <f>Mass!D156</f>
        <v>1653.4649999999999</v>
      </c>
      <c r="K98">
        <f>Mass!E156</f>
        <v>1653.4649999999999</v>
      </c>
      <c r="L98">
        <f>Mass!F156</f>
        <v>43.307088</v>
      </c>
      <c r="M98">
        <f>Mass!G156</f>
        <v>-3.9370079999999996</v>
      </c>
      <c r="N98">
        <f>Mass!H156</f>
        <v>7.5459319999999996</v>
      </c>
      <c r="O98">
        <f>Mass!I156</f>
        <v>71606.754259919995</v>
      </c>
      <c r="P98">
        <f>Mass!J156</f>
        <v>-6509.7049327199993</v>
      </c>
      <c r="Q98">
        <f>Mass!K156</f>
        <v>12476.934454379998</v>
      </c>
      <c r="R98" t="str">
        <f>Mass!L156</f>
        <v>Dry weight, aft fuselage mount</v>
      </c>
    </row>
    <row r="99" spans="1:18" x14ac:dyDescent="0.3">
      <c r="A99" t="str">
        <f>Mass!$B$1</f>
        <v>0.1.7</v>
      </c>
      <c r="B99" t="str">
        <f>Mass!$B$2</f>
        <v>Draft</v>
      </c>
      <c r="C99" t="str">
        <f>TEXT(Mass!$B$3,"yyyy-mm-dd")</f>
        <v>2026-05-16</v>
      </c>
      <c r="D99">
        <f>Mass!$B$4</f>
        <v>0</v>
      </c>
      <c r="E99" t="str">
        <f>Mass!$B$5</f>
        <v>Initial business jet baseline (Challenger 350 / Praetor 500 class)</v>
      </c>
      <c r="F99">
        <f>Mass!A157</f>
        <v>71</v>
      </c>
      <c r="G99" t="str">
        <f>Mass!B157</f>
        <v>Engine 2 Core</v>
      </c>
      <c r="H99" t="e">
        <f>Mass!#REF!</f>
        <v>#REF!</v>
      </c>
      <c r="I99">
        <f>Mass!C157</f>
        <v>1</v>
      </c>
      <c r="J99">
        <f>Mass!D157</f>
        <v>1653.4649999999999</v>
      </c>
      <c r="K99">
        <f>Mass!E157</f>
        <v>1653.4649999999999</v>
      </c>
      <c r="L99">
        <f>Mass!F157</f>
        <v>43.307088</v>
      </c>
      <c r="M99">
        <f>Mass!G157</f>
        <v>3.9370079999999996</v>
      </c>
      <c r="N99">
        <f>Mass!H157</f>
        <v>7.5459319999999996</v>
      </c>
      <c r="O99">
        <f>Mass!I157</f>
        <v>71606.754259919995</v>
      </c>
      <c r="P99">
        <f>Mass!J157</f>
        <v>6509.7049327199993</v>
      </c>
      <c r="Q99">
        <f>Mass!K157</f>
        <v>12476.934454379998</v>
      </c>
      <c r="R99" t="str">
        <f>Mass!L157</f>
        <v>Dry weight, aft fuselage mount</v>
      </c>
    </row>
    <row r="100" spans="1:18" x14ac:dyDescent="0.3">
      <c r="A100" t="str">
        <f>Mass!$B$1</f>
        <v>0.1.7</v>
      </c>
      <c r="B100" t="str">
        <f>Mass!$B$2</f>
        <v>Draft</v>
      </c>
      <c r="C100" t="str">
        <f>TEXT(Mass!$B$3,"yyyy-mm-dd")</f>
        <v>2026-05-16</v>
      </c>
      <c r="D100">
        <f>Mass!$B$4</f>
        <v>0</v>
      </c>
      <c r="E100" t="str">
        <f>Mass!$B$5</f>
        <v>Initial business jet baseline (Challenger 350 / Praetor 500 class)</v>
      </c>
      <c r="F100">
        <f>Mass!A158</f>
        <v>71</v>
      </c>
      <c r="G100" t="str">
        <f>Mass!B158</f>
        <v>Engine Mounts LH</v>
      </c>
      <c r="H100" t="e">
        <f>Mass!#REF!</f>
        <v>#REF!</v>
      </c>
      <c r="I100">
        <f>Mass!C158</f>
        <v>1</v>
      </c>
      <c r="J100">
        <f>Mass!D158</f>
        <v>88.184799999999996</v>
      </c>
      <c r="K100">
        <f>Mass!E158</f>
        <v>88.184799999999996</v>
      </c>
      <c r="L100">
        <f>Mass!F158</f>
        <v>42.650919999999999</v>
      </c>
      <c r="M100">
        <f>Mass!G158</f>
        <v>-3.9370079999999996</v>
      </c>
      <c r="N100">
        <f>Mass!H158</f>
        <v>7.5459319999999996</v>
      </c>
      <c r="O100">
        <f>Mass!I158</f>
        <v>3761.1628500159995</v>
      </c>
      <c r="P100">
        <f>Mass!J158</f>
        <v>-347.18426307839997</v>
      </c>
      <c r="Q100">
        <f>Mass!K158</f>
        <v>665.43650423359998</v>
      </c>
      <c r="R100">
        <f>Mass!L158</f>
        <v>0</v>
      </c>
    </row>
    <row r="101" spans="1:18" x14ac:dyDescent="0.3">
      <c r="A101" t="str">
        <f>Mass!$B$1</f>
        <v>0.1.7</v>
      </c>
      <c r="B101" t="str">
        <f>Mass!$B$2</f>
        <v>Draft</v>
      </c>
      <c r="C101" t="str">
        <f>TEXT(Mass!$B$3,"yyyy-mm-dd")</f>
        <v>2026-05-16</v>
      </c>
      <c r="D101">
        <f>Mass!$B$4</f>
        <v>0</v>
      </c>
      <c r="E101" t="str">
        <f>Mass!$B$5</f>
        <v>Initial business jet baseline (Challenger 350 / Praetor 500 class)</v>
      </c>
      <c r="F101">
        <f>Mass!A159</f>
        <v>71</v>
      </c>
      <c r="G101" t="str">
        <f>Mass!B159</f>
        <v>Engine Mounts RH</v>
      </c>
      <c r="H101" t="e">
        <f>Mass!#REF!</f>
        <v>#REF!</v>
      </c>
      <c r="I101">
        <f>Mass!C159</f>
        <v>1</v>
      </c>
      <c r="J101">
        <f>Mass!D159</f>
        <v>88.184799999999996</v>
      </c>
      <c r="K101">
        <f>Mass!E159</f>
        <v>88.184799999999996</v>
      </c>
      <c r="L101">
        <f>Mass!F159</f>
        <v>42.650919999999999</v>
      </c>
      <c r="M101">
        <f>Mass!G159</f>
        <v>3.9370079999999996</v>
      </c>
      <c r="N101">
        <f>Mass!H159</f>
        <v>7.5459319999999996</v>
      </c>
      <c r="O101">
        <f>Mass!I159</f>
        <v>3761.1628500159995</v>
      </c>
      <c r="P101">
        <f>Mass!J159</f>
        <v>347.18426307839997</v>
      </c>
      <c r="Q101">
        <f>Mass!K159</f>
        <v>665.43650423359998</v>
      </c>
      <c r="R101">
        <f>Mass!L159</f>
        <v>0</v>
      </c>
    </row>
    <row r="102" spans="1:18" x14ac:dyDescent="0.3">
      <c r="A102" t="str">
        <f>Mass!$B$1</f>
        <v>0.1.7</v>
      </c>
      <c r="B102" t="str">
        <f>Mass!$B$2</f>
        <v>Draft</v>
      </c>
      <c r="C102" t="str">
        <f>TEXT(Mass!$B$3,"yyyy-mm-dd")</f>
        <v>2026-05-16</v>
      </c>
      <c r="D102">
        <f>Mass!$B$4</f>
        <v>0</v>
      </c>
      <c r="E102" t="str">
        <f>Mass!$B$5</f>
        <v>Initial business jet baseline (Challenger 350 / Praetor 500 class)</v>
      </c>
      <c r="F102">
        <f>Mass!A162</f>
        <v>73</v>
      </c>
      <c r="G102" t="str">
        <f>Mass!B162</f>
        <v>FADEC 1</v>
      </c>
      <c r="H102" t="e">
        <f>Mass!#REF!</f>
        <v>#REF!</v>
      </c>
      <c r="I102">
        <f>Mass!C162</f>
        <v>1</v>
      </c>
      <c r="J102">
        <f>Mass!D162</f>
        <v>17.636959999999998</v>
      </c>
      <c r="K102">
        <f>Mass!E162</f>
        <v>17.636959999999998</v>
      </c>
      <c r="L102">
        <f>Mass!F162</f>
        <v>42.650919999999999</v>
      </c>
      <c r="M102">
        <f>Mass!G162</f>
        <v>-3.9370079999999996</v>
      </c>
      <c r="N102">
        <f>Mass!H162</f>
        <v>7.5459319999999996</v>
      </c>
      <c r="O102">
        <f>Mass!I162</f>
        <v>752.23257000319995</v>
      </c>
      <c r="P102">
        <f>Mass!J162</f>
        <v>-69.436852615679982</v>
      </c>
      <c r="Q102">
        <f>Mass!K162</f>
        <v>133.08730084671998</v>
      </c>
      <c r="R102">
        <f>Mass!L162</f>
        <v>0</v>
      </c>
    </row>
    <row r="103" spans="1:18" x14ac:dyDescent="0.3">
      <c r="A103" t="str">
        <f>Mass!$B$1</f>
        <v>0.1.7</v>
      </c>
      <c r="B103" t="str">
        <f>Mass!$B$2</f>
        <v>Draft</v>
      </c>
      <c r="C103" t="str">
        <f>TEXT(Mass!$B$3,"yyyy-mm-dd")</f>
        <v>2026-05-16</v>
      </c>
      <c r="D103">
        <f>Mass!$B$4</f>
        <v>0</v>
      </c>
      <c r="E103" t="str">
        <f>Mass!$B$5</f>
        <v>Initial business jet baseline (Challenger 350 / Praetor 500 class)</v>
      </c>
      <c r="F103">
        <f>Mass!A163</f>
        <v>73</v>
      </c>
      <c r="G103" t="str">
        <f>Mass!B163</f>
        <v>FADEC 2</v>
      </c>
      <c r="H103" t="e">
        <f>Mass!#REF!</f>
        <v>#REF!</v>
      </c>
      <c r="I103">
        <f>Mass!C163</f>
        <v>1</v>
      </c>
      <c r="J103">
        <f>Mass!D163</f>
        <v>17.636959999999998</v>
      </c>
      <c r="K103">
        <f>Mass!E163</f>
        <v>17.636959999999998</v>
      </c>
      <c r="L103">
        <f>Mass!F163</f>
        <v>42.650919999999999</v>
      </c>
      <c r="M103">
        <f>Mass!G163</f>
        <v>3.9370079999999996</v>
      </c>
      <c r="N103">
        <f>Mass!H163</f>
        <v>7.5459319999999996</v>
      </c>
      <c r="O103">
        <f>Mass!I163</f>
        <v>752.23257000319995</v>
      </c>
      <c r="P103">
        <f>Mass!J163</f>
        <v>69.436852615679982</v>
      </c>
      <c r="Q103">
        <f>Mass!K163</f>
        <v>133.08730084671998</v>
      </c>
      <c r="R103">
        <f>Mass!L163</f>
        <v>0</v>
      </c>
    </row>
    <row r="104" spans="1:18" x14ac:dyDescent="0.3">
      <c r="A104" t="str">
        <f>Mass!$B$1</f>
        <v>0.1.7</v>
      </c>
      <c r="B104" t="str">
        <f>Mass!$B$2</f>
        <v>Draft</v>
      </c>
      <c r="C104" t="str">
        <f>TEXT(Mass!$B$3,"yyyy-mm-dd")</f>
        <v>2026-05-16</v>
      </c>
      <c r="D104">
        <f>Mass!$B$4</f>
        <v>0</v>
      </c>
      <c r="E104" t="str">
        <f>Mass!$B$5</f>
        <v>Initial business jet baseline (Challenger 350 / Praetor 500 class)</v>
      </c>
      <c r="F104">
        <f>Mass!A164</f>
        <v>73</v>
      </c>
      <c r="G104" t="str">
        <f>Mass!B164</f>
        <v>Fuel Metering Unit 1</v>
      </c>
      <c r="H104" t="e">
        <f>Mass!#REF!</f>
        <v>#REF!</v>
      </c>
      <c r="I104">
        <f>Mass!C164</f>
        <v>1</v>
      </c>
      <c r="J104">
        <f>Mass!D164</f>
        <v>26.455439999999996</v>
      </c>
      <c r="K104">
        <f>Mass!E164</f>
        <v>26.455439999999996</v>
      </c>
      <c r="L104">
        <f>Mass!F164</f>
        <v>42.650919999999999</v>
      </c>
      <c r="M104">
        <f>Mass!G164</f>
        <v>-3.9370079999999996</v>
      </c>
      <c r="N104">
        <f>Mass!H164</f>
        <v>7.5459319999999996</v>
      </c>
      <c r="O104">
        <f>Mass!I164</f>
        <v>1128.3488550047998</v>
      </c>
      <c r="P104">
        <f>Mass!J164</f>
        <v>-104.15527892351997</v>
      </c>
      <c r="Q104">
        <f>Mass!K164</f>
        <v>199.63095127007995</v>
      </c>
      <c r="R104">
        <f>Mass!L164</f>
        <v>0</v>
      </c>
    </row>
    <row r="105" spans="1:18" x14ac:dyDescent="0.3">
      <c r="A105" t="str">
        <f>Mass!$B$1</f>
        <v>0.1.7</v>
      </c>
      <c r="B105" t="str">
        <f>Mass!$B$2</f>
        <v>Draft</v>
      </c>
      <c r="C105" t="str">
        <f>TEXT(Mass!$B$3,"yyyy-mm-dd")</f>
        <v>2026-05-16</v>
      </c>
      <c r="D105">
        <f>Mass!$B$4</f>
        <v>0</v>
      </c>
      <c r="E105" t="str">
        <f>Mass!$B$5</f>
        <v>Initial business jet baseline (Challenger 350 / Praetor 500 class)</v>
      </c>
      <c r="F105">
        <f>Mass!A165</f>
        <v>73</v>
      </c>
      <c r="G105" t="str">
        <f>Mass!B165</f>
        <v>Fuel Metering Unit 2</v>
      </c>
      <c r="H105" t="e">
        <f>Mass!#REF!</f>
        <v>#REF!</v>
      </c>
      <c r="I105">
        <f>Mass!C165</f>
        <v>1</v>
      </c>
      <c r="J105">
        <f>Mass!D165</f>
        <v>26.455439999999996</v>
      </c>
      <c r="K105">
        <f>Mass!E165</f>
        <v>26.455439999999996</v>
      </c>
      <c r="L105">
        <f>Mass!F165</f>
        <v>42.650919999999999</v>
      </c>
      <c r="M105">
        <f>Mass!G165</f>
        <v>3.9370079999999996</v>
      </c>
      <c r="N105">
        <f>Mass!H165</f>
        <v>7.5459319999999996</v>
      </c>
      <c r="O105">
        <f>Mass!I165</f>
        <v>1128.3488550047998</v>
      </c>
      <c r="P105">
        <f>Mass!J165</f>
        <v>104.15527892351997</v>
      </c>
      <c r="Q105">
        <f>Mass!K165</f>
        <v>199.63095127007995</v>
      </c>
      <c r="R105">
        <f>Mass!L165</f>
        <v>0</v>
      </c>
    </row>
    <row r="106" spans="1:18" x14ac:dyDescent="0.3">
      <c r="A106" t="str">
        <f>Mass!$B$1</f>
        <v>0.1.7</v>
      </c>
      <c r="B106" t="str">
        <f>Mass!$B$2</f>
        <v>Draft</v>
      </c>
      <c r="C106" t="str">
        <f>TEXT(Mass!$B$3,"yyyy-mm-dd")</f>
        <v>2026-05-16</v>
      </c>
      <c r="D106">
        <f>Mass!$B$4</f>
        <v>0</v>
      </c>
      <c r="E106" t="str">
        <f>Mass!$B$5</f>
        <v>Initial business jet baseline (Challenger 350 / Praetor 500 class)</v>
      </c>
      <c r="F106">
        <f>Mass!A168</f>
        <v>75</v>
      </c>
      <c r="G106" t="str">
        <f>Mass!B168</f>
        <v>Bleed Valves</v>
      </c>
      <c r="H106" t="e">
        <f>Mass!#REF!</f>
        <v>#REF!</v>
      </c>
      <c r="I106">
        <f>Mass!C168</f>
        <v>4</v>
      </c>
      <c r="J106">
        <f>Mass!D168</f>
        <v>8.8184799999999992</v>
      </c>
      <c r="K106">
        <f>Mass!E168</f>
        <v>35.273919999999997</v>
      </c>
      <c r="L106">
        <f>Mass!F168</f>
        <v>42.650919999999999</v>
      </c>
      <c r="M106">
        <f>Mass!G168</f>
        <v>0</v>
      </c>
      <c r="N106">
        <f>Mass!H168</f>
        <v>7.5459319999999996</v>
      </c>
      <c r="O106">
        <f>Mass!I168</f>
        <v>1504.4651400063999</v>
      </c>
      <c r="P106">
        <f>Mass!J168</f>
        <v>0</v>
      </c>
      <c r="Q106">
        <f>Mass!K168</f>
        <v>266.17460169343997</v>
      </c>
      <c r="R106">
        <f>Mass!L168</f>
        <v>0</v>
      </c>
    </row>
    <row r="107" spans="1:18" x14ac:dyDescent="0.3">
      <c r="A107" t="str">
        <f>Mass!$B$1</f>
        <v>0.1.7</v>
      </c>
      <c r="B107" t="str">
        <f>Mass!$B$2</f>
        <v>Draft</v>
      </c>
      <c r="C107" t="str">
        <f>TEXT(Mass!$B$3,"yyyy-mm-dd")</f>
        <v>2026-05-16</v>
      </c>
      <c r="D107">
        <f>Mass!$B$4</f>
        <v>0</v>
      </c>
      <c r="E107" t="str">
        <f>Mass!$B$5</f>
        <v>Initial business jet baseline (Challenger 350 / Praetor 500 class)</v>
      </c>
      <c r="F107">
        <f>Mass!A169</f>
        <v>75</v>
      </c>
      <c r="G107" t="str">
        <f>Mass!B169</f>
        <v>Variable Stator Vanes</v>
      </c>
      <c r="H107" t="e">
        <f>Mass!#REF!</f>
        <v>#REF!</v>
      </c>
      <c r="I107">
        <f>Mass!C169</f>
        <v>2</v>
      </c>
      <c r="J107">
        <f>Mass!D169</f>
        <v>13.227719999999998</v>
      </c>
      <c r="K107">
        <f>Mass!E169</f>
        <v>26.455439999999996</v>
      </c>
      <c r="L107">
        <f>Mass!F169</f>
        <v>42.650919999999999</v>
      </c>
      <c r="M107">
        <f>Mass!G169</f>
        <v>0</v>
      </c>
      <c r="N107">
        <f>Mass!H169</f>
        <v>7.5459319999999996</v>
      </c>
      <c r="O107">
        <f>Mass!I169</f>
        <v>1128.3488550047998</v>
      </c>
      <c r="P107">
        <f>Mass!J169</f>
        <v>0</v>
      </c>
      <c r="Q107">
        <f>Mass!K169</f>
        <v>199.63095127007995</v>
      </c>
      <c r="R107" t="str">
        <f>Mass!L169</f>
        <v>Per engine actuator</v>
      </c>
    </row>
    <row r="108" spans="1:18" x14ac:dyDescent="0.3">
      <c r="A108" t="str">
        <f>Mass!$B$1</f>
        <v>0.1.7</v>
      </c>
      <c r="B108" t="str">
        <f>Mass!$B$2</f>
        <v>Draft</v>
      </c>
      <c r="C108" t="str">
        <f>TEXT(Mass!$B$3,"yyyy-mm-dd")</f>
        <v>2026-05-16</v>
      </c>
      <c r="D108">
        <f>Mass!$B$4</f>
        <v>0</v>
      </c>
      <c r="E108" t="str">
        <f>Mass!$B$5</f>
        <v>Initial business jet baseline (Challenger 350 / Praetor 500 class)</v>
      </c>
      <c r="F108">
        <f>Mass!A172</f>
        <v>78</v>
      </c>
      <c r="G108" t="str">
        <f>Mass!B172</f>
        <v>Exhaust Nozzle LH</v>
      </c>
      <c r="H108" t="e">
        <f>Mass!#REF!</f>
        <v>#REF!</v>
      </c>
      <c r="I108">
        <f>Mass!C172</f>
        <v>1</v>
      </c>
      <c r="J108">
        <f>Mass!D172</f>
        <v>77.161699999999996</v>
      </c>
      <c r="K108">
        <f>Mass!E172</f>
        <v>77.161699999999996</v>
      </c>
      <c r="L108">
        <f>Mass!F172</f>
        <v>45.931759999999997</v>
      </c>
      <c r="M108">
        <f>Mass!G172</f>
        <v>-3.9370079999999996</v>
      </c>
      <c r="N108">
        <f>Mass!H172</f>
        <v>7.5459319999999996</v>
      </c>
      <c r="O108">
        <f>Mass!I172</f>
        <v>3544.1726855919997</v>
      </c>
      <c r="P108">
        <f>Mass!J172</f>
        <v>-303.78623019359998</v>
      </c>
      <c r="Q108">
        <f>Mass!K172</f>
        <v>582.25694120439994</v>
      </c>
      <c r="R108">
        <f>Mass!L172</f>
        <v>0</v>
      </c>
    </row>
    <row r="109" spans="1:18" x14ac:dyDescent="0.3">
      <c r="A109" t="str">
        <f>Mass!$B$1</f>
        <v>0.1.7</v>
      </c>
      <c r="B109" t="str">
        <f>Mass!$B$2</f>
        <v>Draft</v>
      </c>
      <c r="C109" t="str">
        <f>TEXT(Mass!$B$3,"yyyy-mm-dd")</f>
        <v>2026-05-16</v>
      </c>
      <c r="D109">
        <f>Mass!$B$4</f>
        <v>0</v>
      </c>
      <c r="E109" t="str">
        <f>Mass!$B$5</f>
        <v>Initial business jet baseline (Challenger 350 / Praetor 500 class)</v>
      </c>
      <c r="F109">
        <f>Mass!A173</f>
        <v>78</v>
      </c>
      <c r="G109" t="str">
        <f>Mass!B173</f>
        <v>Exhaust Nozzle RH</v>
      </c>
      <c r="H109" t="e">
        <f>Mass!#REF!</f>
        <v>#REF!</v>
      </c>
      <c r="I109">
        <f>Mass!C173</f>
        <v>1</v>
      </c>
      <c r="J109">
        <f>Mass!D173</f>
        <v>77.161699999999996</v>
      </c>
      <c r="K109">
        <f>Mass!E173</f>
        <v>77.161699999999996</v>
      </c>
      <c r="L109">
        <f>Mass!F173</f>
        <v>45.931759999999997</v>
      </c>
      <c r="M109">
        <f>Mass!G173</f>
        <v>3.9370079999999996</v>
      </c>
      <c r="N109">
        <f>Mass!H173</f>
        <v>7.5459319999999996</v>
      </c>
      <c r="O109">
        <f>Mass!I173</f>
        <v>3544.1726855919997</v>
      </c>
      <c r="P109">
        <f>Mass!J173</f>
        <v>303.78623019359998</v>
      </c>
      <c r="Q109">
        <f>Mass!K173</f>
        <v>582.25694120439994</v>
      </c>
      <c r="R109">
        <f>Mass!L173</f>
        <v>0</v>
      </c>
    </row>
    <row r="110" spans="1:18" x14ac:dyDescent="0.3">
      <c r="A110" t="str">
        <f>Mass!$B$1</f>
        <v>0.1.7</v>
      </c>
      <c r="B110" t="str">
        <f>Mass!$B$2</f>
        <v>Draft</v>
      </c>
      <c r="C110" t="str">
        <f>TEXT(Mass!$B$3,"yyyy-mm-dd")</f>
        <v>2026-05-16</v>
      </c>
      <c r="D110">
        <f>Mass!$B$4</f>
        <v>0</v>
      </c>
      <c r="E110" t="str">
        <f>Mass!$B$5</f>
        <v>Initial business jet baseline (Challenger 350 / Praetor 500 class)</v>
      </c>
      <c r="F110">
        <f>Mass!A174</f>
        <v>78</v>
      </c>
      <c r="G110" t="str">
        <f>Mass!B174</f>
        <v>Thrust Reverser LH</v>
      </c>
      <c r="H110" t="e">
        <f>Mass!#REF!</f>
        <v>#REF!</v>
      </c>
      <c r="I110">
        <f>Mass!C174</f>
        <v>1</v>
      </c>
      <c r="J110">
        <f>Mass!D174</f>
        <v>198.41579999999999</v>
      </c>
      <c r="K110">
        <f>Mass!E174</f>
        <v>198.41579999999999</v>
      </c>
      <c r="L110">
        <f>Mass!F174</f>
        <v>45.275592000000003</v>
      </c>
      <c r="M110">
        <f>Mass!G174</f>
        <v>-3.9370079999999996</v>
      </c>
      <c r="N110">
        <f>Mass!H174</f>
        <v>7.5459319999999996</v>
      </c>
      <c r="O110">
        <f>Mass!I174</f>
        <v>8983.3928071535993</v>
      </c>
      <c r="P110">
        <f>Mass!J174</f>
        <v>-781.16459192639991</v>
      </c>
      <c r="Q110">
        <f>Mass!K174</f>
        <v>1497.2321345255998</v>
      </c>
      <c r="R110">
        <f>Mass!L174</f>
        <v>0</v>
      </c>
    </row>
    <row r="111" spans="1:18" x14ac:dyDescent="0.3">
      <c r="A111" t="str">
        <f>Mass!$B$1</f>
        <v>0.1.7</v>
      </c>
      <c r="B111" t="str">
        <f>Mass!$B$2</f>
        <v>Draft</v>
      </c>
      <c r="C111" t="str">
        <f>TEXT(Mass!$B$3,"yyyy-mm-dd")</f>
        <v>2026-05-16</v>
      </c>
      <c r="D111">
        <f>Mass!$B$4</f>
        <v>0</v>
      </c>
      <c r="E111" t="str">
        <f>Mass!$B$5</f>
        <v>Initial business jet baseline (Challenger 350 / Praetor 500 class)</v>
      </c>
      <c r="F111">
        <f>Mass!A175</f>
        <v>78</v>
      </c>
      <c r="G111" t="str">
        <f>Mass!B175</f>
        <v>Thrust Reverser RH</v>
      </c>
      <c r="H111" t="e">
        <f>Mass!#REF!</f>
        <v>#REF!</v>
      </c>
      <c r="I111">
        <f>Mass!C175</f>
        <v>1</v>
      </c>
      <c r="J111">
        <f>Mass!D175</f>
        <v>198.41579999999999</v>
      </c>
      <c r="K111">
        <f>Mass!E175</f>
        <v>198.41579999999999</v>
      </c>
      <c r="L111">
        <f>Mass!F175</f>
        <v>45.275592000000003</v>
      </c>
      <c r="M111">
        <f>Mass!G175</f>
        <v>3.9370079999999996</v>
      </c>
      <c r="N111">
        <f>Mass!H175</f>
        <v>7.5459319999999996</v>
      </c>
      <c r="O111">
        <f>Mass!I175</f>
        <v>8983.3928071535993</v>
      </c>
      <c r="P111">
        <f>Mass!J175</f>
        <v>781.16459192639991</v>
      </c>
      <c r="Q111">
        <f>Mass!K175</f>
        <v>1497.2321345255998</v>
      </c>
      <c r="R111">
        <f>Mass!L175</f>
        <v>0</v>
      </c>
    </row>
    <row r="112" spans="1:18" x14ac:dyDescent="0.3">
      <c r="A112" t="str">
        <f>Mass!$B$1</f>
        <v>0.1.7</v>
      </c>
      <c r="B112" t="str">
        <f>Mass!$B$2</f>
        <v>Draft</v>
      </c>
      <c r="C112" t="str">
        <f>TEXT(Mass!$B$3,"yyyy-mm-dd")</f>
        <v>2026-05-16</v>
      </c>
      <c r="D112">
        <f>Mass!$B$4</f>
        <v>0</v>
      </c>
      <c r="E112" t="str">
        <f>Mass!$B$5</f>
        <v>Initial business jet baseline (Challenger 350 / Praetor 500 class)</v>
      </c>
      <c r="F112">
        <f>Mass!A178</f>
        <v>79</v>
      </c>
      <c r="G112" t="str">
        <f>Mass!B178</f>
        <v>Oil Tank 1</v>
      </c>
      <c r="H112" t="e">
        <f>Mass!#REF!</f>
        <v>#REF!</v>
      </c>
      <c r="I112">
        <f>Mass!C178</f>
        <v>1</v>
      </c>
      <c r="J112">
        <f>Mass!D178</f>
        <v>26.455439999999996</v>
      </c>
      <c r="K112">
        <f>Mass!E178</f>
        <v>26.455439999999996</v>
      </c>
      <c r="L112">
        <f>Mass!F178</f>
        <v>43.307088</v>
      </c>
      <c r="M112">
        <f>Mass!G178</f>
        <v>-3.9370079999999996</v>
      </c>
      <c r="N112">
        <f>Mass!H178</f>
        <v>7.8740159999999992</v>
      </c>
      <c r="O112">
        <f>Mass!I178</f>
        <v>1145.7080681587199</v>
      </c>
      <c r="P112">
        <f>Mass!J178</f>
        <v>-104.15527892351997</v>
      </c>
      <c r="Q112">
        <f>Mass!K178</f>
        <v>208.31055784703995</v>
      </c>
      <c r="R112">
        <f>Mass!L178</f>
        <v>0</v>
      </c>
    </row>
    <row r="113" spans="1:18" x14ac:dyDescent="0.3">
      <c r="A113" t="str">
        <f>Mass!$B$1</f>
        <v>0.1.7</v>
      </c>
      <c r="B113" t="str">
        <f>Mass!$B$2</f>
        <v>Draft</v>
      </c>
      <c r="C113" t="str">
        <f>TEXT(Mass!$B$3,"yyyy-mm-dd")</f>
        <v>2026-05-16</v>
      </c>
      <c r="D113">
        <f>Mass!$B$4</f>
        <v>0</v>
      </c>
      <c r="E113" t="str">
        <f>Mass!$B$5</f>
        <v>Initial business jet baseline (Challenger 350 / Praetor 500 class)</v>
      </c>
      <c r="F113">
        <f>Mass!A179</f>
        <v>79</v>
      </c>
      <c r="G113" t="str">
        <f>Mass!B179</f>
        <v>Oil Tank 2</v>
      </c>
      <c r="H113" t="e">
        <f>Mass!#REF!</f>
        <v>#REF!</v>
      </c>
      <c r="I113">
        <f>Mass!C179</f>
        <v>1</v>
      </c>
      <c r="J113">
        <f>Mass!D179</f>
        <v>26.455439999999996</v>
      </c>
      <c r="K113">
        <f>Mass!E179</f>
        <v>26.455439999999996</v>
      </c>
      <c r="L113">
        <f>Mass!F179</f>
        <v>43.307088</v>
      </c>
      <c r="M113">
        <f>Mass!G179</f>
        <v>3.9370079999999996</v>
      </c>
      <c r="N113">
        <f>Mass!H179</f>
        <v>7.8740159999999992</v>
      </c>
      <c r="O113">
        <f>Mass!I179</f>
        <v>1145.7080681587199</v>
      </c>
      <c r="P113">
        <f>Mass!J179</f>
        <v>104.15527892351997</v>
      </c>
      <c r="Q113">
        <f>Mass!K179</f>
        <v>208.31055784703995</v>
      </c>
      <c r="R113">
        <f>Mass!L179</f>
        <v>0</v>
      </c>
    </row>
    <row r="114" spans="1:18" x14ac:dyDescent="0.3">
      <c r="A114" t="str">
        <f>Mass!$B$1</f>
        <v>0.1.7</v>
      </c>
      <c r="B114" t="str">
        <f>Mass!$B$2</f>
        <v>Draft</v>
      </c>
      <c r="C114" t="str">
        <f>TEXT(Mass!$B$3,"yyyy-mm-dd")</f>
        <v>2026-05-16</v>
      </c>
      <c r="D114">
        <f>Mass!$B$4</f>
        <v>0</v>
      </c>
      <c r="E114" t="str">
        <f>Mass!$B$5</f>
        <v>Initial business jet baseline (Challenger 350 / Praetor 500 class)</v>
      </c>
      <c r="F114">
        <f>Mass!A180</f>
        <v>79</v>
      </c>
      <c r="G114" t="str">
        <f>Mass!B180</f>
        <v>Oil Coolers</v>
      </c>
      <c r="H114" t="e">
        <f>Mass!#REF!</f>
        <v>#REF!</v>
      </c>
      <c r="I114">
        <f>Mass!C180</f>
        <v>2</v>
      </c>
      <c r="J114">
        <f>Mass!D180</f>
        <v>17.636959999999998</v>
      </c>
      <c r="K114">
        <f>Mass!E180</f>
        <v>35.273919999999997</v>
      </c>
      <c r="L114">
        <f>Mass!F180</f>
        <v>44.291339999999998</v>
      </c>
      <c r="M114">
        <f>Mass!G180</f>
        <v>0</v>
      </c>
      <c r="N114">
        <f>Mass!H180</f>
        <v>7.5459319999999996</v>
      </c>
      <c r="O114">
        <f>Mass!I180</f>
        <v>1562.3291838527998</v>
      </c>
      <c r="P114">
        <f>Mass!J180</f>
        <v>0</v>
      </c>
      <c r="Q114">
        <f>Mass!K180</f>
        <v>266.17460169343997</v>
      </c>
      <c r="R114">
        <f>Mass!L180</f>
        <v>0</v>
      </c>
    </row>
    <row r="115" spans="1:18" x14ac:dyDescent="0.3">
      <c r="A115" t="str">
        <f>Mass!$B$1</f>
        <v>0.1.7</v>
      </c>
      <c r="B115" t="str">
        <f>Mass!$B$2</f>
        <v>Draft</v>
      </c>
      <c r="C115" t="str">
        <f>TEXT(Mass!$B$3,"yyyy-mm-dd")</f>
        <v>2026-05-16</v>
      </c>
      <c r="D115">
        <f>Mass!$B$4</f>
        <v>0</v>
      </c>
      <c r="E115" t="str">
        <f>Mass!$B$5</f>
        <v>Initial business jet baseline (Challenger 350 / Praetor 500 class)</v>
      </c>
      <c r="F115">
        <f>Mass!A183</f>
        <v>80</v>
      </c>
      <c r="G115" t="str">
        <f>Mass!B183</f>
        <v>Starter 1</v>
      </c>
      <c r="H115" t="e">
        <f>Mass!#REF!</f>
        <v>#REF!</v>
      </c>
      <c r="I115">
        <f>Mass!C183</f>
        <v>1</v>
      </c>
      <c r="J115">
        <f>Mass!D183</f>
        <v>22.046199999999999</v>
      </c>
      <c r="K115">
        <f>Mass!E183</f>
        <v>22.046199999999999</v>
      </c>
      <c r="L115">
        <f>Mass!F183</f>
        <v>41.994752000000005</v>
      </c>
      <c r="M115">
        <f>Mass!G183</f>
        <v>-3.9370079999999996</v>
      </c>
      <c r="N115">
        <f>Mass!H183</f>
        <v>7.5459319999999996</v>
      </c>
      <c r="O115">
        <f>Mass!I183</f>
        <v>925.82470154240002</v>
      </c>
      <c r="P115">
        <f>Mass!J183</f>
        <v>-86.796065769599991</v>
      </c>
      <c r="Q115">
        <f>Mass!K183</f>
        <v>166.35912605839999</v>
      </c>
      <c r="R115" t="str">
        <f>Mass!L183</f>
        <v>Air turbine starter</v>
      </c>
    </row>
    <row r="116" spans="1:18" x14ac:dyDescent="0.3">
      <c r="A116" t="str">
        <f>Mass!$B$1</f>
        <v>0.1.7</v>
      </c>
      <c r="B116" t="str">
        <f>Mass!$B$2</f>
        <v>Draft</v>
      </c>
      <c r="C116" t="str">
        <f>TEXT(Mass!$B$3,"yyyy-mm-dd")</f>
        <v>2026-05-16</v>
      </c>
      <c r="D116">
        <f>Mass!$B$4</f>
        <v>0</v>
      </c>
      <c r="E116" t="str">
        <f>Mass!$B$5</f>
        <v>Initial business jet baseline (Challenger 350 / Praetor 500 class)</v>
      </c>
      <c r="F116">
        <f>Mass!A184</f>
        <v>80</v>
      </c>
      <c r="G116" t="str">
        <f>Mass!B184</f>
        <v>Starter 2</v>
      </c>
      <c r="H116" t="e">
        <f>Mass!#REF!</f>
        <v>#REF!</v>
      </c>
      <c r="I116">
        <f>Mass!C184</f>
        <v>1</v>
      </c>
      <c r="J116">
        <f>Mass!D184</f>
        <v>22.046199999999999</v>
      </c>
      <c r="K116">
        <f>Mass!E184</f>
        <v>22.046199999999999</v>
      </c>
      <c r="L116">
        <f>Mass!F184</f>
        <v>41.994752000000005</v>
      </c>
      <c r="M116">
        <f>Mass!G184</f>
        <v>3.9370079999999996</v>
      </c>
      <c r="N116">
        <f>Mass!H184</f>
        <v>7.5459319999999996</v>
      </c>
      <c r="O116">
        <f>Mass!I184</f>
        <v>925.82470154240002</v>
      </c>
      <c r="P116">
        <f>Mass!J184</f>
        <v>86.796065769599991</v>
      </c>
      <c r="Q116">
        <f>Mass!K184</f>
        <v>166.35912605839999</v>
      </c>
      <c r="R116" t="str">
        <f>Mass!L184</f>
        <v>Air turbine starter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sheetPr codeName="Sheet4"/>
  <dimension ref="A1:S166"/>
  <sheetViews>
    <sheetView topLeftCell="A19" zoomScale="67" workbookViewId="0">
      <selection activeCell="Z52" sqref="Z52"/>
    </sheetView>
  </sheetViews>
  <sheetFormatPr defaultRowHeight="14.4" x14ac:dyDescent="0.3"/>
  <cols>
    <col min="1" max="1" width="56.33203125" bestFit="1" customWidth="1"/>
    <col min="2" max="2" width="37" customWidth="1"/>
    <col min="3" max="3" width="17.5546875" customWidth="1"/>
    <col min="4" max="4" width="20.6640625" bestFit="1" customWidth="1"/>
    <col min="5" max="5" width="18.5546875" bestFit="1" customWidth="1"/>
    <col min="6" max="6" width="17.5546875" customWidth="1"/>
    <col min="7" max="7" width="29.6640625" customWidth="1"/>
    <col min="9" max="9" width="9.44140625" bestFit="1" customWidth="1"/>
    <col min="10" max="10" width="17.88671875" bestFit="1" customWidth="1"/>
  </cols>
  <sheetData>
    <row r="1" spans="1:19" ht="21" x14ac:dyDescent="0.4">
      <c r="A1" s="66" t="s">
        <v>440</v>
      </c>
    </row>
    <row r="3" spans="1:19" ht="45" customHeight="1" x14ac:dyDescent="0.3">
      <c r="A3" s="68" t="s">
        <v>452</v>
      </c>
      <c r="B3" s="67"/>
      <c r="C3" s="67"/>
      <c r="D3" s="67"/>
      <c r="E3" s="67"/>
      <c r="F3" s="67"/>
      <c r="G3" s="67"/>
    </row>
    <row r="4" spans="1:19" x14ac:dyDescent="0.3">
      <c r="I4" s="27" t="s">
        <v>472</v>
      </c>
    </row>
    <row r="5" spans="1:19" x14ac:dyDescent="0.3">
      <c r="A5" s="69" t="s">
        <v>2</v>
      </c>
      <c r="B5" s="69" t="s">
        <v>298</v>
      </c>
      <c r="C5" s="69" t="s">
        <v>441</v>
      </c>
      <c r="D5" s="69" t="s">
        <v>453</v>
      </c>
      <c r="E5" s="69" t="s">
        <v>454</v>
      </c>
      <c r="F5" s="69" t="s">
        <v>442</v>
      </c>
      <c r="G5" s="69" t="s">
        <v>455</v>
      </c>
      <c r="I5" s="69" t="s">
        <v>449</v>
      </c>
      <c r="J5" s="69" t="s">
        <v>475</v>
      </c>
      <c r="K5" s="69" t="s">
        <v>476</v>
      </c>
      <c r="L5" s="69" t="s">
        <v>477</v>
      </c>
      <c r="M5" s="69" t="s">
        <v>478</v>
      </c>
      <c r="N5" t="s">
        <v>479</v>
      </c>
      <c r="O5" t="s">
        <v>480</v>
      </c>
      <c r="P5" t="s">
        <v>473</v>
      </c>
      <c r="Q5" t="s">
        <v>474</v>
      </c>
      <c r="R5" t="s">
        <v>481</v>
      </c>
      <c r="S5" t="s">
        <v>482</v>
      </c>
    </row>
    <row r="6" spans="1:19" x14ac:dyDescent="0.3">
      <c r="A6">
        <v>21</v>
      </c>
      <c r="B6" t="s">
        <v>8</v>
      </c>
      <c r="C6" s="49">
        <f>SUM(Mass!E12:E14)</f>
        <v>194.00655999999998</v>
      </c>
      <c r="D6" s="49" cm="1">
        <f t="array" ref="D6">SUMPRODUCT((Mass!P12:P14-Mass!Q12:Q14)/3)</f>
        <v>0.80836066666666662</v>
      </c>
      <c r="E6" s="49">
        <f>C6+D6</f>
        <v>194.81492066666664</v>
      </c>
      <c r="F6" s="49" cm="1">
        <f t="array" ref="F6">SQRT(SUMPRODUCT((Mass!P12:P14^2+Mass!Q12:Q14^2-Mass!P12:P14*Mass!Q12:Q14)/18))</f>
        <v>0.59254502908546614</v>
      </c>
      <c r="G6" t="str">
        <f>"["&amp;TEXT(E6-1.96*F6,"#,##0")&amp;" – "&amp;TEXT(E6+1.96*F6,"#,##0")&amp;"]"</f>
        <v>[194 – 196]</v>
      </c>
      <c r="I6">
        <v>24080</v>
      </c>
      <c r="J6">
        <f>_xlfn.NORM.DIST(I6,$B$43,$B$44,FALSE)*10000</f>
        <v>1.5775991539977931E-3</v>
      </c>
      <c r="K6">
        <f>IF(I6&lt;=$B$40,J6,NA())</f>
        <v>1.5775991539977931E-3</v>
      </c>
      <c r="L6" t="e">
        <f>IF(I6&gt;=$B$40,J6,NA())</f>
        <v>#N/A</v>
      </c>
      <c r="N6">
        <f>$B$40</f>
        <v>24300</v>
      </c>
      <c r="O6">
        <v>0</v>
      </c>
      <c r="P6">
        <f>$B$43</f>
        <v>24234.331279583337</v>
      </c>
      <c r="Q6">
        <v>0</v>
      </c>
      <c r="R6">
        <f>$B$43+1.645*$B$44</f>
        <v>24287.825683825089</v>
      </c>
      <c r="S6">
        <v>0</v>
      </c>
    </row>
    <row r="7" spans="1:19" x14ac:dyDescent="0.3">
      <c r="A7">
        <v>22</v>
      </c>
      <c r="B7" t="s">
        <v>14</v>
      </c>
      <c r="C7" s="49">
        <f>SUM(Mass!E17:E19)</f>
        <v>41.887779999999992</v>
      </c>
      <c r="D7" s="49" cm="1">
        <f t="array" ref="D7">SUMPRODUCT((Mass!P17:P19-Mass!Q17:Q19)/3)</f>
        <v>0</v>
      </c>
      <c r="E7" s="49">
        <f>C7+D7</f>
        <v>41.887779999999992</v>
      </c>
      <c r="F7" s="49" cm="1">
        <f t="array" ref="F7">SQRT(SUMPRODUCT((Mass!P17:P19^2+Mass!Q17:Q19^2-Mass!P17:P19*Mass!Q17:Q19)/18))</f>
        <v>7.6026988319778221E-2</v>
      </c>
      <c r="G7" t="str">
        <f>"["&amp;TEXT(E7-1.96*F7,"#,##0")&amp;" – "&amp;TEXT(E7+1.96*F7,"#,##0")&amp;"]"</f>
        <v>[42 – 42]</v>
      </c>
      <c r="I7">
        <v>24082</v>
      </c>
      <c r="J7">
        <f>_xlfn.NORM.DIST(I7,$B$43,$B$44,FALSE)*10000</f>
        <v>2.1083156943237326E-3</v>
      </c>
      <c r="K7">
        <f>IF(I7&lt;=$B$40,J7,NA())</f>
        <v>2.1083156943237326E-3</v>
      </c>
      <c r="L7" t="e">
        <f>IF(I7&gt;=$B$40,J7,NA())</f>
        <v>#N/A</v>
      </c>
      <c r="N7">
        <f>$B$40</f>
        <v>24300</v>
      </c>
      <c r="O7">
        <f>1.15*_xlfn.NORM.DIST($B$43,$B$43,$B$44,FALSE)*10000</f>
        <v>141.08000073031582</v>
      </c>
      <c r="P7">
        <f>$B$43</f>
        <v>24234.331279583337</v>
      </c>
      <c r="Q7">
        <f>_xlfn.NORM.DIST($B$43,$B$43,$B$44,FALSE)*10000</f>
        <v>122.67826150462245</v>
      </c>
      <c r="R7">
        <f>$B$43+1.645*$B$44</f>
        <v>24287.825683825089</v>
      </c>
      <c r="S7">
        <f>1.15*_xlfn.NORM.DIST($B$43,$B$43,$B$44,FALSE)*10000</f>
        <v>141.08000073031582</v>
      </c>
    </row>
    <row r="8" spans="1:19" x14ac:dyDescent="0.3">
      <c r="A8">
        <v>23</v>
      </c>
      <c r="B8" t="s">
        <v>20</v>
      </c>
      <c r="C8" s="49">
        <f>SUM(Mass!E22:E25)</f>
        <v>55.115499999999997</v>
      </c>
      <c r="D8" s="49" cm="1">
        <f t="array" ref="D8">SUMPRODUCT((Mass!P22:P25-Mass!Q22:Q25)/3)</f>
        <v>0</v>
      </c>
      <c r="E8" s="49">
        <f>C8+D8</f>
        <v>55.115499999999997</v>
      </c>
      <c r="F8" s="49" cm="1">
        <f t="array" ref="F8">SQRT(SUMPRODUCT((Mass!P22:P25^2+Mass!Q22:Q25^2-Mass!P22:P25*Mass!Q22:Q25)/18))</f>
        <v>9.2088528238852385E-2</v>
      </c>
      <c r="G8" t="str">
        <f>"["&amp;TEXT(E8-1.96*F8,"#,##0")&amp;" – "&amp;TEXT(E8+1.96*F8,"#,##0")&amp;"]"</f>
        <v>[55 – 55]</v>
      </c>
      <c r="I8">
        <v>24084</v>
      </c>
      <c r="J8">
        <f>_xlfn.NORM.DIST(I8,$B$43,$B$44,FALSE)*10000</f>
        <v>2.8069321464204559E-3</v>
      </c>
      <c r="K8">
        <f>IF(I8&lt;=$B$40,J8,NA())</f>
        <v>2.8069321464204559E-3</v>
      </c>
      <c r="L8" t="e">
        <f>IF(I8&gt;=$B$40,J8,NA())</f>
        <v>#N/A</v>
      </c>
    </row>
    <row r="9" spans="1:19" x14ac:dyDescent="0.3">
      <c r="A9">
        <v>24</v>
      </c>
      <c r="B9" t="s">
        <v>27</v>
      </c>
      <c r="C9" s="49">
        <f>SUM(Mass!E28:E33)</f>
        <v>385.80849999999998</v>
      </c>
      <c r="D9" s="49" cm="1">
        <f t="array" ref="D9">SUMPRODUCT((Mass!P28:P33-Mass!Q28:Q33)/3)</f>
        <v>0.2406710166666666</v>
      </c>
      <c r="E9" s="49">
        <f>C9+D9</f>
        <v>386.04917101666666</v>
      </c>
      <c r="F9" s="49" cm="1">
        <f t="array" ref="F9">SQRT(SUMPRODUCT((Mass!P28:P33^2+Mass!Q28:Q33^2-Mass!P28:P33*Mass!Q28:Q33)/18))</f>
        <v>0.52578922396683991</v>
      </c>
      <c r="G9" t="str">
        <f>"["&amp;TEXT(E9-1.96*F9,"#,##0")&amp;" – "&amp;TEXT(E9+1.96*F9,"#,##0")&amp;"]"</f>
        <v>[385 – 387]</v>
      </c>
      <c r="I9">
        <v>24086</v>
      </c>
      <c r="J9">
        <f>_xlfn.NORM.DIST(I9,$B$43,$B$44,FALSE)*10000</f>
        <v>3.7229352474196682E-3</v>
      </c>
      <c r="K9">
        <f>IF(I9&lt;=$B$40,J9,NA())</f>
        <v>3.7229352474196682E-3</v>
      </c>
      <c r="L9" t="e">
        <f>IF(I9&gt;=$B$40,J9,NA())</f>
        <v>#N/A</v>
      </c>
    </row>
    <row r="10" spans="1:19" x14ac:dyDescent="0.3">
      <c r="A10">
        <v>25</v>
      </c>
      <c r="B10" t="s">
        <v>36</v>
      </c>
      <c r="C10" s="49">
        <f>SUM(Mass!E36:E42)</f>
        <v>1851.8807999999999</v>
      </c>
      <c r="D10" s="49" cm="1">
        <f t="array" ref="D10">SUMPRODUCT((Mass!P36:P42-Mass!Q36:Q42)/3)</f>
        <v>23.883383333333331</v>
      </c>
      <c r="E10" s="49">
        <f>C10+D10</f>
        <v>1875.7641833333332</v>
      </c>
      <c r="F10" s="49" cm="1">
        <f t="array" ref="F10">SQRT(SUMPRODUCT((Mass!P36:P42^2+Mass!Q36:Q42^2-Mass!P36:P42*Mass!Q36:Q42)/18))</f>
        <v>10.593018916855568</v>
      </c>
      <c r="G10" t="str">
        <f>"["&amp;TEXT(E10-1.96*F10,"#,##0")&amp;" – "&amp;TEXT(E10+1.96*F10,"#,##0")&amp;"]"</f>
        <v>[1,855 – 1,897]</v>
      </c>
      <c r="I10">
        <v>24088</v>
      </c>
      <c r="J10">
        <f>_xlfn.NORM.DIST(I10,$B$43,$B$44,FALSE)*10000</f>
        <v>4.9192211432703241E-3</v>
      </c>
      <c r="K10">
        <f>IF(I10&lt;=$B$40,J10,NA())</f>
        <v>4.9192211432703241E-3</v>
      </c>
      <c r="L10" t="e">
        <f>IF(I10&gt;=$B$40,J10,NA())</f>
        <v>#N/A</v>
      </c>
    </row>
    <row r="11" spans="1:19" x14ac:dyDescent="0.3">
      <c r="A11">
        <v>26</v>
      </c>
      <c r="B11" t="s">
        <v>46</v>
      </c>
      <c r="C11" s="49">
        <f>SUM(Mass!E45:E48)</f>
        <v>79.366319999999988</v>
      </c>
      <c r="D11" s="49" cm="1">
        <f t="array" ref="D11">SUMPRODUCT((Mass!P45:P48-Mass!Q45:Q48)/3)</f>
        <v>0</v>
      </c>
      <c r="E11" s="49">
        <f>C11+D11</f>
        <v>79.366319999999988</v>
      </c>
      <c r="F11" s="49" cm="1">
        <f t="array" ref="F11">SQRT(SUMPRODUCT((Mass!P45:P48^2+Mass!Q45:Q48^2-Mass!P45:P48*Mass!Q45:Q48)/18))</f>
        <v>0.12324200461388965</v>
      </c>
      <c r="G11" t="str">
        <f>"["&amp;TEXT(E11-1.96*F11,"#,##0")&amp;" – "&amp;TEXT(E11+1.96*F11,"#,##0")&amp;"]"</f>
        <v>[79 – 80]</v>
      </c>
      <c r="I11">
        <v>24090</v>
      </c>
      <c r="J11">
        <f>_xlfn.NORM.DIST(I11,$B$43,$B$44,FALSE)*10000</f>
        <v>6.4753687702818318E-3</v>
      </c>
      <c r="K11">
        <f>IF(I11&lt;=$B$40,J11,NA())</f>
        <v>6.4753687702818318E-3</v>
      </c>
      <c r="L11" t="e">
        <f>IF(I11&gt;=$B$40,J11,NA())</f>
        <v>#N/A</v>
      </c>
    </row>
    <row r="12" spans="1:19" x14ac:dyDescent="0.3">
      <c r="A12">
        <v>27</v>
      </c>
      <c r="B12" t="s">
        <v>53</v>
      </c>
      <c r="C12" s="49">
        <f>SUM(Mass!E51:E59)</f>
        <v>767.20776000000001</v>
      </c>
      <c r="D12" s="49" cm="1">
        <f t="array" ref="D12">SUMPRODUCT((Mass!P51:P59-Mass!Q51:Q59)/3)</f>
        <v>2.8108904999999997</v>
      </c>
      <c r="E12" s="49">
        <f>C12+D12</f>
        <v>770.01865050000004</v>
      </c>
      <c r="F12" s="49" cm="1">
        <f t="array" ref="F12">SQRT(SUMPRODUCT((Mass!P51:P59^2+Mass!Q51:Q59^2-Mass!P51:P59*Mass!Q51:Q59)/18))</f>
        <v>1.43094057300033</v>
      </c>
      <c r="G12" t="str">
        <f>"["&amp;TEXT(E12-1.96*F12,"#,##0")&amp;" – "&amp;TEXT(E12+1.96*F12,"#,##0")&amp;"]"</f>
        <v>[767 – 773]</v>
      </c>
      <c r="I12">
        <v>24092</v>
      </c>
      <c r="J12">
        <f>_xlfn.NORM.DIST(I12,$B$43,$B$44,FALSE)*10000</f>
        <v>8.4916084747343069E-3</v>
      </c>
      <c r="K12">
        <f>IF(I12&lt;=$B$40,J12,NA())</f>
        <v>8.4916084747343069E-3</v>
      </c>
      <c r="L12" t="e">
        <f>IF(I12&gt;=$B$40,J12,NA())</f>
        <v>#N/A</v>
      </c>
    </row>
    <row r="13" spans="1:19" x14ac:dyDescent="0.3">
      <c r="A13">
        <v>28</v>
      </c>
      <c r="B13" t="s">
        <v>65</v>
      </c>
      <c r="C13" s="49">
        <f>SUM(Mass!E62:E66)</f>
        <v>14030.201679999998</v>
      </c>
      <c r="D13" s="49" cm="1">
        <f t="array" ref="D13">SUMPRODUCT((Mass!P62:P66-Mass!Q62:Q66)/3)</f>
        <v>0.51441133333333322</v>
      </c>
      <c r="E13" s="49">
        <f>C13+D13</f>
        <v>14030.716091333332</v>
      </c>
      <c r="F13" s="49" cm="1">
        <f t="array" ref="F13">SQRT(SUMPRODUCT((Mass!P62:P66^2+Mass!Q62:Q66^2-Mass!P62:P66*Mass!Q62:Q66)/18))</f>
        <v>9.8034691766409683</v>
      </c>
      <c r="G13" t="str">
        <f>"["&amp;TEXT(E13-1.96*F13,"#,##0")&amp;" – "&amp;TEXT(E13+1.96*F13,"#,##0")&amp;"]"</f>
        <v>[14,012 – 14,050]</v>
      </c>
      <c r="I13">
        <v>24094</v>
      </c>
      <c r="J13">
        <f>_xlfn.NORM.DIST(I13,$B$43,$B$44,FALSE)*10000</f>
        <v>1.1093605373294041E-2</v>
      </c>
      <c r="K13">
        <f>IF(I13&lt;=$B$40,J13,NA())</f>
        <v>1.1093605373294041E-2</v>
      </c>
      <c r="L13" t="e">
        <f>IF(I13&gt;=$B$40,J13,NA())</f>
        <v>#N/A</v>
      </c>
    </row>
    <row r="14" spans="1:19" x14ac:dyDescent="0.3">
      <c r="A14">
        <v>29</v>
      </c>
      <c r="B14" t="s">
        <v>73</v>
      </c>
      <c r="C14" s="49">
        <f>SUM(Mass!E69:E72)</f>
        <v>119.04947999999999</v>
      </c>
      <c r="D14" s="49" cm="1">
        <f t="array" ref="D14">SUMPRODUCT((Mass!P69:P72-Mass!Q69:Q72)/3)</f>
        <v>9.9207899999999932E-2</v>
      </c>
      <c r="E14" s="49">
        <f>C14+D14</f>
        <v>119.14868789999998</v>
      </c>
      <c r="F14" s="49" cm="1">
        <f t="array" ref="F14">SQRT(SUMPRODUCT((Mass!P69:P72^2+Mass!Q69:Q72^2-Mass!P69:P72*Mass!Q69:Q72)/18))</f>
        <v>0.19649274822389118</v>
      </c>
      <c r="G14" t="str">
        <f>"["&amp;TEXT(E14-1.96*F14,"#,##0")&amp;" – "&amp;TEXT(E14+1.96*F14,"#,##0")&amp;"]"</f>
        <v>[119 – 120]</v>
      </c>
      <c r="I14">
        <v>24096</v>
      </c>
      <c r="J14">
        <f>_xlfn.NORM.DIST(I14,$B$43,$B$44,FALSE)*10000</f>
        <v>1.4438190234473703E-2</v>
      </c>
      <c r="K14">
        <f>IF(I14&lt;=$B$40,J14,NA())</f>
        <v>1.4438190234473703E-2</v>
      </c>
      <c r="L14" t="e">
        <f>IF(I14&gt;=$B$40,J14,NA())</f>
        <v>#N/A</v>
      </c>
    </row>
    <row r="15" spans="1:19" x14ac:dyDescent="0.3">
      <c r="A15">
        <v>30</v>
      </c>
      <c r="B15" t="s">
        <v>80</v>
      </c>
      <c r="C15" s="49">
        <f>SUM(Mass!E75:E77)</f>
        <v>108.02638</v>
      </c>
      <c r="D15" s="49" cm="1">
        <f t="array" ref="D15">SUMPRODUCT((Mass!P75:P77-Mass!Q75:Q77)/3)</f>
        <v>0.57871274999999989</v>
      </c>
      <c r="E15" s="49">
        <f>C15+D15</f>
        <v>108.60509275</v>
      </c>
      <c r="F15" s="49" cm="1">
        <f t="array" ref="F15">SQRT(SUMPRODUCT((Mass!P75:P77^2+Mass!Q75:Q77^2-Mass!P75:P77*Mass!Q75:Q77)/18))</f>
        <v>0.59810828877130673</v>
      </c>
      <c r="G15" t="str">
        <f>"["&amp;TEXT(E15-1.96*F15,"#,##0")&amp;" – "&amp;TEXT(E15+1.96*F15,"#,##0")&amp;"]"</f>
        <v>[107 – 110]</v>
      </c>
      <c r="I15">
        <v>24098</v>
      </c>
      <c r="J15">
        <f>_xlfn.NORM.DIST(I15,$B$43,$B$44,FALSE)*10000</f>
        <v>1.872018352898696E-2</v>
      </c>
      <c r="K15">
        <f>IF(I15&lt;=$B$40,J15,NA())</f>
        <v>1.872018352898696E-2</v>
      </c>
      <c r="L15" t="e">
        <f>IF(I15&gt;=$B$40,J15,NA())</f>
        <v>#N/A</v>
      </c>
    </row>
    <row r="16" spans="1:19" x14ac:dyDescent="0.3">
      <c r="A16">
        <v>31</v>
      </c>
      <c r="B16" t="s">
        <v>86</v>
      </c>
      <c r="C16" s="49">
        <f>SUM(Mass!E80:E81)</f>
        <v>105.82176</v>
      </c>
      <c r="D16" s="49" cm="1">
        <f t="array" ref="D16">SUMPRODUCT((Mass!P80:P81-Mass!Q80:Q81)/3)</f>
        <v>0</v>
      </c>
      <c r="E16" s="49">
        <f>C16+D16</f>
        <v>105.82176</v>
      </c>
      <c r="F16" s="49" cm="1">
        <f t="array" ref="F16">SQRT(SUMPRODUCT((Mass!P80:P81^2+Mass!Q80:Q81^2-Mass!P80:P81*Mass!Q80:Q81)/18))</f>
        <v>0.2649623484304473</v>
      </c>
      <c r="G16" t="str">
        <f>"["&amp;TEXT(E16-1.96*F16,"#,##0")&amp;" – "&amp;TEXT(E16+1.96*F16,"#,##0")&amp;"]"</f>
        <v>[105 – 106]</v>
      </c>
      <c r="I16">
        <v>24100</v>
      </c>
      <c r="J16">
        <f>_xlfn.NORM.DIST(I16,$B$43,$B$44,FALSE)*10000</f>
        <v>2.4180470125876569E-2</v>
      </c>
      <c r="K16">
        <f>IF(I16&lt;=$B$40,J16,NA())</f>
        <v>2.4180470125876569E-2</v>
      </c>
      <c r="L16" t="e">
        <f>IF(I16&gt;=$B$40,J16,NA())</f>
        <v>#N/A</v>
      </c>
    </row>
    <row r="17" spans="1:12" x14ac:dyDescent="0.3">
      <c r="A17">
        <v>32</v>
      </c>
      <c r="B17" t="s">
        <v>91</v>
      </c>
      <c r="C17" s="49">
        <f>SUM(Mass!E84:E88)</f>
        <v>2491.2205999999996</v>
      </c>
      <c r="D17" s="49" cm="1">
        <f t="array" ref="D17">SUMPRODUCT((Mass!P84:P88-Mass!Q84:Q88)/3)</f>
        <v>7.9733756666666666</v>
      </c>
      <c r="E17" s="49">
        <f>C17+D17</f>
        <v>2499.1939756666661</v>
      </c>
      <c r="F17" s="49" cm="1">
        <f t="array" ref="F17">SQRT(SUMPRODUCT((Mass!P84:P88^2+Mass!Q84:Q88^2-Mass!P84:P88*Mass!Q84:Q88)/18))</f>
        <v>5.9552943155270466</v>
      </c>
      <c r="G17" t="str">
        <f>"["&amp;TEXT(E17-1.96*F17,"#,##0")&amp;" – "&amp;TEXT(E17+1.96*F17,"#,##0")&amp;"]"</f>
        <v>[2,488 – 2,511]</v>
      </c>
      <c r="I17">
        <v>24102</v>
      </c>
      <c r="J17">
        <f>_xlfn.NORM.DIST(I17,$B$43,$B$44,FALSE)*10000</f>
        <v>3.1115492122810635E-2</v>
      </c>
      <c r="K17">
        <f>IF(I17&lt;=$B$40,J17,NA())</f>
        <v>3.1115492122810635E-2</v>
      </c>
      <c r="L17" t="e">
        <f>IF(I17&gt;=$B$40,J17,NA())</f>
        <v>#N/A</v>
      </c>
    </row>
    <row r="18" spans="1:12" x14ac:dyDescent="0.3">
      <c r="A18">
        <v>33</v>
      </c>
      <c r="B18" t="s">
        <v>99</v>
      </c>
      <c r="C18" s="49">
        <f>SUM(Mass!E91:E93)</f>
        <v>77.161699999999996</v>
      </c>
      <c r="D18" s="49" cm="1">
        <f t="array" ref="D18">SUMPRODUCT((Mass!P91:P93-Mass!Q91:Q93)/3)</f>
        <v>0.56034091666666663</v>
      </c>
      <c r="E18" s="49">
        <f>C18+D18</f>
        <v>77.722040916666657</v>
      </c>
      <c r="F18" s="49" cm="1">
        <f t="array" ref="F18">SQRT(SUMPRODUCT((Mass!P91:P93^2+Mass!Q91:Q93^2-Mass!P91:P93*Mass!Q91:Q93)/18))</f>
        <v>0.43300076625974931</v>
      </c>
      <c r="G18" t="str">
        <f>"["&amp;TEXT(E18-1.96*F18,"#,##0")&amp;" – "&amp;TEXT(E18+1.96*F18,"#,##0")&amp;"]"</f>
        <v>[77 – 79]</v>
      </c>
      <c r="I18">
        <v>24104</v>
      </c>
      <c r="J18">
        <f>_xlfn.NORM.DIST(I18,$B$43,$B$44,FALSE)*10000</f>
        <v>3.9888334554441553E-2</v>
      </c>
      <c r="K18">
        <f>IF(I18&lt;=$B$40,J18,NA())</f>
        <v>3.9888334554441553E-2</v>
      </c>
      <c r="L18" t="e">
        <f>IF(I18&gt;=$B$40,J18,NA())</f>
        <v>#N/A</v>
      </c>
    </row>
    <row r="19" spans="1:12" x14ac:dyDescent="0.3">
      <c r="A19">
        <v>34</v>
      </c>
      <c r="B19" t="s">
        <v>105</v>
      </c>
      <c r="C19" s="49">
        <f>SUM(Mass!E96:E100)</f>
        <v>143.30029999999996</v>
      </c>
      <c r="D19" s="49" cm="1">
        <f t="array" ref="D19">SUMPRODUCT((Mass!P96:P100-Mass!Q96:Q100)/3)</f>
        <v>0</v>
      </c>
      <c r="E19" s="49">
        <f>C19+D19</f>
        <v>143.30029999999996</v>
      </c>
      <c r="F19" s="49" cm="1">
        <f t="array" ref="F19">SQRT(SUMPRODUCT((Mass!P96:P100^2+Mass!Q96:Q100^2-Mass!P96:P100*Mass!Q96:Q100)/18))</f>
        <v>0.20261142150895262</v>
      </c>
      <c r="G19" t="str">
        <f>"["&amp;TEXT(E19-1.96*F19,"#,##0")&amp;" – "&amp;TEXT(E19+1.96*F19,"#,##0")&amp;"]"</f>
        <v>[143 – 144]</v>
      </c>
      <c r="I19">
        <v>24106</v>
      </c>
      <c r="J19">
        <f>_xlfn.NORM.DIST(I19,$B$43,$B$44,FALSE)*10000</f>
        <v>5.0941582120205726E-2</v>
      </c>
      <c r="K19">
        <f>IF(I19&lt;=$B$40,J19,NA())</f>
        <v>5.0941582120205726E-2</v>
      </c>
      <c r="L19" t="e">
        <f>IF(I19&gt;=$B$40,J19,NA())</f>
        <v>#N/A</v>
      </c>
    </row>
    <row r="20" spans="1:12" x14ac:dyDescent="0.3">
      <c r="A20">
        <v>35</v>
      </c>
      <c r="B20" t="s">
        <v>113</v>
      </c>
      <c r="C20" s="49">
        <f>SUM(Mass!E103:E104)</f>
        <v>138.89105999999998</v>
      </c>
      <c r="D20" s="49" cm="1">
        <f t="array" ref="D20">SUMPRODUCT((Mass!P103:P104-Mass!Q103:Q104)/3)</f>
        <v>0.41336624999999999</v>
      </c>
      <c r="E20" s="49">
        <f>C20+D20</f>
        <v>139.30442624999998</v>
      </c>
      <c r="F20" s="49" cm="1">
        <f t="array" ref="F20">SQRT(SUMPRODUCT((Mass!P103:P104^2+Mass!Q103:Q104^2-Mass!P103:P104*Mass!Q103:Q104)/18))</f>
        <v>0.51959331932745134</v>
      </c>
      <c r="G20" t="str">
        <f>"["&amp;TEXT(E20-1.96*F20,"#,##0")&amp;" – "&amp;TEXT(E20+1.96*F20,"#,##0")&amp;"]"</f>
        <v>[138 – 140]</v>
      </c>
      <c r="I20">
        <v>24108</v>
      </c>
      <c r="J20">
        <f>_xlfn.NORM.DIST(I20,$B$43,$B$44,FALSE)*10000</f>
        <v>6.4812123350207487E-2</v>
      </c>
      <c r="K20">
        <f>IF(I20&lt;=$B$40,J20,NA())</f>
        <v>6.4812123350207487E-2</v>
      </c>
      <c r="L20" t="e">
        <f>IF(I20&gt;=$B$40,J20,NA())</f>
        <v>#N/A</v>
      </c>
    </row>
    <row r="21" spans="1:12" x14ac:dyDescent="0.3">
      <c r="A21">
        <v>36</v>
      </c>
      <c r="B21" t="s">
        <v>118</v>
      </c>
      <c r="C21" s="49">
        <f>SUM(Mass!E107:E108)</f>
        <v>220.46199999999999</v>
      </c>
      <c r="D21" s="49" cm="1">
        <f t="array" ref="D21">SUMPRODUCT((Mass!P107:P108-Mass!Q107:Q108)/3)</f>
        <v>1.3595156666666663</v>
      </c>
      <c r="E21" s="49">
        <f>C21+D21</f>
        <v>221.82151566666664</v>
      </c>
      <c r="F21" s="49" cm="1">
        <f t="array" ref="F21">SQRT(SUMPRODUCT((Mass!P107:P108^2+Mass!Q107:Q108^2-Mass!P107:P108*Mass!Q107:Q108)/18))</f>
        <v>1.1141876989009376</v>
      </c>
      <c r="G21" t="str">
        <f>"["&amp;TEXT(E21-1.96*F21,"#,##0")&amp;" – "&amp;TEXT(E21+1.96*F21,"#,##0")&amp;"]"</f>
        <v>[220 – 224]</v>
      </c>
      <c r="I21">
        <v>24110</v>
      </c>
      <c r="J21">
        <f>_xlfn.NORM.DIST(I21,$B$43,$B$44,FALSE)*10000</f>
        <v>8.2148070375015675E-2</v>
      </c>
      <c r="K21">
        <f>IF(I21&lt;=$B$40,J21,NA())</f>
        <v>8.2148070375015675E-2</v>
      </c>
      <c r="L21" t="e">
        <f>IF(I21&gt;=$B$40,J21,NA())</f>
        <v>#N/A</v>
      </c>
    </row>
    <row r="22" spans="1:12" x14ac:dyDescent="0.3">
      <c r="A22">
        <v>38</v>
      </c>
      <c r="B22" t="s">
        <v>123</v>
      </c>
      <c r="C22" s="49">
        <f>SUM(Mass!E111:E112)</f>
        <v>319.66989999999998</v>
      </c>
      <c r="D22" s="49" cm="1">
        <f t="array" ref="D22">SUMPRODUCT((Mass!P111:P112-Mass!Q111:Q112)/3)</f>
        <v>1.6259072499999998</v>
      </c>
      <c r="E22" s="49">
        <f>C22+D22</f>
        <v>321.29580725</v>
      </c>
      <c r="F22" s="49" cm="1">
        <f t="array" ref="F22">SQRT(SUMPRODUCT((Mass!P111:P112^2+Mass!Q111:Q112^2-Mass!P111:P112*Mass!Q111:Q112)/18))</f>
        <v>1.3084531395729841</v>
      </c>
      <c r="G22" t="str">
        <f>"["&amp;TEXT(E22-1.96*F22,"#,##0")&amp;" – "&amp;TEXT(E22+1.96*F22,"#,##0")&amp;"]"</f>
        <v>[319 – 324]</v>
      </c>
      <c r="I22">
        <v>24112</v>
      </c>
      <c r="J22">
        <f>_xlfn.NORM.DIST(I22,$B$43,$B$44,FALSE)*10000</f>
        <v>0.10372794614846591</v>
      </c>
      <c r="K22">
        <f>IF(I22&lt;=$B$40,J22,NA())</f>
        <v>0.10372794614846591</v>
      </c>
      <c r="L22" t="e">
        <f>IF(I22&gt;=$B$40,J22,NA())</f>
        <v>#N/A</v>
      </c>
    </row>
    <row r="23" spans="1:12" x14ac:dyDescent="0.3">
      <c r="A23">
        <v>49</v>
      </c>
      <c r="B23" t="s">
        <v>128</v>
      </c>
      <c r="C23" s="49">
        <f>SUM(Mass!E115:E117)</f>
        <v>407.85469999999998</v>
      </c>
      <c r="D23" s="49" cm="1">
        <f t="array" ref="D23">SUMPRODUCT((Mass!P115:P117-Mass!Q115:Q117)/3)</f>
        <v>0.78080291666666635</v>
      </c>
      <c r="E23" s="49">
        <f>C23+D23</f>
        <v>408.63550291666667</v>
      </c>
      <c r="F23" s="49" cm="1">
        <f t="array" ref="F23">SQRT(SUMPRODUCT((Mass!P115:P117^2+Mass!Q115:Q117^2-Mass!P115:P117*Mass!Q115:Q117)/18))</f>
        <v>1.1173994612688232</v>
      </c>
      <c r="G23" t="str">
        <f>"["&amp;TEXT(E23-1.96*F23,"#,##0")&amp;" – "&amp;TEXT(E23+1.96*F23,"#,##0")&amp;"]"</f>
        <v>[406 – 411]</v>
      </c>
      <c r="I23">
        <v>24114</v>
      </c>
      <c r="J23">
        <f>_xlfn.NORM.DIST(I23,$B$43,$B$44,FALSE)*10000</f>
        <v>0.13048226497099868</v>
      </c>
      <c r="K23">
        <f>IF(I23&lt;=$B$40,J23,NA())</f>
        <v>0.13048226497099868</v>
      </c>
      <c r="L23" t="e">
        <f>IF(I23&gt;=$B$40,J23,NA())</f>
        <v>#N/A</v>
      </c>
    </row>
    <row r="24" spans="1:12" x14ac:dyDescent="0.3">
      <c r="A24">
        <v>52</v>
      </c>
      <c r="B24" t="s">
        <v>134</v>
      </c>
      <c r="C24" s="49">
        <f>SUM(Mass!E120:E125)</f>
        <v>617.29359999999997</v>
      </c>
      <c r="D24" s="49" cm="1">
        <f t="array" ref="D24">SUMPRODUCT((Mass!P120:P125-Mass!Q120:Q125)/3)</f>
        <v>3.6008793333333329</v>
      </c>
      <c r="E24" s="49">
        <f>C24+D24</f>
        <v>620.89447933333327</v>
      </c>
      <c r="F24" s="49" cm="1">
        <f t="array" ref="F24">SQRT(SUMPRODUCT((Mass!P120:P125^2+Mass!Q120:Q125^2-Mass!P120:P125*Mass!Q120:Q125)/18))</f>
        <v>1.6776310804946435</v>
      </c>
      <c r="G24" t="str">
        <f>"["&amp;TEXT(E24-1.96*F24,"#,##0")&amp;" – "&amp;TEXT(E24+1.96*F24,"#,##0")&amp;"]"</f>
        <v>[618 – 624]</v>
      </c>
      <c r="I24">
        <v>24116</v>
      </c>
      <c r="J24">
        <f>_xlfn.NORM.DIST(I24,$B$43,$B$44,FALSE)*10000</f>
        <v>0.16351759481828101</v>
      </c>
      <c r="K24">
        <f>IF(I24&lt;=$B$40,J24,NA())</f>
        <v>0.16351759481828101</v>
      </c>
      <c r="L24" t="e">
        <f>IF(I24&gt;=$B$40,J24,NA())</f>
        <v>#N/A</v>
      </c>
    </row>
    <row r="25" spans="1:12" x14ac:dyDescent="0.3">
      <c r="A25">
        <v>53</v>
      </c>
      <c r="B25" t="s">
        <v>143</v>
      </c>
      <c r="C25" s="49">
        <f>SUM(Mass!E128:E131)</f>
        <v>4938.3487999999988</v>
      </c>
      <c r="D25" s="49" cm="1">
        <f t="array" ref="D25">SUMPRODUCT((Mass!P128:P131-Mass!Q128:Q131)/3)</f>
        <v>45.89283966666666</v>
      </c>
      <c r="E25" s="49">
        <f>C25+D25</f>
        <v>4984.2416396666658</v>
      </c>
      <c r="F25" s="49" cm="1">
        <f t="array" ref="F25">SQRT(SUMPRODUCT((Mass!P128:P131^2+Mass!Q128:Q131^2-Mass!P128:P131*Mass!Q128:Q131)/18))</f>
        <v>24.699882857115512</v>
      </c>
      <c r="G25" t="str">
        <f>"["&amp;TEXT(E25-1.96*F25,"#,##0")&amp;" – "&amp;TEXT(E25+1.96*F25,"#,##0")&amp;"]"</f>
        <v>[4,936 – 5,033]</v>
      </c>
      <c r="I25">
        <v>24118</v>
      </c>
      <c r="J25">
        <f>_xlfn.NORM.DIST(I25,$B$43,$B$44,FALSE)*10000</f>
        <v>0.20414313967173225</v>
      </c>
      <c r="K25">
        <f>IF(I25&lt;=$B$40,J25,NA())</f>
        <v>0.20414313967173225</v>
      </c>
      <c r="L25" t="e">
        <f>IF(I25&gt;=$B$40,J25,NA())</f>
        <v>#N/A</v>
      </c>
    </row>
    <row r="26" spans="1:12" x14ac:dyDescent="0.3">
      <c r="A26">
        <v>54</v>
      </c>
      <c r="B26" t="s">
        <v>150</v>
      </c>
      <c r="C26" s="49">
        <f>SUM(Mass!E134:E137)</f>
        <v>1278.6795999999999</v>
      </c>
      <c r="D26" s="49" cm="1">
        <f t="array" ref="D26">SUMPRODUCT((Mass!P134:P137-Mass!Q134:Q137)/3)</f>
        <v>9.4431223333333314</v>
      </c>
      <c r="E26" s="49">
        <f>C26+D26</f>
        <v>1288.1227223333333</v>
      </c>
      <c r="F26" s="49" cm="1">
        <f t="array" ref="F26">SQRT(SUMPRODUCT((Mass!P134:P137^2+Mass!Q134:Q137^2-Mass!P134:P137*Mass!Q134:Q137)/18))</f>
        <v>4.8568748191693549</v>
      </c>
      <c r="G26" t="str">
        <f>"["&amp;TEXT(E26-1.96*F26,"#,##0")&amp;" – "&amp;TEXT(E26+1.96*F26,"#,##0")&amp;"]"</f>
        <v>[1,279 – 1,298]</v>
      </c>
      <c r="I26">
        <v>24120</v>
      </c>
      <c r="J26">
        <f>_xlfn.NORM.DIST(I26,$B$43,$B$44,FALSE)*10000</f>
        <v>0.25389981526662647</v>
      </c>
      <c r="K26">
        <f>IF(I26&lt;=$B$40,J26,NA())</f>
        <v>0.25389981526662647</v>
      </c>
      <c r="L26" t="e">
        <f>IF(I26&gt;=$B$40,J26,NA())</f>
        <v>#N/A</v>
      </c>
    </row>
    <row r="27" spans="1:12" x14ac:dyDescent="0.3">
      <c r="A27">
        <v>55</v>
      </c>
      <c r="B27" t="s">
        <v>157</v>
      </c>
      <c r="C27" s="49">
        <f>SUM(Mass!E140:E141)</f>
        <v>1322.7719999999999</v>
      </c>
      <c r="D27" s="49" cm="1">
        <f t="array" ref="D27">SUMPRODUCT((Mass!P140:P141-Mass!Q140:Q141)/3)</f>
        <v>11.023099999999999</v>
      </c>
      <c r="E27" s="49">
        <f>C27+D27</f>
        <v>1333.7950999999998</v>
      </c>
      <c r="F27" s="49" cm="1">
        <f t="array" ref="F27">SQRT(SUMPRODUCT((Mass!P140:P141^2+Mass!Q140:Q141^2-Mass!P140:P141*Mass!Q140:Q141)/18))</f>
        <v>7.3072797904825313</v>
      </c>
      <c r="G27" t="str">
        <f>"["&amp;TEXT(E27-1.96*F27,"#,##0")&amp;" – "&amp;TEXT(E27+1.96*F27,"#,##0")&amp;"]"</f>
        <v>[1,319 – 1,348]</v>
      </c>
      <c r="I27">
        <v>24122</v>
      </c>
      <c r="J27">
        <f>_xlfn.NORM.DIST(I27,$B$43,$B$44,FALSE)*10000</f>
        <v>0.31459171112985973</v>
      </c>
      <c r="K27">
        <f>IF(I27&lt;=$B$40,J27,NA())</f>
        <v>0.31459171112985973</v>
      </c>
      <c r="L27" t="e">
        <f>IF(I27&gt;=$B$40,J27,NA())</f>
        <v>#N/A</v>
      </c>
    </row>
    <row r="28" spans="1:12" x14ac:dyDescent="0.3">
      <c r="A28">
        <v>56</v>
      </c>
      <c r="B28" t="s">
        <v>162</v>
      </c>
      <c r="C28" s="49">
        <f>SUM(Mass!E144:E145)</f>
        <v>496.03949999999998</v>
      </c>
      <c r="D28" s="49" cm="1">
        <f t="array" ref="D28">SUMPRODUCT((Mass!P144:P145-Mass!Q144:Q145)/3)</f>
        <v>0.41336624999999982</v>
      </c>
      <c r="E28" s="49">
        <f>C28+D28</f>
        <v>496.45286625</v>
      </c>
      <c r="F28" s="49" cm="1">
        <f t="array" ref="F28">SQRT(SUMPRODUCT((Mass!P144:P145^2+Mass!Q144:Q145^2-Mass!P144:P145*Mass!Q144:Q145)/18))</f>
        <v>1.1846449605949441</v>
      </c>
      <c r="G28" t="str">
        <f>"["&amp;TEXT(E28-1.96*F28,"#,##0")&amp;" – "&amp;TEXT(E28+1.96*F28,"#,##0")&amp;"]"</f>
        <v>[494 – 499]</v>
      </c>
      <c r="I28">
        <v>24124</v>
      </c>
      <c r="J28">
        <f>_xlfn.NORM.DIST(I28,$B$43,$B$44,FALSE)*10000</f>
        <v>0.38831973451741836</v>
      </c>
      <c r="K28">
        <f>IF(I28&lt;=$B$40,J28,NA())</f>
        <v>0.38831973451741836</v>
      </c>
      <c r="L28" t="e">
        <f>IF(I28&gt;=$B$40,J28,NA())</f>
        <v>#N/A</v>
      </c>
    </row>
    <row r="29" spans="1:12" x14ac:dyDescent="0.3">
      <c r="A29">
        <v>57</v>
      </c>
      <c r="B29" t="s">
        <v>167</v>
      </c>
      <c r="C29" s="49">
        <f>SUM(Mass!E148:E153)</f>
        <v>3615.5767999999998</v>
      </c>
      <c r="D29" s="49" cm="1">
        <f t="array" ref="D29">SUMPRODUCT((Mass!P148:P153-Mass!Q148:Q153)/3)</f>
        <v>26.381952666666663</v>
      </c>
      <c r="E29" s="49">
        <f>C29+D29</f>
        <v>3641.9587526666664</v>
      </c>
      <c r="F29" s="49" cm="1">
        <f t="array" ref="F29">SQRT(SUMPRODUCT((Mass!P148:P153^2+Mass!Q148:Q153^2-Mass!P148:P153*Mass!Q148:Q153)/18))</f>
        <v>12.618668013501441</v>
      </c>
      <c r="G29" t="str">
        <f>"["&amp;TEXT(E29-1.96*F29,"#,##0")&amp;" – "&amp;TEXT(E29+1.96*F29,"#,##0")&amp;"]"</f>
        <v>[3,617 – 3,667]</v>
      </c>
      <c r="I29">
        <v>24126</v>
      </c>
      <c r="J29">
        <f>_xlfn.NORM.DIST(I29,$B$43,$B$44,FALSE)*10000</f>
        <v>0.47751711738857483</v>
      </c>
      <c r="K29">
        <f>IF(I29&lt;=$B$40,J29,NA())</f>
        <v>0.47751711738857483</v>
      </c>
      <c r="L29" t="e">
        <f>IF(I29&gt;=$B$40,J29,NA())</f>
        <v>#N/A</v>
      </c>
    </row>
    <row r="30" spans="1:12" x14ac:dyDescent="0.3">
      <c r="A30">
        <v>71</v>
      </c>
      <c r="B30" t="s">
        <v>176</v>
      </c>
      <c r="C30" s="49">
        <f>SUM(Mass!E156:E159)</f>
        <v>3483.2995999999998</v>
      </c>
      <c r="D30" s="49" cm="1">
        <f t="array" ref="D30">SUMPRODUCT((Mass!P156:P159-Mass!Q156:Q159)/3)</f>
        <v>1.0288226666666664</v>
      </c>
      <c r="E30" s="49">
        <f>C30+D30</f>
        <v>3484.3284226666665</v>
      </c>
      <c r="F30" s="49" cm="1">
        <f t="array" ref="F30">SQRT(SUMPRODUCT((Mass!P156:P159^2+Mass!Q156:Q159^2-Mass!P156:P159*Mass!Q156:Q159)/18))</f>
        <v>6.9320264984991722</v>
      </c>
      <c r="G30" t="str">
        <f>"["&amp;TEXT(E30-1.96*F30,"#,##0")&amp;" – "&amp;TEXT(E30+1.96*F30,"#,##0")&amp;"]"</f>
        <v>[3,471 – 3,498]</v>
      </c>
      <c r="I30">
        <v>24128</v>
      </c>
      <c r="J30">
        <f>_xlfn.NORM.DIST(I30,$B$43,$B$44,FALSE)*10000</f>
        <v>0.58498633597927752</v>
      </c>
      <c r="K30">
        <f>IF(I30&lt;=$B$40,J30,NA())</f>
        <v>0.58498633597927752</v>
      </c>
      <c r="L30" t="e">
        <f>IF(I30&gt;=$B$40,J30,NA())</f>
        <v>#N/A</v>
      </c>
    </row>
    <row r="31" spans="1:12" x14ac:dyDescent="0.3">
      <c r="A31">
        <v>73</v>
      </c>
      <c r="B31" t="s">
        <v>183</v>
      </c>
      <c r="C31" s="49">
        <f>SUM(Mass!E162:E165)</f>
        <v>88.184799999999996</v>
      </c>
      <c r="D31" s="49" cm="1">
        <f t="array" ref="D31">SUMPRODUCT((Mass!P162:P165-Mass!Q162:Q165)/3)</f>
        <v>4.4092399999999955E-2</v>
      </c>
      <c r="E31" s="49">
        <f>C31+D31</f>
        <v>88.228892399999992</v>
      </c>
      <c r="F31" s="49" cm="1">
        <f t="array" ref="F31">SQRT(SUMPRODUCT((Mass!P162:P165^2+Mass!Q162:Q165^2-Mass!P162:P165*Mass!Q162:Q165)/18))</f>
        <v>0.14306456978610896</v>
      </c>
      <c r="G31" t="str">
        <f>"["&amp;TEXT(E31-1.96*F31,"#,##0")&amp;" – "&amp;TEXT(E31+1.96*F31,"#,##0")&amp;"]"</f>
        <v>[88 – 89]</v>
      </c>
      <c r="I31">
        <v>24130</v>
      </c>
      <c r="J31">
        <f>_xlfn.NORM.DIST(I31,$B$43,$B$44,FALSE)*10000</f>
        <v>0.71393684471490948</v>
      </c>
      <c r="K31">
        <f>IF(I31&lt;=$B$40,J31,NA())</f>
        <v>0.71393684471490948</v>
      </c>
      <c r="L31" t="e">
        <f>IF(I31&gt;=$B$40,J31,NA())</f>
        <v>#N/A</v>
      </c>
    </row>
    <row r="32" spans="1:12" x14ac:dyDescent="0.3">
      <c r="A32">
        <v>75</v>
      </c>
      <c r="B32" t="s">
        <v>190</v>
      </c>
      <c r="C32" s="49">
        <f>SUM(Mass!E168:E169)</f>
        <v>61.729359999999993</v>
      </c>
      <c r="D32" s="49" cm="1">
        <f t="array" ref="D32">SUMPRODUCT((Mass!P168:P169-Mass!Q168:Q169)/3)</f>
        <v>0.1543234</v>
      </c>
      <c r="E32" s="49">
        <f>C32+D32</f>
        <v>61.883683399999995</v>
      </c>
      <c r="F32" s="49" cm="1">
        <f t="array" ref="F32">SQRT(SUMPRODUCT((Mass!P168:P169^2+Mass!Q168:Q169^2-Mass!P168:P169*Mass!Q168:Q169)/18))</f>
        <v>0.18187187105960673</v>
      </c>
      <c r="G32" t="str">
        <f>"["&amp;TEXT(E32-1.96*F32,"#,##0")&amp;" – "&amp;TEXT(E32+1.96*F32,"#,##0")&amp;"]"</f>
        <v>[62 – 62]</v>
      </c>
      <c r="I32">
        <v>24132</v>
      </c>
      <c r="J32">
        <f>_xlfn.NORM.DIST(I32,$B$43,$B$44,FALSE)*10000</f>
        <v>0.86802286387034233</v>
      </c>
      <c r="K32">
        <f>IF(I32&lt;=$B$40,J32,NA())</f>
        <v>0.86802286387034233</v>
      </c>
      <c r="L32" t="e">
        <f>IF(I32&gt;=$B$40,J32,NA())</f>
        <v>#N/A</v>
      </c>
    </row>
    <row r="33" spans="1:12" x14ac:dyDescent="0.3">
      <c r="A33">
        <v>78</v>
      </c>
      <c r="B33" t="s">
        <v>195</v>
      </c>
      <c r="C33" s="49">
        <f>SUM(Mass!E172:E175)</f>
        <v>551.15499999999997</v>
      </c>
      <c r="D33" s="49" cm="1">
        <f t="array" ref="D33">SUMPRODUCT((Mass!P172:P175-Mass!Q172:Q175)/3)</f>
        <v>2.9578651666666662</v>
      </c>
      <c r="E33" s="49">
        <f>C33+D33</f>
        <v>554.11286516666667</v>
      </c>
      <c r="F33" s="49" cm="1">
        <f t="array" ref="F33">SQRT(SUMPRODUCT((Mass!P172:P175^2+Mass!Q172:Q175^2-Mass!P172:P175*Mass!Q172:Q175)/18))</f>
        <v>1.8138638608467204</v>
      </c>
      <c r="G33" t="str">
        <f>"["&amp;TEXT(E33-1.96*F33,"#,##0")&amp;" – "&amp;TEXT(E33+1.96*F33,"#,##0")&amp;"]"</f>
        <v>[551 – 558]</v>
      </c>
      <c r="I33">
        <v>24134</v>
      </c>
      <c r="J33">
        <f>_xlfn.NORM.DIST(I33,$B$43,$B$44,FALSE)*10000</f>
        <v>1.0513802862933999</v>
      </c>
      <c r="K33">
        <f>IF(I33&lt;=$B$40,J33,NA())</f>
        <v>1.0513802862933999</v>
      </c>
      <c r="L33" t="e">
        <f>IF(I33&gt;=$B$40,J33,NA())</f>
        <v>#N/A</v>
      </c>
    </row>
    <row r="34" spans="1:12" x14ac:dyDescent="0.3">
      <c r="A34">
        <v>79</v>
      </c>
      <c r="B34" t="s">
        <v>202</v>
      </c>
      <c r="C34" s="49">
        <f>SUM(Mass!E178:E180)</f>
        <v>88.184799999999996</v>
      </c>
      <c r="D34" s="49" cm="1">
        <f t="array" ref="D34">SUMPRODUCT((Mass!P178:P180-Mass!Q178:Q180)/3)</f>
        <v>0.13227719999999996</v>
      </c>
      <c r="E34" s="49">
        <f>C34+D34</f>
        <v>88.3170772</v>
      </c>
      <c r="F34" s="49" cm="1">
        <f t="array" ref="F34">SQRT(SUMPRODUCT((Mass!P178:P180^2+Mass!Q178:Q180^2-Mass!P178:P180*Mass!Q178:Q180)/18))</f>
        <v>0.19035914623832029</v>
      </c>
      <c r="G34" t="str">
        <f>"["&amp;TEXT(E34-1.96*F34,"#,##0")&amp;" – "&amp;TEXT(E34+1.96*F34,"#,##0")&amp;"]"</f>
        <v>[88 – 89]</v>
      </c>
      <c r="I34">
        <v>24136</v>
      </c>
      <c r="J34">
        <f>_xlfn.NORM.DIST(I34,$B$43,$B$44,FALSE)*10000</f>
        <v>1.2686615865270656</v>
      </c>
      <c r="K34">
        <f>IF(I34&lt;=$B$40,J34,NA())</f>
        <v>1.2686615865270656</v>
      </c>
      <c r="L34" t="e">
        <f>IF(I34&gt;=$B$40,J34,NA())</f>
        <v>#N/A</v>
      </c>
    </row>
    <row r="35" spans="1:12" ht="15" thickBot="1" x14ac:dyDescent="0.35">
      <c r="A35">
        <v>80</v>
      </c>
      <c r="B35" t="s">
        <v>208</v>
      </c>
      <c r="C35" s="49">
        <f>SUM(Mass!E183:E184)</f>
        <v>44.092399999999998</v>
      </c>
      <c r="D35" s="49" cm="1">
        <f t="array" ref="D35">SUMPRODUCT((Mass!P183:P184-Mass!Q183:Q184)/3)</f>
        <v>3.6743666666666654E-2</v>
      </c>
      <c r="E35" s="49">
        <f>C35+D35</f>
        <v>44.129143666666664</v>
      </c>
      <c r="F35" s="49" cm="1">
        <f t="array" ref="F35">SQRT(SUMPRODUCT((Mass!P183:P184^2+Mass!Q183:Q184^2-Mass!P183:P184*Mass!Q183:Q184)/18))</f>
        <v>0.102290038913186</v>
      </c>
      <c r="G35" t="str">
        <f>"["&amp;TEXT(E35-1.96*F35,"#,##0")&amp;" – "&amp;TEXT(E35+1.96*F35,"#,##0")&amp;"]"</f>
        <v>[44 – 44]</v>
      </c>
      <c r="I35">
        <v>24138</v>
      </c>
      <c r="J35">
        <f>_xlfn.NORM.DIST(I35,$B$43,$B$44,FALSE)*10000</f>
        <v>1.5250674308632475</v>
      </c>
      <c r="K35">
        <f>IF(I35&lt;=$B$40,J35,NA())</f>
        <v>1.5250674308632475</v>
      </c>
      <c r="L35" t="e">
        <f>IF(I35&gt;=$B$40,J35,NA())</f>
        <v>#N/A</v>
      </c>
    </row>
    <row r="36" spans="1:12" ht="15" thickTop="1" x14ac:dyDescent="0.3">
      <c r="A36" s="70" t="s">
        <v>443</v>
      </c>
      <c r="B36" s="70" t="s">
        <v>444</v>
      </c>
      <c r="C36" s="71">
        <f>SUM(C6:C35)</f>
        <v>38122.289040000003</v>
      </c>
      <c r="D36" s="71">
        <f>SUM(D6:D35)</f>
        <v>142.75833091666667</v>
      </c>
      <c r="E36" s="71">
        <f>C36+D36</f>
        <v>38265.047370916669</v>
      </c>
      <c r="F36" s="71">
        <f>SQRT(SUMSQ(F6:F35))</f>
        <v>33.964967804786575</v>
      </c>
      <c r="G36" s="70" t="str">
        <f>"["&amp;TEXT(E36-1.96*F36,"#,##0")&amp;" – "&amp;TEXT(E36+1.96*F36,"#,##0")&amp;"]"</f>
        <v>[38,198 – 38,332]</v>
      </c>
      <c r="I36">
        <v>24140</v>
      </c>
      <c r="J36">
        <f>_xlfn.NORM.DIST(I36,$B$43,$B$44,FALSE)*10000</f>
        <v>1.8263735055343937</v>
      </c>
      <c r="K36">
        <f>IF(I36&lt;=$B$40,J36,NA())</f>
        <v>1.8263735055343937</v>
      </c>
      <c r="L36" t="e">
        <f>IF(I36&gt;=$B$40,J36,NA())</f>
        <v>#N/A</v>
      </c>
    </row>
    <row r="37" spans="1:12" x14ac:dyDescent="0.3">
      <c r="I37">
        <v>24142</v>
      </c>
      <c r="J37">
        <f>_xlfn.NORM.DIST(I37,$B$43,$B$44,FALSE)*10000</f>
        <v>2.1789509099065367</v>
      </c>
      <c r="K37">
        <f>IF(I37&lt;=$B$40,J37,NA())</f>
        <v>2.1789509099065367</v>
      </c>
      <c r="L37" t="e">
        <f>IF(I37&gt;=$B$40,J37,NA())</f>
        <v>#N/A</v>
      </c>
    </row>
    <row r="38" spans="1:12" ht="18" x14ac:dyDescent="0.35">
      <c r="A38" s="13" t="s">
        <v>456</v>
      </c>
      <c r="I38">
        <v>24144</v>
      </c>
      <c r="J38">
        <f>_xlfn.NORM.DIST(I38,$B$43,$B$44,FALSE)*10000</f>
        <v>2.5897783108123162</v>
      </c>
      <c r="K38">
        <f>IF(I38&lt;=$B$40,J38,NA())</f>
        <v>2.5897783108123162</v>
      </c>
      <c r="L38" t="e">
        <f>IF(I38&gt;=$B$40,J38,NA())</f>
        <v>#N/A</v>
      </c>
    </row>
    <row r="39" spans="1:12" x14ac:dyDescent="0.3">
      <c r="I39">
        <v>24146</v>
      </c>
      <c r="J39">
        <f>_xlfn.NORM.DIST(I39,$B$43,$B$44,FALSE)*10000</f>
        <v>3.0664439326559552</v>
      </c>
      <c r="K39">
        <f>IF(I39&lt;=$B$40,J39,NA())</f>
        <v>3.0664439326559552</v>
      </c>
      <c r="L39" t="e">
        <f>IF(I39&gt;=$B$40,J39,NA())</f>
        <v>#N/A</v>
      </c>
    </row>
    <row r="40" spans="1:12" ht="18" x14ac:dyDescent="0.35">
      <c r="A40" s="27" t="s">
        <v>446</v>
      </c>
      <c r="B40" s="72">
        <f>Target!C39</f>
        <v>24300</v>
      </c>
      <c r="D40" s="13" t="s">
        <v>462</v>
      </c>
      <c r="I40">
        <v>24148</v>
      </c>
      <c r="J40">
        <f>_xlfn.NORM.DIST(I40,$B$43,$B$44,FALSE)*10000</f>
        <v>3.6171353759639762</v>
      </c>
      <c r="K40">
        <f>IF(I40&lt;=$B$40,J40,NA())</f>
        <v>3.6171353759639762</v>
      </c>
      <c r="L40" t="e">
        <f>IF(I40&gt;=$B$40,J40,NA())</f>
        <v>#N/A</v>
      </c>
    </row>
    <row r="41" spans="1:12" ht="18" x14ac:dyDescent="0.35">
      <c r="A41" s="27" t="s">
        <v>447</v>
      </c>
      <c r="B41" s="72">
        <f>C36-C13</f>
        <v>24092.087360000005</v>
      </c>
      <c r="D41" s="75" t="str">
        <f>IF($B$47&gt;=0.99,"✓ EXTREMELY HIGH CONFIDENCE",IF($B$47&gt;=0.9,"✓ HIGH CONFIDENCE of meeting OEW target",IF($B$47&gt;=0.5,"○ MARGINAL — more likely than not to meet target",IF($B$47&gt;=0.25,"⚠ AT RISK — likely to miss OEW target",IF($B$47&gt;=0.1,"⚠ HIGH RISK of missing OEW target","⛔ CRITICAL RISK — extremely unlikely to meet target")))))</f>
        <v>✓ HIGH CONFIDENCE of meeting OEW target</v>
      </c>
      <c r="E41" s="67"/>
      <c r="F41" s="67"/>
      <c r="G41" s="67"/>
      <c r="I41">
        <v>24150</v>
      </c>
      <c r="J41">
        <f>_xlfn.NORM.DIST(I41,$B$43,$B$44,FALSE)*10000</f>
        <v>4.2506152253812175</v>
      </c>
      <c r="K41">
        <f>IF(I41&lt;=$B$40,J41,NA())</f>
        <v>4.2506152253812175</v>
      </c>
      <c r="L41" t="e">
        <f>IF(I41&gt;=$B$40,J41,NA())</f>
        <v>#N/A</v>
      </c>
    </row>
    <row r="42" spans="1:12" x14ac:dyDescent="0.3">
      <c r="A42" s="27" t="s">
        <v>453</v>
      </c>
      <c r="B42" s="72">
        <f>D36-D13</f>
        <v>142.24391958333334</v>
      </c>
      <c r="D42" s="76" t="str">
        <f>"Adjusted mean OEW = "&amp;TEXT($B$43,"#,##0")&amp;" lbm vs target of "&amp;TEXT($B$40,"#,##0")&amp;" lbm ("&amp;IF($B$45&gt;=0,TEXT($B$45,"#,##0")&amp;" lbm over",TEXT(-$B$45,"#,##0")&amp;" lbm under")&amp;"). Z = "&amp;TEXT($B$46,"+0.00;-0.00")&amp;"σ from target. P(meet OEW target) = "&amp;IF($B$47&gt;=0.9995,"≈100%",IF($B$47&lt;=0.0005,"≈0%",TEXT($B$47,"0.0%")))&amp;"."&amp;CHAR(10)&amp;CHAR(10)&amp;"P95 OEW is "&amp;TEXT($B$48,"#,##0")&amp;" lbm ("&amp;IF($B$48&gt;$B$40,TEXT($B$48-$B$40,"#,##0")&amp;" lbm over target",TEXT($B$40-$B$48,"#,##0")&amp;" lbm under target")&amp;"). "&amp;IF($B$47&gt;=0.9,"Margin is comfortable. Maintain discipline on top contributors (Fuselage, Wings, Furnishings) so the skew doesn't drift back.",IF($B$47&gt;=0.5,"Margin is thin. Tighten uncertainty on the top σ contributors or claw back nominal mass to widen confidence.","Action required: tighten manufacturing tolerances on Fuselage/Wings/Furnishings, claw back nominal mass, or renegotiate the OEW target."))</f>
        <v>Adjusted mean OEW = 24,234 lbm vs target of 24,300 lbm (66 lbm under). Z = -2.02σ from target. P(meet OEW target) = 97.8%.
P95 OEW is 24,288 lbm (12 lbm under target). Margin is comfortable. Maintain discipline on top contributors (Fuselage, Wings, Furnishings) so the skew doesn't drift back.</v>
      </c>
      <c r="E42" s="67"/>
      <c r="F42" s="67"/>
      <c r="G42" s="67"/>
      <c r="I42">
        <v>24152</v>
      </c>
      <c r="J42">
        <f>_xlfn.NORM.DIST(I42,$B$43,$B$44,FALSE)*10000</f>
        <v>4.9761804374561898</v>
      </c>
      <c r="K42">
        <f>IF(I42&lt;=$B$40,J42,NA())</f>
        <v>4.9761804374561898</v>
      </c>
      <c r="L42" t="e">
        <f>IF(I42&gt;=$B$40,J42,NA())</f>
        <v>#N/A</v>
      </c>
    </row>
    <row r="43" spans="1:12" x14ac:dyDescent="0.3">
      <c r="A43" s="27" t="s">
        <v>457</v>
      </c>
      <c r="B43" s="72">
        <f>B41+B42</f>
        <v>24234.331279583337</v>
      </c>
      <c r="D43" s="67"/>
      <c r="E43" s="67"/>
      <c r="F43" s="67"/>
      <c r="G43" s="67"/>
      <c r="I43">
        <v>24154</v>
      </c>
      <c r="J43">
        <f>_xlfn.NORM.DIST(I43,$B$43,$B$44,FALSE)*10000</f>
        <v>5.8036035991736865</v>
      </c>
      <c r="K43">
        <f>IF(I43&lt;=$B$40,J43,NA())</f>
        <v>5.8036035991736865</v>
      </c>
      <c r="L43" t="e">
        <f>IF(I43&gt;=$B$40,J43,NA())</f>
        <v>#N/A</v>
      </c>
    </row>
    <row r="44" spans="1:12" x14ac:dyDescent="0.3">
      <c r="A44" s="27" t="s">
        <v>458</v>
      </c>
      <c r="B44" s="72">
        <f>SQRT(F36^2-F13^2)</f>
        <v>32.519394675836743</v>
      </c>
      <c r="D44" s="67"/>
      <c r="E44" s="67"/>
      <c r="F44" s="67"/>
      <c r="G44" s="67"/>
      <c r="I44">
        <v>24156</v>
      </c>
      <c r="J44">
        <f>_xlfn.NORM.DIST(I44,$B$43,$B$44,FALSE)*10000</f>
        <v>6.7430543292887304</v>
      </c>
      <c r="K44">
        <f>IF(I44&lt;=$B$40,J44,NA())</f>
        <v>6.7430543292887304</v>
      </c>
      <c r="L44" t="e">
        <f>IF(I44&gt;=$B$40,J44,NA())</f>
        <v>#N/A</v>
      </c>
    </row>
    <row r="45" spans="1:12" x14ac:dyDescent="0.3">
      <c r="A45" s="27" t="s">
        <v>459</v>
      </c>
      <c r="B45" s="72">
        <f>B43-B40</f>
        <v>-65.668720416662836</v>
      </c>
      <c r="D45" s="67"/>
      <c r="E45" s="67"/>
      <c r="F45" s="67"/>
      <c r="G45" s="67"/>
      <c r="I45">
        <v>24158</v>
      </c>
      <c r="J45">
        <f>_xlfn.NORM.DIST(I45,$B$43,$B$44,FALSE)*10000</f>
        <v>7.8049993636700083</v>
      </c>
      <c r="K45">
        <f>IF(I45&lt;=$B$40,J45,NA())</f>
        <v>7.8049993636700083</v>
      </c>
      <c r="L45" t="e">
        <f>IF(I45&gt;=$B$40,J45,NA())</f>
        <v>#N/A</v>
      </c>
    </row>
    <row r="46" spans="1:12" x14ac:dyDescent="0.3">
      <c r="A46" s="27" t="s">
        <v>460</v>
      </c>
      <c r="B46" s="73">
        <f>B45/B44</f>
        <v>-2.0193709345228807</v>
      </c>
      <c r="D46" s="67"/>
      <c r="E46" s="67"/>
      <c r="F46" s="67"/>
      <c r="G46" s="67"/>
      <c r="I46">
        <v>24160</v>
      </c>
      <c r="J46">
        <f>_xlfn.NORM.DIST(I46,$B$43,$B$44,FALSE)*10000</f>
        <v>9.0000802283802344</v>
      </c>
      <c r="K46">
        <f>IF(I46&lt;=$B$40,J46,NA())</f>
        <v>9.0000802283802344</v>
      </c>
      <c r="L46" t="e">
        <f>IF(I46&gt;=$B$40,J46,NA())</f>
        <v>#N/A</v>
      </c>
    </row>
    <row r="47" spans="1:12" ht="18" x14ac:dyDescent="0.35">
      <c r="A47" s="27" t="s">
        <v>448</v>
      </c>
      <c r="B47" s="74">
        <f>_xlfn.NORM.S.DIST(-B46,TRUE)</f>
        <v>0.9782756599112471</v>
      </c>
      <c r="D47" s="67"/>
      <c r="E47" s="67"/>
      <c r="F47" s="67"/>
      <c r="G47" s="67"/>
      <c r="I47">
        <v>24162</v>
      </c>
      <c r="J47">
        <f>_xlfn.NORM.DIST(I47,$B$43,$B$44,FALSE)*10000</f>
        <v>10.338967862516506</v>
      </c>
      <c r="K47">
        <f>IF(I47&lt;=$B$40,J47,NA())</f>
        <v>10.338967862516506</v>
      </c>
      <c r="L47" t="e">
        <f>IF(I47&gt;=$B$40,J47,NA())</f>
        <v>#N/A</v>
      </c>
    </row>
    <row r="48" spans="1:12" x14ac:dyDescent="0.3">
      <c r="A48" s="27" t="s">
        <v>461</v>
      </c>
      <c r="B48" s="72">
        <f>B43+1.645*B44</f>
        <v>24287.825683825089</v>
      </c>
      <c r="I48">
        <v>24164</v>
      </c>
      <c r="J48">
        <f>_xlfn.NORM.DIST(I48,$B$43,$B$44,FALSE)*10000</f>
        <v>11.832194105828098</v>
      </c>
      <c r="K48">
        <f>IF(I48&lt;=$B$40,J48,NA())</f>
        <v>11.832194105828098</v>
      </c>
      <c r="L48" t="e">
        <f>IF(I48&gt;=$B$40,J48,NA())</f>
        <v>#N/A</v>
      </c>
    </row>
    <row r="49" spans="1:12" x14ac:dyDescent="0.3">
      <c r="I49">
        <v>24166</v>
      </c>
      <c r="J49">
        <f>_xlfn.NORM.DIST(I49,$B$43,$B$44,FALSE)*10000</f>
        <v>13.489960608730705</v>
      </c>
      <c r="K49">
        <f>IF(I49&lt;=$B$40,J49,NA())</f>
        <v>13.489960608730705</v>
      </c>
      <c r="L49" t="e">
        <f>IF(I49&gt;=$B$40,J49,NA())</f>
        <v>#N/A</v>
      </c>
    </row>
    <row r="50" spans="1:12" ht="17.399999999999999" x14ac:dyDescent="0.35">
      <c r="A50" s="77" t="s">
        <v>463</v>
      </c>
      <c r="I50">
        <v>24168</v>
      </c>
      <c r="J50">
        <f>_xlfn.NORM.DIST(I50,$B$43,$B$44,FALSE)*10000</f>
        <v>15.321926445031162</v>
      </c>
      <c r="K50">
        <f>IF(I50&lt;=$B$40,J50,NA())</f>
        <v>15.321926445031162</v>
      </c>
      <c r="L50" t="e">
        <f>IF(I50&gt;=$B$40,J50,NA())</f>
        <v>#N/A</v>
      </c>
    </row>
    <row r="51" spans="1:12" x14ac:dyDescent="0.3">
      <c r="A51" s="69" t="s">
        <v>464</v>
      </c>
      <c r="B51" s="69" t="s">
        <v>465</v>
      </c>
      <c r="C51" s="69" t="s">
        <v>453</v>
      </c>
      <c r="D51" s="69" t="s">
        <v>466</v>
      </c>
      <c r="I51">
        <v>24170</v>
      </c>
      <c r="J51">
        <f>_xlfn.NORM.DIST(I51,$B$43,$B$44,FALSE)*10000</f>
        <v>17.336976496265187</v>
      </c>
      <c r="K51">
        <f>IF(I51&lt;=$B$40,J51,NA())</f>
        <v>17.336976496265187</v>
      </c>
      <c r="L51" t="e">
        <f>IF(I51&gt;=$B$40,J51,NA())</f>
        <v>#N/A</v>
      </c>
    </row>
    <row r="52" spans="1:12" x14ac:dyDescent="0.3">
      <c r="A52">
        <v>1</v>
      </c>
      <c r="B52" t="str">
        <f>INDEX($A$6:$A$35,MATCH(C52,$D$6:$D$35,0))&amp;" – "&amp;INDEX($B$6:$B$35,MATCH(C52,$D$6:$D$35,0))</f>
        <v>53 – Fuselage</v>
      </c>
      <c r="C52" s="49">
        <f>LARGE($D$6:$D$35,1)</f>
        <v>45.89283966666666</v>
      </c>
      <c r="D52" s="65">
        <f>C52/$D$36</f>
        <v>0.32147223473392955</v>
      </c>
      <c r="I52">
        <v>24172</v>
      </c>
      <c r="J52">
        <f>_xlfn.NORM.DIST(I52,$B$43,$B$44,FALSE)*10000</f>
        <v>19.542973512070571</v>
      </c>
      <c r="K52">
        <f>IF(I52&lt;=$B$40,J52,NA())</f>
        <v>19.542973512070571</v>
      </c>
      <c r="L52" t="e">
        <f>IF(I52&gt;=$B$40,J52,NA())</f>
        <v>#N/A</v>
      </c>
    </row>
    <row r="53" spans="1:12" x14ac:dyDescent="0.3">
      <c r="A53">
        <v>2</v>
      </c>
      <c r="B53" t="str">
        <f>INDEX($A$6:$A$35,MATCH(C53,$D$6:$D$35,0))&amp;" – "&amp;INDEX($B$6:$B$35,MATCH(C53,$D$6:$D$35,0))</f>
        <v>57 – Wings</v>
      </c>
      <c r="C53" s="49">
        <f>LARGE($D$6:$D$35,2)</f>
        <v>26.381952666666663</v>
      </c>
      <c r="D53" s="65">
        <f>C53/$D$36</f>
        <v>0.18480149282542949</v>
      </c>
      <c r="I53">
        <v>24174</v>
      </c>
      <c r="J53">
        <f>_xlfn.NORM.DIST(I53,$B$43,$B$44,FALSE)*10000</f>
        <v>21.946497609894219</v>
      </c>
      <c r="K53">
        <f>IF(I53&lt;=$B$40,J53,NA())</f>
        <v>21.946497609894219</v>
      </c>
      <c r="L53" t="e">
        <f>IF(I53&gt;=$B$40,J53,NA())</f>
        <v>#N/A</v>
      </c>
    </row>
    <row r="54" spans="1:12" x14ac:dyDescent="0.3">
      <c r="A54">
        <v>3</v>
      </c>
      <c r="B54" t="str">
        <f>INDEX($A$6:$A$35,MATCH(C54,$D$6:$D$35,0))&amp;" – "&amp;INDEX($B$6:$B$35,MATCH(C54,$D$6:$D$35,0))</f>
        <v>25 – Equipment / Furnishings</v>
      </c>
      <c r="C54" s="49">
        <f>LARGE($D$6:$D$35,3)</f>
        <v>23.883383333333331</v>
      </c>
      <c r="D54" s="65">
        <f>C54/$D$36</f>
        <v>0.16729940158290971</v>
      </c>
      <c r="I54">
        <v>24176</v>
      </c>
      <c r="J54">
        <f>_xlfn.NORM.DIST(I54,$B$43,$B$44,FALSE)*10000</f>
        <v>24.55257783175384</v>
      </c>
      <c r="K54">
        <f>IF(I54&lt;=$B$40,J54,NA())</f>
        <v>24.55257783175384</v>
      </c>
      <c r="L54" t="e">
        <f>IF(I54&gt;=$B$40,J54,NA())</f>
        <v>#N/A</v>
      </c>
    </row>
    <row r="55" spans="1:12" x14ac:dyDescent="0.3">
      <c r="A55">
        <v>4</v>
      </c>
      <c r="B55" t="str">
        <f>INDEX($A$6:$A$35,MATCH(C55,$D$6:$D$35,0))&amp;" – "&amp;INDEX($B$6:$B$35,MATCH(C55,$D$6:$D$35,0))</f>
        <v>55 – Stabilizers</v>
      </c>
      <c r="C55" s="49">
        <f>LARGE($D$6:$D$35,4)</f>
        <v>11.023099999999999</v>
      </c>
      <c r="D55" s="65">
        <f>C55/$D$36</f>
        <v>7.7215108422881401E-2</v>
      </c>
      <c r="I55">
        <v>24178</v>
      </c>
      <c r="J55">
        <f>_xlfn.NORM.DIST(I55,$B$43,$B$44,FALSE)*10000</f>
        <v>27.364421194352605</v>
      </c>
      <c r="K55">
        <f>IF(I55&lt;=$B$40,J55,NA())</f>
        <v>27.364421194352605</v>
      </c>
      <c r="L55" t="e">
        <f>IF(I55&gt;=$B$40,J55,NA())</f>
        <v>#N/A</v>
      </c>
    </row>
    <row r="56" spans="1:12" x14ac:dyDescent="0.3">
      <c r="A56">
        <v>5</v>
      </c>
      <c r="B56" t="str">
        <f>INDEX($A$6:$A$35,MATCH(C56,$D$6:$D$35,0))&amp;" – "&amp;INDEX($B$6:$B$35,MATCH(C56,$D$6:$D$35,0))</f>
        <v>54 – Nacelles / Pylons</v>
      </c>
      <c r="C56" s="49">
        <f>LARGE($D$6:$D$35,5)</f>
        <v>9.4431223333333314</v>
      </c>
      <c r="D56" s="65">
        <f>C56/$D$36</f>
        <v>6.614760954893506E-2</v>
      </c>
      <c r="I56">
        <v>24180</v>
      </c>
      <c r="J56">
        <f>_xlfn.NORM.DIST(I56,$B$43,$B$44,FALSE)*10000</f>
        <v>30.383145417503496</v>
      </c>
      <c r="K56">
        <f>IF(I56&lt;=$B$40,J56,NA())</f>
        <v>30.383145417503496</v>
      </c>
      <c r="L56" t="e">
        <f>IF(I56&gt;=$B$40,J56,NA())</f>
        <v>#N/A</v>
      </c>
    </row>
    <row r="57" spans="1:12" x14ac:dyDescent="0.3">
      <c r="I57">
        <v>24182</v>
      </c>
      <c r="J57">
        <f>_xlfn.NORM.DIST(I57,$B$43,$B$44,FALSE)*10000</f>
        <v>33.607522158954296</v>
      </c>
      <c r="K57">
        <f>IF(I57&lt;=$B$40,J57,NA())</f>
        <v>33.607522158954296</v>
      </c>
      <c r="L57" t="e">
        <f>IF(I57&gt;=$B$40,J57,NA())</f>
        <v>#N/A</v>
      </c>
    </row>
    <row r="58" spans="1:12" x14ac:dyDescent="0.3">
      <c r="I58">
        <v>24184</v>
      </c>
      <c r="J58">
        <f>_xlfn.NORM.DIST(I58,$B$43,$B$44,FALSE)*10000</f>
        <v>37.033738085549018</v>
      </c>
      <c r="K58">
        <f>IF(I58&lt;=$B$40,J58,NA())</f>
        <v>37.033738085549018</v>
      </c>
      <c r="L58" t="e">
        <f>IF(I58&gt;=$B$40,J58,NA())</f>
        <v>#N/A</v>
      </c>
    </row>
    <row r="59" spans="1:12" ht="17.399999999999999" x14ac:dyDescent="0.35">
      <c r="A59" s="77" t="s">
        <v>467</v>
      </c>
      <c r="I59">
        <v>24186</v>
      </c>
      <c r="J59">
        <f>_xlfn.NORM.DIST(I59,$B$43,$B$44,FALSE)*10000</f>
        <v>40.655181436835711</v>
      </c>
      <c r="K59">
        <f>IF(I59&lt;=$B$40,J59,NA())</f>
        <v>40.655181436835711</v>
      </c>
      <c r="L59" t="e">
        <f>IF(I59&gt;=$B$40,J59,NA())</f>
        <v>#N/A</v>
      </c>
    </row>
    <row r="60" spans="1:12" x14ac:dyDescent="0.3">
      <c r="A60" s="69" t="s">
        <v>464</v>
      </c>
      <c r="B60" s="69" t="s">
        <v>465</v>
      </c>
      <c r="C60" s="69" t="s">
        <v>468</v>
      </c>
      <c r="D60" s="69" t="s">
        <v>469</v>
      </c>
      <c r="I60">
        <v>24188</v>
      </c>
      <c r="J60">
        <f>_xlfn.NORM.DIST(I60,$B$43,$B$44,FALSE)*10000</f>
        <v>44.462261856399969</v>
      </c>
      <c r="K60">
        <f>IF(I60&lt;=$B$40,J60,NA())</f>
        <v>44.462261856399969</v>
      </c>
      <c r="L60" t="e">
        <f>IF(I60&gt;=$B$40,J60,NA())</f>
        <v>#N/A</v>
      </c>
    </row>
    <row r="61" spans="1:12" x14ac:dyDescent="0.3">
      <c r="A61">
        <v>1</v>
      </c>
      <c r="B61" t="str">
        <f>INDEX($A$6:$A$35,MATCH(C61,$F$6:$F$35,0))&amp;" – "&amp;INDEX($B$6:$B$35,MATCH(C61,$F$6:$F$35,0))</f>
        <v>53 – Fuselage</v>
      </c>
      <c r="C61" s="49">
        <f>LARGE($F$6:$F$35,1)</f>
        <v>24.699882857115512</v>
      </c>
      <c r="D61" s="65">
        <f>C61^2/$F$36^2</f>
        <v>0.52884374569909443</v>
      </c>
      <c r="I61">
        <v>24190</v>
      </c>
      <c r="J61">
        <f>_xlfn.NORM.DIST(I61,$B$43,$B$44,FALSE)*10000</f>
        <v>48.442271151785441</v>
      </c>
      <c r="K61">
        <f>IF(I61&lt;=$B$40,J61,NA())</f>
        <v>48.442271151785441</v>
      </c>
      <c r="L61" t="e">
        <f>IF(I61&gt;=$B$40,J61,NA())</f>
        <v>#N/A</v>
      </c>
    </row>
    <row r="62" spans="1:12" x14ac:dyDescent="0.3">
      <c r="A62">
        <v>2</v>
      </c>
      <c r="B62" t="str">
        <f>INDEX($A$6:$A$35,MATCH(C62,$F$6:$F$35,0))&amp;" – "&amp;INDEX($B$6:$B$35,MATCH(C62,$F$6:$F$35,0))</f>
        <v>57 – Wings</v>
      </c>
      <c r="C62" s="49">
        <f>LARGE($F$6:$F$35,2)</f>
        <v>12.618668013501441</v>
      </c>
      <c r="D62" s="65">
        <f>C62^2/$F$36^2</f>
        <v>0.13802717985111729</v>
      </c>
      <c r="I62">
        <v>24192</v>
      </c>
      <c r="J62">
        <f>_xlfn.NORM.DIST(I62,$B$43,$B$44,FALSE)*10000</f>
        <v>52.579292275700126</v>
      </c>
      <c r="K62">
        <f>IF(I62&lt;=$B$40,J62,NA())</f>
        <v>52.579292275700126</v>
      </c>
      <c r="L62" t="e">
        <f>IF(I62&gt;=$B$40,J62,NA())</f>
        <v>#N/A</v>
      </c>
    </row>
    <row r="63" spans="1:12" x14ac:dyDescent="0.3">
      <c r="A63">
        <v>3</v>
      </c>
      <c r="B63" t="str">
        <f>INDEX($A$6:$A$35,MATCH(C63,$F$6:$F$35,0))&amp;" – "&amp;INDEX($B$6:$B$35,MATCH(C63,$F$6:$F$35,0))</f>
        <v>25 – Equipment / Furnishings</v>
      </c>
      <c r="C63" s="49">
        <f>LARGE($F$6:$F$35,3)</f>
        <v>10.593018916855568</v>
      </c>
      <c r="D63" s="65">
        <f>C63^2/$F$36^2</f>
        <v>9.7269589074506044E-2</v>
      </c>
      <c r="I63">
        <v>24194</v>
      </c>
      <c r="J63">
        <f>_xlfn.NORM.DIST(I63,$B$43,$B$44,FALSE)*10000</f>
        <v>56.854163187100568</v>
      </c>
      <c r="K63">
        <f>IF(I63&lt;=$B$40,J63,NA())</f>
        <v>56.854163187100568</v>
      </c>
      <c r="L63" t="e">
        <f>IF(I63&gt;=$B$40,J63,NA())</f>
        <v>#N/A</v>
      </c>
    </row>
    <row r="64" spans="1:12" x14ac:dyDescent="0.3">
      <c r="A64">
        <v>4</v>
      </c>
      <c r="B64" t="str">
        <f>INDEX($A$6:$A$35,MATCH(C64,$F$6:$F$35,0))&amp;" – "&amp;INDEX($B$6:$B$35,MATCH(C64,$F$6:$F$35,0))</f>
        <v>28 – Fuel</v>
      </c>
      <c r="C64" s="49">
        <f>LARGE($F$6:$F$35,4)</f>
        <v>9.8034691766409683</v>
      </c>
      <c r="D64" s="65">
        <f>C64^2/$F$36^2</f>
        <v>8.3310005065121026E-2</v>
      </c>
      <c r="I64">
        <v>24196</v>
      </c>
      <c r="J64">
        <f>_xlfn.NORM.DIST(I64,$B$43,$B$44,FALSE)*10000</f>
        <v>61.244501347786539</v>
      </c>
      <c r="K64">
        <f>IF(I64&lt;=$B$40,J64,NA())</f>
        <v>61.244501347786539</v>
      </c>
      <c r="L64" t="e">
        <f>IF(I64&gt;=$B$40,J64,NA())</f>
        <v>#N/A</v>
      </c>
    </row>
    <row r="65" spans="1:12" x14ac:dyDescent="0.3">
      <c r="A65">
        <v>5</v>
      </c>
      <c r="B65" t="str">
        <f>INDEX($A$6:$A$35,MATCH(C65,$F$6:$F$35,0))&amp;" – "&amp;INDEX($B$6:$B$35,MATCH(C65,$F$6:$F$35,0))</f>
        <v>55 – Stabilizers</v>
      </c>
      <c r="C65" s="49">
        <f>LARGE($F$6:$F$35,5)</f>
        <v>7.3072797904825313</v>
      </c>
      <c r="D65" s="65">
        <f>C65^2/$F$36^2</f>
        <v>4.6285936846086805E-2</v>
      </c>
      <c r="I65">
        <v>24198</v>
      </c>
      <c r="J65">
        <f>_xlfn.NORM.DIST(I65,$B$43,$B$44,FALSE)*10000</f>
        <v>65.724793445703767</v>
      </c>
      <c r="K65">
        <f>IF(I65&lt;=$B$40,J65,NA())</f>
        <v>65.724793445703767</v>
      </c>
      <c r="L65" t="e">
        <f>IF(I65&gt;=$B$40,J65,NA())</f>
        <v>#N/A</v>
      </c>
    </row>
    <row r="66" spans="1:12" x14ac:dyDescent="0.3">
      <c r="I66">
        <v>24200</v>
      </c>
      <c r="J66">
        <f>_xlfn.NORM.DIST(I66,$B$43,$B$44,FALSE)*10000</f>
        <v>70.266553528544051</v>
      </c>
      <c r="K66">
        <f>IF(I66&lt;=$B$40,J66,NA())</f>
        <v>70.266553528544051</v>
      </c>
      <c r="L66" t="e">
        <f>IF(I66&gt;=$B$40,J66,NA())</f>
        <v>#N/A</v>
      </c>
    </row>
    <row r="67" spans="1:12" x14ac:dyDescent="0.3">
      <c r="I67">
        <v>24202</v>
      </c>
      <c r="J67">
        <f>_xlfn.NORM.DIST(I67,$B$43,$B$44,FALSE)*10000</f>
        <v>74.838551109824039</v>
      </c>
      <c r="K67">
        <f>IF(I67&lt;=$B$40,J67,NA())</f>
        <v>74.838551109824039</v>
      </c>
      <c r="L67" t="e">
        <f>IF(I67&gt;=$B$40,J67,NA())</f>
        <v>#N/A</v>
      </c>
    </row>
    <row r="68" spans="1:12" ht="17.399999999999999" x14ac:dyDescent="0.35">
      <c r="A68" s="77" t="s">
        <v>470</v>
      </c>
      <c r="I68">
        <v>24204</v>
      </c>
      <c r="J68">
        <f>_xlfn.NORM.DIST(I68,$B$43,$B$44,FALSE)*10000</f>
        <v>79.407109014528757</v>
      </c>
      <c r="K68">
        <f>IF(I68&lt;=$B$40,J68,NA())</f>
        <v>79.407109014528757</v>
      </c>
      <c r="L68" t="e">
        <f>IF(I68&gt;=$B$40,J68,NA())</f>
        <v>#N/A</v>
      </c>
    </row>
    <row r="69" spans="1:12" x14ac:dyDescent="0.3">
      <c r="A69" s="76" t="s">
        <v>471</v>
      </c>
      <c r="B69" s="67"/>
      <c r="C69" s="67"/>
      <c r="D69" s="67"/>
      <c r="E69" s="67"/>
      <c r="F69" s="67"/>
      <c r="G69" s="67"/>
      <c r="I69">
        <v>24206</v>
      </c>
      <c r="J69">
        <f>_xlfn.NORM.DIST(I69,$B$43,$B$44,FALSE)*10000</f>
        <v>83.936468812599117</v>
      </c>
      <c r="K69">
        <f>IF(I69&lt;=$B$40,J69,NA())</f>
        <v>83.936468812599117</v>
      </c>
      <c r="L69" t="e">
        <f>IF(I69&gt;=$B$40,J69,NA())</f>
        <v>#N/A</v>
      </c>
    </row>
    <row r="70" spans="1:12" x14ac:dyDescent="0.3">
      <c r="A70" s="67"/>
      <c r="B70" s="67"/>
      <c r="C70" s="67"/>
      <c r="D70" s="67"/>
      <c r="E70" s="67"/>
      <c r="F70" s="67"/>
      <c r="G70" s="67"/>
      <c r="I70">
        <v>24208</v>
      </c>
      <c r="J70">
        <f>_xlfn.NORM.DIST(I70,$B$43,$B$44,FALSE)*10000</f>
        <v>88.389219704453851</v>
      </c>
      <c r="K70">
        <f>IF(I70&lt;=$B$40,J70,NA())</f>
        <v>88.389219704453851</v>
      </c>
      <c r="L70" t="e">
        <f>IF(I70&gt;=$B$40,J70,NA())</f>
        <v>#N/A</v>
      </c>
    </row>
    <row r="71" spans="1:12" x14ac:dyDescent="0.3">
      <c r="A71" s="67"/>
      <c r="B71" s="67"/>
      <c r="C71" s="67"/>
      <c r="D71" s="67"/>
      <c r="E71" s="67"/>
      <c r="F71" s="67"/>
      <c r="G71" s="67"/>
      <c r="I71">
        <v>24210</v>
      </c>
      <c r="J71">
        <f>_xlfn.NORM.DIST(I71,$B$43,$B$44,FALSE)*10000</f>
        <v>92.726784738365708</v>
      </c>
      <c r="K71">
        <f>IF(I71&lt;=$B$40,J71,NA())</f>
        <v>92.726784738365708</v>
      </c>
      <c r="L71" t="e">
        <f>IF(I71&gt;=$B$40,J71,NA())</f>
        <v>#N/A</v>
      </c>
    </row>
    <row r="72" spans="1:12" x14ac:dyDescent="0.3">
      <c r="A72" s="67"/>
      <c r="B72" s="67"/>
      <c r="C72" s="67"/>
      <c r="D72" s="67"/>
      <c r="E72" s="67"/>
      <c r="F72" s="67"/>
      <c r="G72" s="67"/>
      <c r="I72">
        <v>24212</v>
      </c>
      <c r="J72">
        <f>_xlfn.NORM.DIST(I72,$B$43,$B$44,FALSE)*10000</f>
        <v>96.909956324075466</v>
      </c>
      <c r="K72">
        <f>IF(I72&lt;=$B$40,J72,NA())</f>
        <v>96.909956324075466</v>
      </c>
      <c r="L72" t="e">
        <f>IF(I72&gt;=$B$40,J72,NA())</f>
        <v>#N/A</v>
      </c>
    </row>
    <row r="73" spans="1:12" x14ac:dyDescent="0.3">
      <c r="A73" s="67"/>
      <c r="B73" s="67"/>
      <c r="C73" s="67"/>
      <c r="D73" s="67"/>
      <c r="E73" s="67"/>
      <c r="F73" s="67"/>
      <c r="G73" s="67"/>
      <c r="I73">
        <v>24214</v>
      </c>
      <c r="J73">
        <f>_xlfn.NORM.DIST(I73,$B$43,$B$44,FALSE)*10000</f>
        <v>100.89947123129404</v>
      </c>
      <c r="K73">
        <f>IF(I73&lt;=$B$40,J73,NA())</f>
        <v>100.89947123129404</v>
      </c>
      <c r="L73" t="e">
        <f>IF(I73&gt;=$B$40,J73,NA())</f>
        <v>#N/A</v>
      </c>
    </row>
    <row r="74" spans="1:12" x14ac:dyDescent="0.3">
      <c r="A74" s="67"/>
      <c r="B74" s="67"/>
      <c r="C74" s="67"/>
      <c r="D74" s="67"/>
      <c r="E74" s="67"/>
      <c r="F74" s="67"/>
      <c r="G74" s="67"/>
      <c r="I74">
        <v>24216</v>
      </c>
      <c r="J74">
        <f>_xlfn.NORM.DIST(I74,$B$43,$B$44,FALSE)*10000</f>
        <v>104.6566136951012</v>
      </c>
      <c r="K74">
        <f>IF(I74&lt;=$B$40,J74,NA())</f>
        <v>104.6566136951012</v>
      </c>
      <c r="L74" t="e">
        <f>IF(I74&gt;=$B$40,J74,NA())</f>
        <v>#N/A</v>
      </c>
    </row>
    <row r="75" spans="1:12" x14ac:dyDescent="0.3">
      <c r="A75" s="67"/>
      <c r="B75" s="67"/>
      <c r="C75" s="67"/>
      <c r="D75" s="67"/>
      <c r="E75" s="67"/>
      <c r="F75" s="67"/>
      <c r="G75" s="67"/>
      <c r="I75">
        <v>24218</v>
      </c>
      <c r="J75">
        <f>_xlfn.NORM.DIST(I75,$B$43,$B$44,FALSE)*10000</f>
        <v>108.14383395769816</v>
      </c>
      <c r="K75">
        <f>IF(I75&lt;=$B$40,J75,NA())</f>
        <v>108.14383395769816</v>
      </c>
      <c r="L75" t="e">
        <f>IF(I75&gt;=$B$40,J75,NA())</f>
        <v>#N/A</v>
      </c>
    </row>
    <row r="76" spans="1:12" x14ac:dyDescent="0.3">
      <c r="A76" s="67"/>
      <c r="B76" s="67"/>
      <c r="C76" s="67"/>
      <c r="D76" s="67"/>
      <c r="E76" s="67"/>
      <c r="F76" s="67"/>
      <c r="G76" s="67"/>
      <c r="I76">
        <v>24220</v>
      </c>
      <c r="J76">
        <f>_xlfn.NORM.DIST(I76,$B$43,$B$44,FALSE)*10000</f>
        <v>111.32536861513749</v>
      </c>
      <c r="K76">
        <f>IF(I76&lt;=$B$40,J76,NA())</f>
        <v>111.32536861513749</v>
      </c>
      <c r="L76" t="e">
        <f>IF(I76&gt;=$B$40,J76,NA())</f>
        <v>#N/A</v>
      </c>
    </row>
    <row r="77" spans="1:12" x14ac:dyDescent="0.3">
      <c r="A77" s="67"/>
      <c r="B77" s="67"/>
      <c r="C77" s="67"/>
      <c r="D77" s="67"/>
      <c r="E77" s="67"/>
      <c r="F77" s="67"/>
      <c r="G77" s="67"/>
      <c r="I77">
        <v>24222</v>
      </c>
      <c r="J77">
        <f>_xlfn.NORM.DIST(I77,$B$43,$B$44,FALSE)*10000</f>
        <v>114.16784855601368</v>
      </c>
      <c r="K77">
        <f>IF(I77&lt;=$B$40,J77,NA())</f>
        <v>114.16784855601368</v>
      </c>
      <c r="L77" t="e">
        <f>IF(I77&gt;=$B$40,J77,NA())</f>
        <v>#N/A</v>
      </c>
    </row>
    <row r="78" spans="1:12" x14ac:dyDescent="0.3">
      <c r="A78" s="67"/>
      <c r="B78" s="67"/>
      <c r="C78" s="67"/>
      <c r="D78" s="67"/>
      <c r="E78" s="67"/>
      <c r="F78" s="67"/>
      <c r="G78" s="67"/>
      <c r="I78">
        <v>24224</v>
      </c>
      <c r="J78">
        <f>_xlfn.NORM.DIST(I78,$B$43,$B$44,FALSE)*10000</f>
        <v>116.64088011153977</v>
      </c>
      <c r="K78">
        <f>IF(I78&lt;=$B$40,J78,NA())</f>
        <v>116.64088011153977</v>
      </c>
      <c r="L78" t="e">
        <f>IF(I78&gt;=$B$40,J78,NA())</f>
        <v>#N/A</v>
      </c>
    </row>
    <row r="79" spans="1:12" x14ac:dyDescent="0.3">
      <c r="I79">
        <v>24226</v>
      </c>
      <c r="J79">
        <f>_xlfn.NORM.DIST(I79,$B$43,$B$44,FALSE)*10000</f>
        <v>118.71758530328951</v>
      </c>
      <c r="K79">
        <f>IF(I79&lt;=$B$40,J79,NA())</f>
        <v>118.71758530328951</v>
      </c>
      <c r="L79" t="e">
        <f>IF(I79&gt;=$B$40,J79,NA())</f>
        <v>#N/A</v>
      </c>
    </row>
    <row r="80" spans="1:12" x14ac:dyDescent="0.3">
      <c r="I80">
        <v>24228</v>
      </c>
      <c r="J80">
        <f>_xlfn.NORM.DIST(I80,$B$43,$B$44,FALSE)*10000</f>
        <v>120.37508778057328</v>
      </c>
      <c r="K80">
        <f>IF(I80&lt;=$B$40,J80,NA())</f>
        <v>120.37508778057328</v>
      </c>
      <c r="L80" t="e">
        <f>IF(I80&gt;=$B$40,J80,NA())</f>
        <v>#N/A</v>
      </c>
    </row>
    <row r="81" spans="9:12" x14ac:dyDescent="0.3">
      <c r="I81">
        <v>24230</v>
      </c>
      <c r="J81">
        <f>_xlfn.NORM.DIST(I81,$B$43,$B$44,FALSE)*10000</f>
        <v>121.59493217175</v>
      </c>
      <c r="K81">
        <f>IF(I81&lt;=$B$40,J81,NA())</f>
        <v>121.59493217175</v>
      </c>
      <c r="L81" t="e">
        <f>IF(I81&gt;=$B$40,J81,NA())</f>
        <v>#N/A</v>
      </c>
    </row>
    <row r="82" spans="9:12" x14ac:dyDescent="0.3">
      <c r="I82">
        <v>24232</v>
      </c>
      <c r="J82">
        <f>_xlfn.NORM.DIST(I82,$B$43,$B$44,FALSE)*10000</f>
        <v>122.36342610403403</v>
      </c>
      <c r="K82">
        <f>IF(I82&lt;=$B$40,J82,NA())</f>
        <v>122.36342610403403</v>
      </c>
      <c r="L82" t="e">
        <f>IF(I82&gt;=$B$40,J82,NA())</f>
        <v>#N/A</v>
      </c>
    </row>
    <row r="83" spans="9:12" x14ac:dyDescent="0.3">
      <c r="I83">
        <v>24234</v>
      </c>
      <c r="J83">
        <f>_xlfn.NORM.DIST(I83,$B$43,$B$44,FALSE)*10000</f>
        <v>122.67189603006805</v>
      </c>
      <c r="K83">
        <f>IF(I83&lt;=$B$40,J83,NA())</f>
        <v>122.67189603006805</v>
      </c>
      <c r="L83" t="e">
        <f>IF(I83&gt;=$B$40,J83,NA())</f>
        <v>#N/A</v>
      </c>
    </row>
    <row r="84" spans="9:12" x14ac:dyDescent="0.3">
      <c r="I84">
        <v>24236</v>
      </c>
      <c r="J84">
        <f>_xlfn.NORM.DIST(I84,$B$43,$B$44,FALSE)*10000</f>
        <v>122.51685017805659</v>
      </c>
      <c r="K84">
        <f>IF(I84&lt;=$B$40,J84,NA())</f>
        <v>122.51685017805659</v>
      </c>
      <c r="L84" t="e">
        <f>IF(I84&gt;=$B$40,J84,NA())</f>
        <v>#N/A</v>
      </c>
    </row>
    <row r="85" spans="9:12" x14ac:dyDescent="0.3">
      <c r="I85">
        <v>24238</v>
      </c>
      <c r="J85">
        <f>_xlfn.NORM.DIST(I85,$B$43,$B$44,FALSE)*10000</f>
        <v>121.90004434496429</v>
      </c>
      <c r="K85">
        <f>IF(I85&lt;=$B$40,J85,NA())</f>
        <v>121.90004434496429</v>
      </c>
      <c r="L85" t="e">
        <f>IF(I85&gt;=$B$40,J85,NA())</f>
        <v>#N/A</v>
      </c>
    </row>
    <row r="86" spans="9:12" x14ac:dyDescent="0.3">
      <c r="I86">
        <v>24240</v>
      </c>
      <c r="J86">
        <f>_xlfn.NORM.DIST(I86,$B$43,$B$44,FALSE)*10000</f>
        <v>120.82844879938254</v>
      </c>
      <c r="K86">
        <f>IF(I86&lt;=$B$40,J86,NA())</f>
        <v>120.82844879938254</v>
      </c>
      <c r="L86" t="e">
        <f>IF(I86&gt;=$B$40,J86,NA())</f>
        <v>#N/A</v>
      </c>
    </row>
    <row r="87" spans="9:12" x14ac:dyDescent="0.3">
      <c r="I87">
        <v>24242</v>
      </c>
      <c r="J87">
        <f>_xlfn.NORM.DIST(I87,$B$43,$B$44,FALSE)*10000</f>
        <v>119.31411716640885</v>
      </c>
      <c r="K87">
        <f>IF(I87&lt;=$B$40,J87,NA())</f>
        <v>119.31411716640885</v>
      </c>
      <c r="L87" t="e">
        <f>IF(I87&gt;=$B$40,J87,NA())</f>
        <v>#N/A</v>
      </c>
    </row>
    <row r="88" spans="9:12" x14ac:dyDescent="0.3">
      <c r="I88" s="27">
        <v>24244</v>
      </c>
      <c r="J88" s="27">
        <f>_xlfn.NORM.DIST(I88,$B$43,$B$44,FALSE)*10000</f>
        <v>117.37396074310058</v>
      </c>
      <c r="K88" s="27">
        <f>IF(I88&lt;=$B$40,J88,NA())</f>
        <v>117.37396074310058</v>
      </c>
      <c r="L88" s="27" t="e">
        <f>IF(I88&gt;=$B$40,J88,NA())</f>
        <v>#N/A</v>
      </c>
    </row>
    <row r="89" spans="9:12" x14ac:dyDescent="0.3">
      <c r="I89">
        <v>24246</v>
      </c>
      <c r="J89">
        <f>_xlfn.NORM.DIST(I89,$B$43,$B$44,FALSE)*10000</f>
        <v>115.0294341528092</v>
      </c>
      <c r="K89">
        <f>IF(I89&lt;=$B$40,J89,NA())</f>
        <v>115.0294341528092</v>
      </c>
      <c r="L89" t="e">
        <f>IF(I89&gt;=$B$40,J89,NA())</f>
        <v>#N/A</v>
      </c>
    </row>
    <row r="90" spans="9:12" x14ac:dyDescent="0.3">
      <c r="I90">
        <v>24248</v>
      </c>
      <c r="J90">
        <f>_xlfn.NORM.DIST(I90,$B$43,$B$44,FALSE)*10000</f>
        <v>112.30614050782775</v>
      </c>
      <c r="K90">
        <f>IF(I90&lt;=$B$40,J90,NA())</f>
        <v>112.30614050782775</v>
      </c>
      <c r="L90" t="e">
        <f>IF(I90&gt;=$B$40,J90,NA())</f>
        <v>#N/A</v>
      </c>
    </row>
    <row r="91" spans="9:12" x14ac:dyDescent="0.3">
      <c r="I91">
        <v>24250</v>
      </c>
      <c r="J91">
        <f>_xlfn.NORM.DIST(I91,$B$43,$B$44,FALSE)*10000</f>
        <v>109.23336623829876</v>
      </c>
      <c r="K91">
        <f>IF(I91&lt;=$B$40,J91,NA())</f>
        <v>109.23336623829876</v>
      </c>
      <c r="L91" t="e">
        <f>IF(I91&gt;=$B$40,J91,NA())</f>
        <v>#N/A</v>
      </c>
    </row>
    <row r="92" spans="9:12" x14ac:dyDescent="0.3">
      <c r="I92">
        <v>24252</v>
      </c>
      <c r="J92">
        <f>_xlfn.NORM.DIST(I92,$B$43,$B$44,FALSE)*10000</f>
        <v>105.84355739833894</v>
      </c>
      <c r="K92">
        <f>IF(I92&lt;=$B$40,J92,NA())</f>
        <v>105.84355739833894</v>
      </c>
      <c r="L92" t="e">
        <f>IF(I92&gt;=$B$40,J92,NA())</f>
        <v>#N/A</v>
      </c>
    </row>
    <row r="93" spans="9:12" x14ac:dyDescent="0.3">
      <c r="I93">
        <v>24254</v>
      </c>
      <c r="J93">
        <f>_xlfn.NORM.DIST(I93,$B$43,$B$44,FALSE)*10000</f>
        <v>102.1717505284745</v>
      </c>
      <c r="K93">
        <f>IF(I93&lt;=$B$40,J93,NA())</f>
        <v>102.1717505284745</v>
      </c>
      <c r="L93" t="e">
        <f>IF(I93&gt;=$B$40,J93,NA())</f>
        <v>#N/A</v>
      </c>
    </row>
    <row r="94" spans="9:12" x14ac:dyDescent="0.3">
      <c r="I94">
        <v>24256</v>
      </c>
      <c r="J94">
        <f>_xlfn.NORM.DIST(I94,$B$43,$B$44,FALSE)*10000</f>
        <v>98.254972002679196</v>
      </c>
      <c r="K94">
        <f>IF(I94&lt;=$B$40,J94,NA())</f>
        <v>98.254972002679196</v>
      </c>
      <c r="L94" t="e">
        <f>IF(I94&gt;=$B$40,J94,NA())</f>
        <v>#N/A</v>
      </c>
    </row>
    <row r="95" spans="9:12" x14ac:dyDescent="0.3">
      <c r="I95">
        <v>24258</v>
      </c>
      <c r="J95">
        <f>_xlfn.NORM.DIST(I95,$B$43,$B$44,FALSE)*10000</f>
        <v>94.13162020085845</v>
      </c>
      <c r="K95">
        <f>IF(I95&lt;=$B$40,J95,NA())</f>
        <v>94.13162020085845</v>
      </c>
      <c r="L95" t="e">
        <f>IF(I95&gt;=$B$40,J95,NA())</f>
        <v>#N/A</v>
      </c>
    </row>
    <row r="96" spans="9:12" x14ac:dyDescent="0.3">
      <c r="I96">
        <v>24260</v>
      </c>
      <c r="J96">
        <f>_xlfn.NORM.DIST(I96,$B$43,$B$44,FALSE)*10000</f>
        <v>89.840844822485082</v>
      </c>
      <c r="K96">
        <f>IF(I96&lt;=$B$40,J96,NA())</f>
        <v>89.840844822485082</v>
      </c>
      <c r="L96" t="e">
        <f>IF(I96&gt;=$B$40,J96,NA())</f>
        <v>#N/A</v>
      </c>
    </row>
    <row r="97" spans="9:12" x14ac:dyDescent="0.3">
      <c r="I97">
        <v>24262</v>
      </c>
      <c r="J97">
        <f>_xlfn.NORM.DIST(I97,$B$43,$B$44,FALSE)*10000</f>
        <v>85.421937209443627</v>
      </c>
      <c r="K97">
        <f>IF(I97&lt;=$B$40,J97,NA())</f>
        <v>85.421937209443627</v>
      </c>
      <c r="L97" t="e">
        <f>IF(I97&gt;=$B$40,J97,NA())</f>
        <v>#N/A</v>
      </c>
    </row>
    <row r="98" spans="9:12" x14ac:dyDescent="0.3">
      <c r="I98">
        <v>24264</v>
      </c>
      <c r="J98">
        <f>_xlfn.NORM.DIST(I98,$B$43,$B$44,FALSE)*10000</f>
        <v>80.913744706242426</v>
      </c>
      <c r="K98">
        <f>IF(I98&lt;=$B$40,J98,NA())</f>
        <v>80.913744706242426</v>
      </c>
      <c r="L98" t="e">
        <f>IF(I98&gt;=$B$40,J98,NA())</f>
        <v>#N/A</v>
      </c>
    </row>
    <row r="99" spans="9:12" x14ac:dyDescent="0.3">
      <c r="I99">
        <v>24266</v>
      </c>
      <c r="J99">
        <f>_xlfn.NORM.DIST(I99,$B$43,$B$44,FALSE)*10000</f>
        <v>76.35412089715085</v>
      </c>
      <c r="K99">
        <f>IF(I99&lt;=$B$40,J99,NA())</f>
        <v>76.35412089715085</v>
      </c>
      <c r="L99" t="e">
        <f>IF(I99&gt;=$B$40,J99,NA())</f>
        <v>#N/A</v>
      </c>
    </row>
    <row r="100" spans="9:12" x14ac:dyDescent="0.3">
      <c r="I100">
        <v>24268</v>
      </c>
      <c r="J100">
        <f>_xlfn.NORM.DIST(I100,$B$43,$B$44,FALSE)*10000</f>
        <v>71.779422077083026</v>
      </c>
      <c r="K100">
        <f>IF(I100&lt;=$B$40,J100,NA())</f>
        <v>71.779422077083026</v>
      </c>
      <c r="L100" t="e">
        <f>IF(I100&gt;=$B$40,J100,NA())</f>
        <v>#N/A</v>
      </c>
    </row>
    <row r="101" spans="9:12" x14ac:dyDescent="0.3">
      <c r="I101">
        <v>24270</v>
      </c>
      <c r="J101">
        <f>_xlfn.NORM.DIST(I101,$B$43,$B$44,FALSE)*10000</f>
        <v>67.22405859905065</v>
      </c>
      <c r="K101">
        <f>IF(I101&lt;=$B$40,J101,NA())</f>
        <v>67.22405859905065</v>
      </c>
      <c r="L101" t="e">
        <f>IF(I101&gt;=$B$40,J101,NA())</f>
        <v>#N/A</v>
      </c>
    </row>
    <row r="102" spans="9:12" x14ac:dyDescent="0.3">
      <c r="I102">
        <v>24272</v>
      </c>
      <c r="J102">
        <f>_xlfn.NORM.DIST(I102,$B$43,$B$44,FALSE)*10000</f>
        <v>62.720107864019198</v>
      </c>
      <c r="K102">
        <f>IF(I102&lt;=$B$40,J102,NA())</f>
        <v>62.720107864019198</v>
      </c>
      <c r="L102" t="e">
        <f>IF(I102&gt;=$B$40,J102,NA())</f>
        <v>#N/A</v>
      </c>
    </row>
    <row r="103" spans="9:12" x14ac:dyDescent="0.3">
      <c r="I103">
        <v>24274</v>
      </c>
      <c r="J103">
        <f>_xlfn.NORM.DIST(I103,$B$43,$B$44,FALSE)*10000</f>
        <v>58.296993749667855</v>
      </c>
      <c r="K103">
        <f>IF(I103&lt;=$B$40,J103,NA())</f>
        <v>58.296993749667855</v>
      </c>
      <c r="L103" t="e">
        <f>IF(I103&gt;=$B$40,J103,NA())</f>
        <v>#N/A</v>
      </c>
    </row>
    <row r="104" spans="9:12" x14ac:dyDescent="0.3">
      <c r="I104">
        <v>24276</v>
      </c>
      <c r="J104">
        <f>_xlfn.NORM.DIST(I104,$B$43,$B$44,FALSE)*10000</f>
        <v>53.981235282911719</v>
      </c>
      <c r="K104">
        <f>IF(I104&lt;=$B$40,J104,NA())</f>
        <v>53.981235282911719</v>
      </c>
      <c r="L104" t="e">
        <f>IF(I104&gt;=$B$40,J104,NA())</f>
        <v>#N/A</v>
      </c>
    </row>
    <row r="105" spans="9:12" x14ac:dyDescent="0.3">
      <c r="I105">
        <v>24278</v>
      </c>
      <c r="J105">
        <f>_xlfn.NORM.DIST(I105,$B$43,$B$44,FALSE)*10000</f>
        <v>49.796265413773426</v>
      </c>
      <c r="K105">
        <f>IF(I105&lt;=$B$40,J105,NA())</f>
        <v>49.796265413773426</v>
      </c>
      <c r="L105" t="e">
        <f>IF(I105&gt;=$B$40,J105,NA())</f>
        <v>#N/A</v>
      </c>
    </row>
    <row r="106" spans="9:12" x14ac:dyDescent="0.3">
      <c r="I106">
        <v>24280</v>
      </c>
      <c r="J106">
        <f>_xlfn.NORM.DIST(I106,$B$43,$B$44,FALSE)*10000</f>
        <v>45.762318906127952</v>
      </c>
      <c r="K106">
        <f>IF(I106&lt;=$B$40,J106,NA())</f>
        <v>45.762318906127952</v>
      </c>
      <c r="L106" t="e">
        <f>IF(I106&gt;=$B$40,J106,NA())</f>
        <v>#N/A</v>
      </c>
    </row>
    <row r="107" spans="9:12" x14ac:dyDescent="0.3">
      <c r="I107">
        <v>24282</v>
      </c>
      <c r="J107">
        <f>_xlfn.NORM.DIST(I107,$B$43,$B$44,FALSE)*10000</f>
        <v>41.896386676946399</v>
      </c>
      <c r="K107">
        <f>IF(I107&lt;=$B$40,J107,NA())</f>
        <v>41.896386676946399</v>
      </c>
      <c r="L107" t="e">
        <f>IF(I107&gt;=$B$40,J107,NA())</f>
        <v>#N/A</v>
      </c>
    </row>
    <row r="108" spans="9:12" x14ac:dyDescent="0.3">
      <c r="I108">
        <v>24284</v>
      </c>
      <c r="J108">
        <f>_xlfn.NORM.DIST(I108,$B$43,$B$44,FALSE)*10000</f>
        <v>38.21223243343514</v>
      </c>
      <c r="K108">
        <f>IF(I108&lt;=$B$40,J108,NA())</f>
        <v>38.21223243343514</v>
      </c>
      <c r="L108" t="e">
        <f>IF(I108&gt;=$B$40,J108,NA())</f>
        <v>#N/A</v>
      </c>
    </row>
    <row r="109" spans="9:12" x14ac:dyDescent="0.3">
      <c r="I109">
        <v>24286</v>
      </c>
      <c r="J109">
        <f>_xlfn.NORM.DIST(I109,$B$43,$B$44,FALSE)*10000</f>
        <v>34.720466209901019</v>
      </c>
      <c r="K109">
        <f>IF(I109&lt;=$B$40,J109,NA())</f>
        <v>34.720466209901019</v>
      </c>
      <c r="L109" t="e">
        <f>IF(I109&gt;=$B$40,J109,NA())</f>
        <v>#N/A</v>
      </c>
    </row>
    <row r="110" spans="9:12" x14ac:dyDescent="0.3">
      <c r="I110">
        <v>24288</v>
      </c>
      <c r="J110">
        <f>_xlfn.NORM.DIST(I110,$B$43,$B$44,FALSE)*10000</f>
        <v>31.428668415245824</v>
      </c>
      <c r="K110">
        <f>IF(I110&lt;=$B$40,J110,NA())</f>
        <v>31.428668415245824</v>
      </c>
      <c r="L110" t="e">
        <f>IF(I110&gt;=$B$40,J110,NA())</f>
        <v>#N/A</v>
      </c>
    </row>
    <row r="111" spans="9:12" x14ac:dyDescent="0.3">
      <c r="I111">
        <v>24290</v>
      </c>
      <c r="J111">
        <f>_xlfn.NORM.DIST(I111,$B$43,$B$44,FALSE)*10000</f>
        <v>28.341557278656204</v>
      </c>
      <c r="K111">
        <f>IF(I111&lt;=$B$40,J111,NA())</f>
        <v>28.341557278656204</v>
      </c>
      <c r="L111" t="e">
        <f>IF(I111&gt;=$B$40,J111,NA())</f>
        <v>#N/A</v>
      </c>
    </row>
    <row r="112" spans="9:12" x14ac:dyDescent="0.3">
      <c r="I112">
        <v>24292</v>
      </c>
      <c r="J112">
        <f>_xlfn.NORM.DIST(I112,$B$43,$B$44,FALSE)*10000</f>
        <v>25.461192125708685</v>
      </c>
      <c r="K112">
        <f>IF(I112&lt;=$B$40,J112,NA())</f>
        <v>25.461192125708685</v>
      </c>
      <c r="L112" t="e">
        <f>IF(I112&gt;=$B$40,J112,NA())</f>
        <v>#N/A</v>
      </c>
    </row>
    <row r="113" spans="9:12" x14ac:dyDescent="0.3">
      <c r="I113">
        <v>24294</v>
      </c>
      <c r="J113">
        <f>_xlfn.NORM.DIST(I113,$B$43,$B$44,FALSE)*10000</f>
        <v>22.787204720503723</v>
      </c>
      <c r="K113">
        <f>IF(I113&lt;=$B$40,J113,NA())</f>
        <v>22.787204720503723</v>
      </c>
      <c r="L113" t="e">
        <f>IF(I113&gt;=$B$40,J113,NA())</f>
        <v>#N/A</v>
      </c>
    </row>
    <row r="114" spans="9:12" x14ac:dyDescent="0.3">
      <c r="I114">
        <v>24296</v>
      </c>
      <c r="J114">
        <f>_xlfn.NORM.DIST(I114,$B$43,$B$44,FALSE)*10000</f>
        <v>20.31705095389049</v>
      </c>
      <c r="K114">
        <f>IF(I114&lt;=$B$40,J114,NA())</f>
        <v>20.31705095389049</v>
      </c>
      <c r="L114" t="e">
        <f>IF(I114&gt;=$B$40,J114,NA())</f>
        <v>#N/A</v>
      </c>
    </row>
    <row r="115" spans="9:12" x14ac:dyDescent="0.3">
      <c r="I115">
        <v>24298</v>
      </c>
      <c r="J115">
        <f>_xlfn.NORM.DIST(I115,$B$43,$B$44,FALSE)*10000</f>
        <v>18.04627541871438</v>
      </c>
      <c r="K115">
        <f>IF(I115&lt;=$B$40,J115,NA())</f>
        <v>18.04627541871438</v>
      </c>
      <c r="L115" t="e">
        <f>IF(I115&gt;=$B$40,J115,NA())</f>
        <v>#N/A</v>
      </c>
    </row>
    <row r="116" spans="9:12" x14ac:dyDescent="0.3">
      <c r="I116">
        <v>24300</v>
      </c>
      <c r="J116">
        <f>_xlfn.NORM.DIST(I116,$B$43,$B$44,FALSE)*10000</f>
        <v>15.96878186036146</v>
      </c>
      <c r="K116">
        <f>IF(I116&lt;=$B$40,J116,NA())</f>
        <v>15.96878186036146</v>
      </c>
      <c r="L116">
        <f>IF(I116&gt;=$B$40,J116,NA())</f>
        <v>15.96878186036146</v>
      </c>
    </row>
    <row r="117" spans="9:12" x14ac:dyDescent="0.3">
      <c r="I117">
        <v>24302</v>
      </c>
      <c r="J117">
        <f>_xlfn.NORM.DIST(I117,$B$43,$B$44,FALSE)*10000</f>
        <v>14.077103091128265</v>
      </c>
      <c r="K117" t="e">
        <f>IF(I117&lt;=$B$40,J117,NA())</f>
        <v>#N/A</v>
      </c>
      <c r="L117">
        <f>IF(I117&gt;=$B$40,J117,NA())</f>
        <v>14.077103091128265</v>
      </c>
    </row>
    <row r="118" spans="9:12" x14ac:dyDescent="0.3">
      <c r="I118">
        <v>24304</v>
      </c>
      <c r="J118">
        <f>_xlfn.NORM.DIST(I118,$B$43,$B$44,FALSE)*10000</f>
        <v>12.362664674627929</v>
      </c>
      <c r="K118" t="e">
        <f>IF(I118&lt;=$B$40,J118,NA())</f>
        <v>#N/A</v>
      </c>
      <c r="L118">
        <f>IF(I118&gt;=$B$40,J118,NA())</f>
        <v>12.362664674627929</v>
      </c>
    </row>
    <row r="119" spans="9:12" x14ac:dyDescent="0.3">
      <c r="I119">
        <v>24306</v>
      </c>
      <c r="J119">
        <f>_xlfn.NORM.DIST(I119,$B$43,$B$44,FALSE)*10000</f>
        <v>10.816037485733267</v>
      </c>
      <c r="K119" t="e">
        <f>IF(I119&lt;=$B$40,J119,NA())</f>
        <v>#N/A</v>
      </c>
      <c r="L119">
        <f>IF(I119&gt;=$B$40,J119,NA())</f>
        <v>10.816037485733267</v>
      </c>
    </row>
    <row r="120" spans="9:12" x14ac:dyDescent="0.3">
      <c r="I120">
        <v>24308</v>
      </c>
      <c r="J120">
        <f>_xlfn.NORM.DIST(I120,$B$43,$B$44,FALSE)*10000</f>
        <v>9.4271750977357005</v>
      </c>
      <c r="K120" t="e">
        <f>IF(I120&lt;=$B$40,J120,NA())</f>
        <v>#N/A</v>
      </c>
      <c r="L120">
        <f>IF(I120&gt;=$B$40,J120,NA())</f>
        <v>9.4271750977357005</v>
      </c>
    </row>
    <row r="121" spans="9:12" x14ac:dyDescent="0.3">
      <c r="I121">
        <v>24310</v>
      </c>
      <c r="J121">
        <f>_xlfn.NORM.DIST(I121,$B$43,$B$44,FALSE)*10000</f>
        <v>8.1856328090709418</v>
      </c>
      <c r="K121" t="e">
        <f>IF(I121&lt;=$B$40,J121,NA())</f>
        <v>#N/A</v>
      </c>
      <c r="L121">
        <f>IF(I121&gt;=$B$40,J121,NA())</f>
        <v>8.1856328090709418</v>
      </c>
    </row>
    <row r="122" spans="9:12" x14ac:dyDescent="0.3">
      <c r="I122">
        <v>24312</v>
      </c>
      <c r="J122">
        <f>_xlfn.NORM.DIST(I122,$B$43,$B$44,FALSE)*10000</f>
        <v>7.0807659680502022</v>
      </c>
      <c r="K122" t="e">
        <f>IF(I122&lt;=$B$40,J122,NA())</f>
        <v>#N/A</v>
      </c>
      <c r="L122">
        <f>IF(I122&gt;=$B$40,J122,NA())</f>
        <v>7.0807659680502022</v>
      </c>
    </row>
    <row r="123" spans="9:12" x14ac:dyDescent="0.3">
      <c r="I123">
        <v>24314</v>
      </c>
      <c r="J123">
        <f>_xlfn.NORM.DIST(I123,$B$43,$B$44,FALSE)*10000</f>
        <v>6.1019060605034534</v>
      </c>
      <c r="K123" t="e">
        <f>IF(I123&lt;=$B$40,J123,NA())</f>
        <v>#N/A</v>
      </c>
      <c r="L123">
        <f>IF(I123&gt;=$B$40,J123,NA())</f>
        <v>6.1019060605034534</v>
      </c>
    </row>
    <row r="124" spans="9:12" x14ac:dyDescent="0.3">
      <c r="I124">
        <v>24316</v>
      </c>
      <c r="J124">
        <f>_xlfn.NORM.DIST(I124,$B$43,$B$44,FALSE)*10000</f>
        <v>5.2385137715730075</v>
      </c>
      <c r="K124" t="e">
        <f>IF(I124&lt;=$B$40,J124,NA())</f>
        <v>#N/A</v>
      </c>
      <c r="L124">
        <f>IF(I124&gt;=$B$40,J124,NA())</f>
        <v>5.2385137715730075</v>
      </c>
    </row>
    <row r="125" spans="9:12" x14ac:dyDescent="0.3">
      <c r="I125">
        <v>24318</v>
      </c>
      <c r="J125">
        <f>_xlfn.NORM.DIST(I125,$B$43,$B$44,FALSE)*10000</f>
        <v>4.4803089033110339</v>
      </c>
      <c r="K125" t="e">
        <f>IF(I125&lt;=$B$40,J125,NA())</f>
        <v>#N/A</v>
      </c>
      <c r="L125">
        <f>IF(I125&gt;=$B$40,J125,NA())</f>
        <v>4.4803089033110339</v>
      </c>
    </row>
    <row r="126" spans="9:12" x14ac:dyDescent="0.3">
      <c r="I126">
        <v>24320</v>
      </c>
      <c r="J126">
        <f>_xlfn.NORM.DIST(I126,$B$43,$B$44,FALSE)*10000</f>
        <v>3.8173776131880839</v>
      </c>
      <c r="K126" t="e">
        <f>IF(I126&lt;=$B$40,J126,NA())</f>
        <v>#N/A</v>
      </c>
      <c r="L126">
        <f>IF(I126&gt;=$B$40,J126,NA())</f>
        <v>3.8173776131880839</v>
      </c>
    </row>
    <row r="127" spans="9:12" x14ac:dyDescent="0.3">
      <c r="I127">
        <v>24322</v>
      </c>
      <c r="J127">
        <f>_xlfn.NORM.DIST(I127,$B$43,$B$44,FALSE)*10000</f>
        <v>3.2402579285940738</v>
      </c>
      <c r="K127" t="e">
        <f>IF(I127&lt;=$B$40,J127,NA())</f>
        <v>#N/A</v>
      </c>
      <c r="L127">
        <f>IF(I127&gt;=$B$40,J127,NA())</f>
        <v>3.2402579285940738</v>
      </c>
    </row>
    <row r="128" spans="9:12" x14ac:dyDescent="0.3">
      <c r="I128">
        <v>24324</v>
      </c>
      <c r="J128">
        <f>_xlfn.NORM.DIST(I128,$B$43,$B$44,FALSE)*10000</f>
        <v>2.7400048865538542</v>
      </c>
      <c r="K128" t="e">
        <f>IF(I128&lt;=$B$40,J128,NA())</f>
        <v>#N/A</v>
      </c>
      <c r="L128">
        <f>IF(I128&gt;=$B$40,J128,NA())</f>
        <v>2.7400048865538542</v>
      </c>
    </row>
    <row r="129" spans="9:12" x14ac:dyDescent="0.3">
      <c r="I129">
        <v>24326</v>
      </c>
      <c r="J129">
        <f>_xlfn.NORM.DIST(I129,$B$43,$B$44,FALSE)*10000</f>
        <v>2.3082369475053683</v>
      </c>
      <c r="K129" t="e">
        <f>IF(I129&lt;=$B$40,J129,NA())</f>
        <v>#N/A</v>
      </c>
      <c r="L129">
        <f>IF(I129&gt;=$B$40,J129,NA())</f>
        <v>2.3082369475053683</v>
      </c>
    </row>
    <row r="130" spans="9:12" x14ac:dyDescent="0.3">
      <c r="I130">
        <v>24328</v>
      </c>
      <c r="J130">
        <f>_xlfn.NORM.DIST(I130,$B$43,$B$44,FALSE)*10000</f>
        <v>1.9371655415157343</v>
      </c>
      <c r="K130" t="e">
        <f>IF(I130&lt;=$B$40,J130,NA())</f>
        <v>#N/A</v>
      </c>
      <c r="L130">
        <f>IF(I130&gt;=$B$40,J130,NA())</f>
        <v>1.9371655415157343</v>
      </c>
    </row>
    <row r="131" spans="9:12" x14ac:dyDescent="0.3">
      <c r="I131">
        <v>24330</v>
      </c>
      <c r="J131">
        <f>_xlfn.NORM.DIST(I131,$B$43,$B$44,FALSE)*10000</f>
        <v>1.619609731633801</v>
      </c>
      <c r="K131" t="e">
        <f>IF(I131&lt;=$B$40,J131,NA())</f>
        <v>#N/A</v>
      </c>
      <c r="L131">
        <f>IF(I131&gt;=$B$40,J131,NA())</f>
        <v>1.619609731633801</v>
      </c>
    </row>
    <row r="132" spans="9:12" x14ac:dyDescent="0.3">
      <c r="I132">
        <v>24332</v>
      </c>
      <c r="J132">
        <f>_xlfn.NORM.DIST(I132,$B$43,$B$44,FALSE)*10000</f>
        <v>1.3489980309360894</v>
      </c>
      <c r="K132" t="e">
        <f>IF(I132&lt;=$B$40,J132,NA())</f>
        <v>#N/A</v>
      </c>
      <c r="L132">
        <f>IF(I132&gt;=$B$40,J132,NA())</f>
        <v>1.3489980309360894</v>
      </c>
    </row>
    <row r="133" spans="9:12" x14ac:dyDescent="0.3">
      <c r="I133">
        <v>24334</v>
      </c>
      <c r="J133">
        <f>_xlfn.NORM.DIST(I133,$B$43,$B$44,FALSE)*10000</f>
        <v>1.1193593971871301</v>
      </c>
      <c r="K133" t="e">
        <f>IF(I133&lt;=$B$40,J133,NA())</f>
        <v>#N/A</v>
      </c>
      <c r="L133">
        <f>IF(I133&gt;=$B$40,J133,NA())</f>
        <v>1.1193593971871301</v>
      </c>
    </row>
    <row r="134" spans="9:12" x14ac:dyDescent="0.3">
      <c r="I134">
        <v>24336</v>
      </c>
      <c r="J134">
        <f>_xlfn.NORM.DIST(I134,$B$43,$B$44,FALSE)*10000</f>
        <v>0.92530536253681706</v>
      </c>
      <c r="K134" t="e">
        <f>IF(I134&lt;=$B$40,J134,NA())</f>
        <v>#N/A</v>
      </c>
      <c r="L134">
        <f>IF(I134&gt;=$B$40,J134,NA())</f>
        <v>0.92530536253681706</v>
      </c>
    </row>
    <row r="135" spans="9:12" x14ac:dyDescent="0.3">
      <c r="I135">
        <v>24338</v>
      </c>
      <c r="J135">
        <f>_xlfn.NORM.DIST(I135,$B$43,$B$44,FALSE)*10000</f>
        <v>0.76200514610088577</v>
      </c>
      <c r="K135" t="e">
        <f>IF(I135&lt;=$B$40,J135,NA())</f>
        <v>#N/A</v>
      </c>
      <c r="L135">
        <f>IF(I135&gt;=$B$40,J135,NA())</f>
        <v>0.76200514610088577</v>
      </c>
    </row>
    <row r="136" spans="9:12" x14ac:dyDescent="0.3">
      <c r="I136">
        <v>24340</v>
      </c>
      <c r="J136">
        <f>_xlfn.NORM.DIST(I136,$B$43,$B$44,FALSE)*10000</f>
        <v>0.62515545512002546</v>
      </c>
      <c r="K136" t="e">
        <f>IF(I136&lt;=$B$40,J136,NA())</f>
        <v>#N/A</v>
      </c>
      <c r="L136">
        <f>IF(I136&gt;=$B$40,J136,NA())</f>
        <v>0.62515545512002546</v>
      </c>
    </row>
    <row r="137" spans="9:12" x14ac:dyDescent="0.3">
      <c r="I137">
        <v>24342</v>
      </c>
      <c r="J137">
        <f>_xlfn.NORM.DIST(I137,$B$43,$B$44,FALSE)*10000</f>
        <v>0.51094651554153847</v>
      </c>
      <c r="K137" t="e">
        <f>IF(I137&lt;=$B$40,J137,NA())</f>
        <v>#N/A</v>
      </c>
      <c r="L137">
        <f>IF(I137&gt;=$B$40,J137,NA())</f>
        <v>0.51094651554153847</v>
      </c>
    </row>
    <row r="138" spans="9:12" x14ac:dyDescent="0.3">
      <c r="I138">
        <v>24344</v>
      </c>
      <c r="J138">
        <f>_xlfn.NORM.DIST(I138,$B$43,$B$44,FALSE)*10000</f>
        <v>0.41602569429026393</v>
      </c>
      <c r="K138" t="e">
        <f>IF(I138&lt;=$B$40,J138,NA())</f>
        <v>#N/A</v>
      </c>
      <c r="L138">
        <f>IF(I138&gt;=$B$40,J138,NA())</f>
        <v>0.41602569429026393</v>
      </c>
    </row>
    <row r="139" spans="9:12" x14ac:dyDescent="0.3">
      <c r="I139">
        <v>24346</v>
      </c>
      <c r="J139">
        <f>_xlfn.NORM.DIST(I139,$B$43,$B$44,FALSE)*10000</f>
        <v>0.33745989108644436</v>
      </c>
      <c r="K139" t="e">
        <f>IF(I139&lt;=$B$40,J139,NA())</f>
        <v>#N/A</v>
      </c>
      <c r="L139">
        <f>IF(I139&gt;=$B$40,J139,NA())</f>
        <v>0.33745989108644436</v>
      </c>
    </row>
    <row r="140" spans="9:12" x14ac:dyDescent="0.3">
      <c r="I140">
        <v>24348</v>
      </c>
      <c r="J140">
        <f>_xlfn.NORM.DIST(I140,$B$43,$B$44,FALSE)*10000</f>
        <v>0.27269769413111655</v>
      </c>
      <c r="K140" t="e">
        <f>IF(I140&lt;=$B$40,J140,NA())</f>
        <v>#N/A</v>
      </c>
      <c r="L140">
        <f>IF(I140&gt;=$B$40,J140,NA())</f>
        <v>0.27269769413111655</v>
      </c>
    </row>
    <row r="141" spans="9:12" x14ac:dyDescent="0.3">
      <c r="I141">
        <v>24350</v>
      </c>
      <c r="J141">
        <f>_xlfn.NORM.DIST(I141,$B$43,$B$44,FALSE)*10000</f>
        <v>0.21953211678798024</v>
      </c>
      <c r="K141" t="e">
        <f>IF(I141&lt;=$B$40,J141,NA())</f>
        <v>#N/A</v>
      </c>
      <c r="L141">
        <f>IF(I141&gt;=$B$40,J141,NA())</f>
        <v>0.21953211678798024</v>
      </c>
    </row>
    <row r="142" spans="9:12" x14ac:dyDescent="0.3">
      <c r="I142">
        <v>24352</v>
      </c>
      <c r="J142">
        <f>_xlfn.NORM.DIST(I142,$B$43,$B$44,FALSE)*10000</f>
        <v>0.1760645658050122</v>
      </c>
      <c r="K142" t="e">
        <f>IF(I142&lt;=$B$40,J142,NA())</f>
        <v>#N/A</v>
      </c>
      <c r="L142">
        <f>IF(I142&gt;=$B$40,J142,NA())</f>
        <v>0.1760645658050122</v>
      </c>
    </row>
    <row r="143" spans="9:12" x14ac:dyDescent="0.3">
      <c r="I143">
        <v>24354</v>
      </c>
      <c r="J143">
        <f>_xlfn.NORM.DIST(I143,$B$43,$B$44,FALSE)*10000</f>
        <v>0.14067053875014796</v>
      </c>
      <c r="K143" t="e">
        <f>IF(I143&lt;=$B$40,J143,NA())</f>
        <v>#N/A</v>
      </c>
      <c r="L143">
        <f>IF(I143&gt;=$B$40,J143,NA())</f>
        <v>0.14067053875014796</v>
      </c>
    </row>
    <row r="144" spans="9:12" x14ac:dyDescent="0.3">
      <c r="I144">
        <v>24356</v>
      </c>
      <c r="J144">
        <f>_xlfn.NORM.DIST(I144,$B$43,$B$44,FALSE)*10000</f>
        <v>0.11196741124302871</v>
      </c>
      <c r="K144" t="e">
        <f>IF(I144&lt;=$B$40,J144,NA())</f>
        <v>#N/A</v>
      </c>
      <c r="L144">
        <f>IF(I144&gt;=$B$40,J144,NA())</f>
        <v>0.11196741124302871</v>
      </c>
    </row>
    <row r="145" spans="9:12" x14ac:dyDescent="0.3">
      <c r="I145">
        <v>24358</v>
      </c>
      <c r="J145">
        <f>_xlfn.NORM.DIST(I145,$B$43,$B$44,FALSE)*10000</f>
        <v>8.8784554380627961E-2</v>
      </c>
      <c r="K145" t="e">
        <f>IF(I145&lt;=$B$40,J145,NA())</f>
        <v>#N/A</v>
      </c>
      <c r="L145">
        <f>IF(I145&gt;=$B$40,J145,NA())</f>
        <v>8.8784554380627961E-2</v>
      </c>
    </row>
    <row r="146" spans="9:12" x14ac:dyDescent="0.3">
      <c r="I146">
        <v>24360</v>
      </c>
      <c r="J146">
        <f>_xlfn.NORM.DIST(I146,$B$43,$B$44,FALSE)*10000</f>
        <v>7.0135919818744258E-2</v>
      </c>
      <c r="K146" t="e">
        <f>IF(I146&lt;=$B$40,J146,NA())</f>
        <v>#N/A</v>
      </c>
      <c r="L146">
        <f>IF(I146&gt;=$B$40,J146,NA())</f>
        <v>7.0135919818744258E-2</v>
      </c>
    </row>
    <row r="147" spans="9:12" x14ac:dyDescent="0.3">
      <c r="I147">
        <v>24362</v>
      </c>
      <c r="J147">
        <f>_xlfn.NORM.DIST(I147,$B$43,$B$44,FALSE)*10000</f>
        <v>5.5195143975142025E-2</v>
      </c>
      <c r="K147" t="e">
        <f>IF(I147&lt;=$B$40,J147,NA())</f>
        <v>#N/A</v>
      </c>
      <c r="L147">
        <f>IF(I147&gt;=$B$40,J147,NA())</f>
        <v>5.5195143975142025E-2</v>
      </c>
    </row>
    <row r="148" spans="9:12" x14ac:dyDescent="0.3">
      <c r="I148">
        <v>24364</v>
      </c>
      <c r="J148">
        <f>_xlfn.NORM.DIST(I148,$B$43,$B$44,FALSE)*10000</f>
        <v>4.3273152946301345E-2</v>
      </c>
      <c r="K148" t="e">
        <f>IF(I148&lt;=$B$40,J148,NA())</f>
        <v>#N/A</v>
      </c>
      <c r="L148">
        <f>IF(I148&gt;=$B$40,J148,NA())</f>
        <v>4.3273152946301345E-2</v>
      </c>
    </row>
    <row r="149" spans="9:12" x14ac:dyDescent="0.3">
      <c r="I149">
        <v>24366</v>
      </c>
      <c r="J149">
        <f>_xlfn.NORM.DIST(I149,$B$43,$B$44,FALSE)*10000</f>
        <v>3.3798194785571521E-2</v>
      </c>
      <c r="K149" t="e">
        <f>IF(I149&lt;=$B$40,J149,NA())</f>
        <v>#N/A</v>
      </c>
      <c r="L149">
        <f>IF(I149&gt;=$B$40,J149,NA())</f>
        <v>3.3798194785571521E-2</v>
      </c>
    </row>
    <row r="150" spans="9:12" x14ac:dyDescent="0.3">
      <c r="I150">
        <v>24368</v>
      </c>
      <c r="J150">
        <f>_xlfn.NORM.DIST(I150,$B$43,$B$44,FALSE)*10000</f>
        <v>2.6298184328641224E-2</v>
      </c>
      <c r="K150" t="e">
        <f>IF(I150&lt;=$B$40,J150,NA())</f>
        <v>#N/A</v>
      </c>
      <c r="L150">
        <f>IF(I150&gt;=$B$40,J150,NA())</f>
        <v>2.6298184328641224E-2</v>
      </c>
    </row>
    <row r="151" spans="9:12" x14ac:dyDescent="0.3">
      <c r="I151">
        <v>24370</v>
      </c>
      <c r="J151">
        <f>_xlfn.NORM.DIST(I151,$B$43,$B$44,FALSE)*10000</f>
        <v>2.0385216176993123E-2</v>
      </c>
      <c r="K151" t="e">
        <f>IF(I151&lt;=$B$40,J151,NA())</f>
        <v>#N/A</v>
      </c>
      <c r="L151">
        <f>IF(I151&gt;=$B$40,J151,NA())</f>
        <v>2.0385216176993123E-2</v>
      </c>
    </row>
    <row r="152" spans="9:12" x14ac:dyDescent="0.3">
      <c r="I152">
        <v>24372</v>
      </c>
      <c r="J152">
        <f>_xlfn.NORM.DIST(I152,$B$43,$B$44,FALSE)*10000</f>
        <v>1.5742082107388145E-2</v>
      </c>
      <c r="K152" t="e">
        <f>IF(I152&lt;=$B$40,J152,NA())</f>
        <v>#N/A</v>
      </c>
      <c r="L152">
        <f>IF(I152&gt;=$B$40,J152,NA())</f>
        <v>1.5742082107388145E-2</v>
      </c>
    </row>
    <row r="153" spans="9:12" x14ac:dyDescent="0.3">
      <c r="I153">
        <v>24374</v>
      </c>
      <c r="J153">
        <f>_xlfn.NORM.DIST(I153,$B$43,$B$44,FALSE)*10000</f>
        <v>1.2110618426263205E-2</v>
      </c>
      <c r="K153" t="e">
        <f>IF(I153&lt;=$B$40,J153,NA())</f>
        <v>#N/A</v>
      </c>
      <c r="L153">
        <f>IF(I153&gt;=$B$40,J153,NA())</f>
        <v>1.2110618426263205E-2</v>
      </c>
    </row>
    <row r="154" spans="9:12" x14ac:dyDescent="0.3">
      <c r="I154">
        <v>24376</v>
      </c>
      <c r="J154">
        <f>_xlfn.NORM.DIST(I154,$B$43,$B$44,FALSE)*10000</f>
        <v>9.2817050647745758E-3</v>
      </c>
      <c r="K154" t="e">
        <f>IF(I154&lt;=$B$40,J154,NA())</f>
        <v>#N/A</v>
      </c>
      <c r="L154">
        <f>IF(I154&gt;=$B$40,J154,NA())</f>
        <v>9.2817050647745758E-3</v>
      </c>
    </row>
    <row r="155" spans="9:12" x14ac:dyDescent="0.3">
      <c r="I155">
        <v>24378</v>
      </c>
      <c r="J155">
        <f>_xlfn.NORM.DIST(I155,$B$43,$B$44,FALSE)*10000</f>
        <v>7.086740058902561E-3</v>
      </c>
      <c r="K155" t="e">
        <f>IF(I155&lt;=$B$40,J155,NA())</f>
        <v>#N/A</v>
      </c>
      <c r="L155">
        <f>IF(I155&gt;=$B$40,J155,NA())</f>
        <v>7.086740058902561E-3</v>
      </c>
    </row>
    <row r="156" spans="9:12" x14ac:dyDescent="0.3">
      <c r="I156">
        <v>24380</v>
      </c>
      <c r="J156">
        <f>_xlfn.NORM.DIST(I156,$B$43,$B$44,FALSE)*10000</f>
        <v>5.3904191665369488E-3</v>
      </c>
      <c r="K156" t="e">
        <f>IF(I156&lt;=$B$40,J156,NA())</f>
        <v>#N/A</v>
      </c>
      <c r="L156">
        <f>IF(I156&gt;=$B$40,J156,NA())</f>
        <v>5.3904191665369488E-3</v>
      </c>
    </row>
    <row r="157" spans="9:12" x14ac:dyDescent="0.3">
      <c r="I157">
        <v>24382</v>
      </c>
      <c r="J157">
        <f>_xlfn.NORM.DIST(I157,$B$43,$B$44,FALSE)*10000</f>
        <v>4.0846595839386058E-3</v>
      </c>
      <c r="K157" t="e">
        <f>IF(I157&lt;=$B$40,J157,NA())</f>
        <v>#N/A</v>
      </c>
      <c r="L157">
        <f>IF(I157&gt;=$B$40,J157,NA())</f>
        <v>4.0846595839386058E-3</v>
      </c>
    </row>
    <row r="158" spans="9:12" x14ac:dyDescent="0.3">
      <c r="I158">
        <v>24384</v>
      </c>
      <c r="J158">
        <f>_xlfn.NORM.DIST(I158,$B$43,$B$44,FALSE)*10000</f>
        <v>3.0835180448733207E-3</v>
      </c>
      <c r="K158" t="e">
        <f>IF(I158&lt;=$B$40,J158,NA())</f>
        <v>#N/A</v>
      </c>
      <c r="L158">
        <f>IF(I158&gt;=$B$40,J158,NA())</f>
        <v>3.0835180448733207E-3</v>
      </c>
    </row>
    <row r="159" spans="9:12" x14ac:dyDescent="0.3">
      <c r="I159">
        <v>24386</v>
      </c>
      <c r="J159">
        <f>_xlfn.NORM.DIST(I159,$B$43,$B$44,FALSE)*10000</f>
        <v>2.3189661860473108E-3</v>
      </c>
      <c r="K159" t="e">
        <f>IF(I159&lt;=$B$40,J159,NA())</f>
        <v>#N/A</v>
      </c>
      <c r="L159">
        <f>IF(I159&gt;=$B$40,J159,NA())</f>
        <v>2.3189661860473108E-3</v>
      </c>
    </row>
    <row r="160" spans="9:12" x14ac:dyDescent="0.3">
      <c r="I160">
        <v>24388</v>
      </c>
      <c r="J160">
        <f>_xlfn.NORM.DIST(I160,$B$43,$B$44,FALSE)*10000</f>
        <v>1.737399265073276E-3</v>
      </c>
      <c r="K160" t="e">
        <f>IF(I160&lt;=$B$40,J160,NA())</f>
        <v>#N/A</v>
      </c>
      <c r="L160">
        <f>IF(I160&gt;=$B$40,J160,NA())</f>
        <v>1.737399265073276E-3</v>
      </c>
    </row>
    <row r="161" spans="9:12" x14ac:dyDescent="0.3">
      <c r="I161">
        <v>24390</v>
      </c>
      <c r="J161">
        <f>_xlfn.NORM.DIST(I161,$B$43,$B$44,FALSE)*10000</f>
        <v>1.2967675867336459E-3</v>
      </c>
      <c r="K161" t="e">
        <f>IF(I161&lt;=$B$40,J161,NA())</f>
        <v>#N/A</v>
      </c>
      <c r="L161">
        <f>IF(I161&gt;=$B$40,J161,NA())</f>
        <v>1.2967675867336459E-3</v>
      </c>
    </row>
    <row r="162" spans="9:12" x14ac:dyDescent="0.3">
      <c r="I162">
        <v>24392</v>
      </c>
      <c r="J162">
        <f>_xlfn.NORM.DIST(I162,$B$43,$B$44,FALSE)*10000</f>
        <v>9.6423292158196426E-4</v>
      </c>
      <c r="K162" t="e">
        <f>IF(I162&lt;=$B$40,J162,NA())</f>
        <v>#N/A</v>
      </c>
      <c r="L162">
        <f>IF(I162&gt;=$B$40,J162,NA())</f>
        <v>9.6423292158196426E-4</v>
      </c>
    </row>
    <row r="163" spans="9:12" x14ac:dyDescent="0.3">
      <c r="I163">
        <v>24394</v>
      </c>
      <c r="J163">
        <f>_xlfn.NORM.DIST(I163,$B$43,$B$44,FALSE)*10000</f>
        <v>7.1426449069148738E-4</v>
      </c>
      <c r="K163" t="e">
        <f>IF(I163&lt;=$B$40,J163,NA())</f>
        <v>#N/A</v>
      </c>
      <c r="L163">
        <f>IF(I163&gt;=$B$40,J163,NA())</f>
        <v>7.1426449069148738E-4</v>
      </c>
    </row>
    <row r="164" spans="9:12" x14ac:dyDescent="0.3">
      <c r="I164">
        <v>24396</v>
      </c>
      <c r="J164">
        <f>_xlfn.NORM.DIST(I164,$B$43,$B$44,FALSE)*10000</f>
        <v>5.2710053876644733E-4</v>
      </c>
      <c r="K164" t="e">
        <f>IF(I164&lt;=$B$40,J164,NA())</f>
        <v>#N/A</v>
      </c>
      <c r="L164">
        <f>IF(I164&gt;=$B$40,J164,NA())</f>
        <v>5.2710053876644733E-4</v>
      </c>
    </row>
    <row r="165" spans="9:12" x14ac:dyDescent="0.3">
      <c r="I165">
        <v>24398</v>
      </c>
      <c r="J165">
        <f>_xlfn.NORM.DIST(I165,$B$43,$B$44,FALSE)*10000</f>
        <v>3.8751200022733298E-4</v>
      </c>
      <c r="K165" t="e">
        <f>IF(I165&lt;=$B$40,J165,NA())</f>
        <v>#N/A</v>
      </c>
      <c r="L165">
        <f>IF(I165&gt;=$B$40,J165,NA())</f>
        <v>3.8751200022733298E-4</v>
      </c>
    </row>
    <row r="166" spans="9:12" x14ac:dyDescent="0.3">
      <c r="I166">
        <v>24400</v>
      </c>
      <c r="J166">
        <f>_xlfn.NORM.DIST(I166,$B$43,$B$44,FALSE)*10000</f>
        <v>2.838142176313941E-4</v>
      </c>
      <c r="K166" t="e">
        <f>IF(I166&lt;=$B$40,J166,NA())</f>
        <v>#N/A</v>
      </c>
      <c r="L166">
        <f>IF(I166&gt;=$B$40,J166,NA())</f>
        <v>2.838142176313941E-4</v>
      </c>
    </row>
  </sheetData>
  <mergeCells count="4">
    <mergeCell ref="A3:G3"/>
    <mergeCell ref="D41:G41"/>
    <mergeCell ref="D42:G47"/>
    <mergeCell ref="A69:G78"/>
  </mergeCells>
  <conditionalFormatting sqref="D6:D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1">
    <cfRule type="expression" dxfId="45" priority="2">
      <formula>$B$47&gt;=0.99</formula>
    </cfRule>
  </conditionalFormatting>
  <conditionalFormatting sqref="D41">
    <cfRule type="expression" dxfId="44" priority="3">
      <formula>$B$47&gt;=0.9</formula>
    </cfRule>
  </conditionalFormatting>
  <conditionalFormatting sqref="D41">
    <cfRule type="expression" dxfId="43" priority="4">
      <formula>$B$47&gt;=0.5</formula>
    </cfRule>
  </conditionalFormatting>
  <conditionalFormatting sqref="D41">
    <cfRule type="expression" dxfId="42" priority="5">
      <formula>$B$47&gt;=0.25</formula>
    </cfRule>
  </conditionalFormatting>
  <conditionalFormatting sqref="D41">
    <cfRule type="expression" dxfId="41" priority="6">
      <formula>$B$47&gt;=0.1</formula>
    </cfRule>
  </conditionalFormatting>
  <conditionalFormatting sqref="D41">
    <cfRule type="expression" dxfId="40" priority="7">
      <formula>$B$47&lt;0.1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822B9-5B56-42F9-93B0-B18E100DD208}">
  <sheetPr codeName="Sheet5"/>
  <dimension ref="A1:E200"/>
  <sheetViews>
    <sheetView topLeftCell="B1" zoomScale="61" workbookViewId="0">
      <selection activeCell="H43" sqref="H43"/>
    </sheetView>
  </sheetViews>
  <sheetFormatPr defaultRowHeight="14.4" x14ac:dyDescent="0.3"/>
  <cols>
    <col min="1" max="1" width="40.77734375" customWidth="1"/>
    <col min="2" max="2" width="26.44140625" customWidth="1"/>
    <col min="3" max="3" width="40.77734375" customWidth="1"/>
    <col min="5" max="5" width="111.109375" customWidth="1"/>
  </cols>
  <sheetData>
    <row r="1" spans="1:5" ht="18" x14ac:dyDescent="0.35">
      <c r="A1" s="13" t="s">
        <v>483</v>
      </c>
      <c r="C1" s="29"/>
    </row>
    <row r="2" spans="1:5" x14ac:dyDescent="0.3">
      <c r="A2" s="1" t="s">
        <v>484</v>
      </c>
      <c r="C2" s="29"/>
    </row>
    <row r="3" spans="1:5" x14ac:dyDescent="0.3">
      <c r="A3" s="4" t="s">
        <v>485</v>
      </c>
      <c r="B3" s="4" t="s">
        <v>486</v>
      </c>
      <c r="C3" s="78" t="s">
        <v>445</v>
      </c>
      <c r="E3" s="4" t="s">
        <v>487</v>
      </c>
    </row>
    <row r="4" spans="1:5" x14ac:dyDescent="0.3">
      <c r="A4" s="79" t="s">
        <v>488</v>
      </c>
      <c r="B4" s="80"/>
      <c r="C4" s="81"/>
    </row>
    <row r="5" spans="1:5" x14ac:dyDescent="0.3">
      <c r="A5" t="s">
        <v>489</v>
      </c>
      <c r="B5" t="s">
        <v>490</v>
      </c>
      <c r="C5" s="29">
        <v>27000</v>
      </c>
    </row>
    <row r="6" spans="1:5" x14ac:dyDescent="0.3">
      <c r="A6" t="s">
        <v>491</v>
      </c>
      <c r="B6" t="s">
        <v>492</v>
      </c>
      <c r="C6" s="29">
        <v>13.5</v>
      </c>
    </row>
    <row r="7" spans="1:5" x14ac:dyDescent="0.3">
      <c r="A7" t="s">
        <v>493</v>
      </c>
      <c r="B7" t="s">
        <v>492</v>
      </c>
      <c r="C7" s="29">
        <v>5.7</v>
      </c>
    </row>
    <row r="8" spans="1:5" x14ac:dyDescent="0.3">
      <c r="A8" t="s">
        <v>494</v>
      </c>
      <c r="B8" t="s">
        <v>490</v>
      </c>
      <c r="C8" s="29">
        <v>24000</v>
      </c>
    </row>
    <row r="9" spans="1:5" x14ac:dyDescent="0.3">
      <c r="A9" t="s">
        <v>495</v>
      </c>
      <c r="B9" t="s">
        <v>492</v>
      </c>
      <c r="C9" s="29">
        <v>2</v>
      </c>
    </row>
    <row r="10" spans="1:5" x14ac:dyDescent="0.3">
      <c r="A10" t="s">
        <v>496</v>
      </c>
      <c r="B10" t="s">
        <v>492</v>
      </c>
      <c r="C10" s="29">
        <v>1</v>
      </c>
    </row>
    <row r="11" spans="1:5" x14ac:dyDescent="0.3">
      <c r="A11" t="s">
        <v>497</v>
      </c>
      <c r="B11" t="s">
        <v>490</v>
      </c>
      <c r="C11" s="29">
        <v>27000</v>
      </c>
    </row>
    <row r="12" spans="1:5" x14ac:dyDescent="0.3">
      <c r="A12" t="s">
        <v>498</v>
      </c>
      <c r="B12" t="s">
        <v>490</v>
      </c>
      <c r="C12" s="29">
        <v>27000</v>
      </c>
    </row>
    <row r="13" spans="1:5" x14ac:dyDescent="0.3">
      <c r="A13" t="s">
        <v>499</v>
      </c>
      <c r="B13" t="s">
        <v>500</v>
      </c>
      <c r="C13" s="29">
        <v>47</v>
      </c>
    </row>
    <row r="14" spans="1:5" x14ac:dyDescent="0.3">
      <c r="A14" t="s">
        <v>501</v>
      </c>
      <c r="B14" t="s">
        <v>500</v>
      </c>
      <c r="C14" s="29">
        <v>5.5</v>
      </c>
    </row>
    <row r="15" spans="1:5" x14ac:dyDescent="0.3">
      <c r="A15" t="s">
        <v>502</v>
      </c>
      <c r="B15" t="s">
        <v>500</v>
      </c>
      <c r="C15" s="29">
        <v>4.5</v>
      </c>
    </row>
    <row r="16" spans="1:5" x14ac:dyDescent="0.3">
      <c r="A16" t="s">
        <v>503</v>
      </c>
      <c r="B16" t="s">
        <v>492</v>
      </c>
      <c r="C16" s="29">
        <v>1</v>
      </c>
    </row>
    <row r="17" spans="1:5" x14ac:dyDescent="0.3">
      <c r="C17" s="29"/>
    </row>
    <row r="18" spans="1:5" x14ac:dyDescent="0.3">
      <c r="A18" s="82" t="s">
        <v>504</v>
      </c>
      <c r="B18" s="83"/>
      <c r="C18" s="84"/>
      <c r="E18" s="85" t="s">
        <v>505</v>
      </c>
    </row>
    <row r="19" spans="1:5" x14ac:dyDescent="0.3">
      <c r="A19" t="s">
        <v>506</v>
      </c>
      <c r="B19" t="s">
        <v>492</v>
      </c>
      <c r="C19" s="29">
        <v>1</v>
      </c>
    </row>
    <row r="20" spans="1:5" x14ac:dyDescent="0.3">
      <c r="A20" t="s">
        <v>507</v>
      </c>
      <c r="B20" t="s">
        <v>492</v>
      </c>
      <c r="C20" s="29">
        <v>1</v>
      </c>
    </row>
    <row r="21" spans="1:5" x14ac:dyDescent="0.3">
      <c r="A21" t="s">
        <v>508</v>
      </c>
      <c r="B21" t="s">
        <v>509</v>
      </c>
      <c r="C21" s="29">
        <v>300</v>
      </c>
    </row>
    <row r="22" spans="1:5" x14ac:dyDescent="0.3">
      <c r="A22" t="s">
        <v>510</v>
      </c>
      <c r="B22" t="s">
        <v>492</v>
      </c>
      <c r="C22" s="29">
        <v>3.2</v>
      </c>
    </row>
    <row r="23" spans="1:5" x14ac:dyDescent="0.3">
      <c r="A23" t="s">
        <v>511</v>
      </c>
      <c r="B23" t="s">
        <v>492</v>
      </c>
      <c r="C23" s="29">
        <v>0.04</v>
      </c>
    </row>
    <row r="24" spans="1:5" x14ac:dyDescent="0.3">
      <c r="A24" t="s">
        <v>512</v>
      </c>
      <c r="B24" t="s">
        <v>492</v>
      </c>
      <c r="C24" s="29">
        <v>0.28000000000000003</v>
      </c>
    </row>
    <row r="25" spans="1:5" x14ac:dyDescent="0.3">
      <c r="A25" t="s">
        <v>513</v>
      </c>
      <c r="B25" t="s">
        <v>514</v>
      </c>
      <c r="C25" s="29">
        <v>26</v>
      </c>
    </row>
    <row r="26" spans="1:5" x14ac:dyDescent="0.3">
      <c r="A26" t="s">
        <v>515</v>
      </c>
      <c r="B26" t="s">
        <v>509</v>
      </c>
      <c r="C26" s="29">
        <v>30</v>
      </c>
    </row>
    <row r="27" spans="1:5" x14ac:dyDescent="0.3">
      <c r="A27" s="27" t="s">
        <v>516</v>
      </c>
      <c r="B27" s="27" t="s">
        <v>490</v>
      </c>
      <c r="C27" s="86">
        <f>0.0103*C19*C20*(C5*C6)^0.5*C21^0.622*C22^0.785*C23^(-0.4)*(1+C24)^0.05*(COS(RADIANS(C25)))^(-1)*C26^0.04</f>
        <v>2517.4410500750009</v>
      </c>
    </row>
    <row r="28" spans="1:5" x14ac:dyDescent="0.3">
      <c r="C28" s="29"/>
    </row>
    <row r="29" spans="1:5" x14ac:dyDescent="0.3">
      <c r="A29" s="82" t="s">
        <v>517</v>
      </c>
      <c r="B29" s="83"/>
      <c r="C29" s="84"/>
      <c r="E29" s="85" t="s">
        <v>518</v>
      </c>
    </row>
    <row r="30" spans="1:5" x14ac:dyDescent="0.3">
      <c r="A30" t="s">
        <v>519</v>
      </c>
      <c r="B30" t="s">
        <v>500</v>
      </c>
      <c r="C30" s="29">
        <v>4.5</v>
      </c>
    </row>
    <row r="31" spans="1:5" x14ac:dyDescent="0.3">
      <c r="A31" t="s">
        <v>520</v>
      </c>
      <c r="B31" t="s">
        <v>500</v>
      </c>
      <c r="C31" s="29">
        <v>18</v>
      </c>
    </row>
    <row r="32" spans="1:5" x14ac:dyDescent="0.3">
      <c r="A32" t="s">
        <v>521</v>
      </c>
      <c r="B32" t="s">
        <v>509</v>
      </c>
      <c r="C32" s="29">
        <v>65</v>
      </c>
    </row>
    <row r="33" spans="1:5" x14ac:dyDescent="0.3">
      <c r="A33" s="27" t="s">
        <v>522</v>
      </c>
      <c r="B33" s="27" t="s">
        <v>490</v>
      </c>
      <c r="C33" s="86">
        <f>3.316*(1+C30/C31)^(-2)*((C5*C6)/1000)^0.26*C32^0.806</f>
        <v>284.47494347883588</v>
      </c>
    </row>
    <row r="34" spans="1:5" x14ac:dyDescent="0.3">
      <c r="C34" s="29"/>
    </row>
    <row r="35" spans="1:5" x14ac:dyDescent="0.3">
      <c r="A35" s="82" t="s">
        <v>523</v>
      </c>
      <c r="B35" s="83"/>
      <c r="C35" s="84"/>
      <c r="E35" s="85" t="s">
        <v>524</v>
      </c>
    </row>
    <row r="36" spans="1:5" x14ac:dyDescent="0.3">
      <c r="A36" t="s">
        <v>525</v>
      </c>
      <c r="B36" t="s">
        <v>492</v>
      </c>
      <c r="C36" s="29">
        <v>1</v>
      </c>
    </row>
    <row r="37" spans="1:5" x14ac:dyDescent="0.3">
      <c r="A37" t="s">
        <v>526</v>
      </c>
      <c r="B37" t="s">
        <v>492</v>
      </c>
      <c r="C37" s="29">
        <v>0</v>
      </c>
    </row>
    <row r="38" spans="1:5" x14ac:dyDescent="0.3">
      <c r="A38" t="s">
        <v>527</v>
      </c>
      <c r="B38" t="s">
        <v>509</v>
      </c>
      <c r="C38" s="29">
        <v>55</v>
      </c>
    </row>
    <row r="39" spans="1:5" x14ac:dyDescent="0.3">
      <c r="A39" t="s">
        <v>528</v>
      </c>
      <c r="B39" t="s">
        <v>500</v>
      </c>
      <c r="C39" s="29">
        <v>18</v>
      </c>
    </row>
    <row r="40" spans="1:5" x14ac:dyDescent="0.3">
      <c r="A40" t="s">
        <v>529</v>
      </c>
      <c r="B40" t="s">
        <v>509</v>
      </c>
      <c r="C40" s="29">
        <v>12</v>
      </c>
    </row>
    <row r="41" spans="1:5" x14ac:dyDescent="0.3">
      <c r="A41" t="s">
        <v>530</v>
      </c>
      <c r="B41" t="s">
        <v>492</v>
      </c>
      <c r="C41" s="29">
        <v>1.5</v>
      </c>
    </row>
    <row r="42" spans="1:5" x14ac:dyDescent="0.3">
      <c r="A42" t="s">
        <v>531</v>
      </c>
      <c r="B42" t="s">
        <v>492</v>
      </c>
      <c r="C42" s="29">
        <v>0.4</v>
      </c>
    </row>
    <row r="43" spans="1:5" x14ac:dyDescent="0.3">
      <c r="A43" t="s">
        <v>532</v>
      </c>
      <c r="B43" t="s">
        <v>514</v>
      </c>
      <c r="C43" s="29">
        <v>35</v>
      </c>
    </row>
    <row r="44" spans="1:5" x14ac:dyDescent="0.3">
      <c r="A44" s="27" t="s">
        <v>533</v>
      </c>
      <c r="B44" s="27" t="s">
        <v>490</v>
      </c>
      <c r="C44" s="86">
        <f>0.452*C36*(1+C37)^0.5*(C5*C6)^0.488*C38^0.718*C9^0.341*C39^(-1)*(1+C40/C38)^0.348*C41^0.223*(1+C42)^0.25*(COS(RADIANS(C43)))^(-0.323)</f>
        <v>397.93982125364977</v>
      </c>
    </row>
    <row r="45" spans="1:5" x14ac:dyDescent="0.3">
      <c r="C45" s="29"/>
    </row>
    <row r="46" spans="1:5" x14ac:dyDescent="0.3">
      <c r="A46" s="82" t="s">
        <v>534</v>
      </c>
      <c r="B46" s="83"/>
      <c r="C46" s="84"/>
      <c r="E46" s="85" t="s">
        <v>535</v>
      </c>
    </row>
    <row r="47" spans="1:5" x14ac:dyDescent="0.3">
      <c r="A47" t="s">
        <v>536</v>
      </c>
      <c r="B47" t="s">
        <v>492</v>
      </c>
      <c r="C47" s="29">
        <v>1</v>
      </c>
    </row>
    <row r="48" spans="1:5" x14ac:dyDescent="0.3">
      <c r="A48" s="27" t="s">
        <v>537</v>
      </c>
      <c r="B48" s="27" t="s">
        <v>490</v>
      </c>
      <c r="C48" s="86">
        <f>0.499*C47*C5^0.35*C6^0.25*C13^0.5*C14^0.849*C15^0.685</f>
        <v>2777.9775358456423</v>
      </c>
    </row>
    <row r="49" spans="1:5" x14ac:dyDescent="0.3">
      <c r="C49" s="29"/>
    </row>
    <row r="50" spans="1:5" x14ac:dyDescent="0.3">
      <c r="A50" s="82" t="s">
        <v>538</v>
      </c>
      <c r="B50" s="83"/>
      <c r="C50" s="84"/>
      <c r="E50" s="85" t="s">
        <v>539</v>
      </c>
    </row>
    <row r="51" spans="1:5" x14ac:dyDescent="0.3">
      <c r="A51" t="s">
        <v>540</v>
      </c>
      <c r="B51" t="s">
        <v>492</v>
      </c>
      <c r="C51" s="29">
        <v>1</v>
      </c>
    </row>
    <row r="52" spans="1:5" x14ac:dyDescent="0.3">
      <c r="A52" t="s">
        <v>541</v>
      </c>
      <c r="B52" t="s">
        <v>492</v>
      </c>
      <c r="C52" s="29">
        <v>1</v>
      </c>
    </row>
    <row r="53" spans="1:5" x14ac:dyDescent="0.3">
      <c r="A53" t="s">
        <v>542</v>
      </c>
      <c r="B53" t="s">
        <v>543</v>
      </c>
      <c r="C53" s="29">
        <v>40</v>
      </c>
    </row>
    <row r="54" spans="1:5" x14ac:dyDescent="0.3">
      <c r="A54" s="27" t="s">
        <v>544</v>
      </c>
      <c r="B54" s="27" t="s">
        <v>490</v>
      </c>
      <c r="C54" s="86">
        <f>C51*C52*(C8*C7)^0.25*C53^0.973</f>
        <v>696.34729983597208</v>
      </c>
    </row>
    <row r="55" spans="1:5" x14ac:dyDescent="0.3">
      <c r="C55" s="29"/>
    </row>
    <row r="56" spans="1:5" x14ac:dyDescent="0.3">
      <c r="A56" s="82" t="s">
        <v>545</v>
      </c>
      <c r="B56" s="83"/>
      <c r="C56" s="84"/>
      <c r="E56" s="85" t="s">
        <v>546</v>
      </c>
    </row>
    <row r="57" spans="1:5" x14ac:dyDescent="0.3">
      <c r="A57" t="s">
        <v>547</v>
      </c>
      <c r="B57" t="s">
        <v>543</v>
      </c>
      <c r="C57" s="29">
        <v>36</v>
      </c>
    </row>
    <row r="58" spans="1:5" x14ac:dyDescent="0.3">
      <c r="A58" t="s">
        <v>548</v>
      </c>
      <c r="B58" t="s">
        <v>492</v>
      </c>
      <c r="C58" s="29">
        <v>2</v>
      </c>
    </row>
    <row r="59" spans="1:5" x14ac:dyDescent="0.3">
      <c r="A59" s="27" t="s">
        <v>549</v>
      </c>
      <c r="B59" s="27" t="s">
        <v>490</v>
      </c>
      <c r="C59" s="86">
        <f>(C8*C7)^0.29*C57^0.5*C58^0.525</f>
        <v>266.47530400985488</v>
      </c>
    </row>
    <row r="60" spans="1:5" x14ac:dyDescent="0.3">
      <c r="C60" s="29"/>
    </row>
    <row r="61" spans="1:5" x14ac:dyDescent="0.3">
      <c r="A61" s="82" t="s">
        <v>550</v>
      </c>
      <c r="B61" s="83"/>
      <c r="C61" s="84"/>
    </row>
    <row r="62" spans="1:5" x14ac:dyDescent="0.3">
      <c r="A62" s="1" t="s">
        <v>551</v>
      </c>
      <c r="C62" s="29"/>
    </row>
    <row r="63" spans="1:5" x14ac:dyDescent="0.3">
      <c r="C63" s="29"/>
    </row>
    <row r="64" spans="1:5" x14ac:dyDescent="0.3">
      <c r="C64" s="29"/>
      <c r="E64" s="85" t="s">
        <v>552</v>
      </c>
    </row>
    <row r="65" spans="1:5" x14ac:dyDescent="0.3">
      <c r="C65" s="29"/>
    </row>
    <row r="66" spans="1:5" x14ac:dyDescent="0.3">
      <c r="C66" s="29"/>
    </row>
    <row r="67" spans="1:5" x14ac:dyDescent="0.3">
      <c r="C67" s="29"/>
    </row>
    <row r="68" spans="1:5" x14ac:dyDescent="0.3">
      <c r="C68" s="29"/>
    </row>
    <row r="69" spans="1:5" x14ac:dyDescent="0.3">
      <c r="C69" s="29"/>
    </row>
    <row r="70" spans="1:5" x14ac:dyDescent="0.3">
      <c r="C70" s="29"/>
    </row>
    <row r="71" spans="1:5" x14ac:dyDescent="0.3">
      <c r="C71" s="29"/>
    </row>
    <row r="72" spans="1:5" x14ac:dyDescent="0.3">
      <c r="A72" s="82" t="s">
        <v>553</v>
      </c>
      <c r="C72" s="29"/>
      <c r="E72" s="85" t="s">
        <v>554</v>
      </c>
    </row>
    <row r="73" spans="1:5" x14ac:dyDescent="0.3">
      <c r="A73" t="s">
        <v>555</v>
      </c>
      <c r="B73" t="s">
        <v>492</v>
      </c>
      <c r="C73" s="29">
        <v>1</v>
      </c>
    </row>
    <row r="74" spans="1:5" x14ac:dyDescent="0.3">
      <c r="A74" t="s">
        <v>556</v>
      </c>
      <c r="B74" t="s">
        <v>500</v>
      </c>
      <c r="C74" s="29">
        <v>12</v>
      </c>
    </row>
    <row r="75" spans="1:5" x14ac:dyDescent="0.3">
      <c r="A75" t="s">
        <v>557</v>
      </c>
      <c r="B75" t="s">
        <v>492</v>
      </c>
      <c r="C75" s="29">
        <v>2</v>
      </c>
    </row>
    <row r="76" spans="1:5" x14ac:dyDescent="0.3">
      <c r="A76" t="s">
        <v>558</v>
      </c>
      <c r="B76" t="s">
        <v>500</v>
      </c>
      <c r="C76" s="29">
        <v>8</v>
      </c>
    </row>
    <row r="77" spans="1:5" x14ac:dyDescent="0.3">
      <c r="A77" t="s">
        <v>559</v>
      </c>
      <c r="B77" t="s">
        <v>500</v>
      </c>
      <c r="C77" s="29">
        <v>3.5</v>
      </c>
    </row>
    <row r="78" spans="1:5" x14ac:dyDescent="0.3">
      <c r="A78" s="27" t="s">
        <v>560</v>
      </c>
      <c r="B78" s="27" t="s">
        <v>490</v>
      </c>
      <c r="C78" s="86">
        <f>13.29*C73*C74^0.643*C75^0.182*C10^1.498*(C76/C74)^(-0.373)*C77</f>
        <v>303.37239862322321</v>
      </c>
    </row>
    <row r="79" spans="1:5" x14ac:dyDescent="0.3">
      <c r="C79" s="29"/>
    </row>
    <row r="80" spans="1:5" x14ac:dyDescent="0.3">
      <c r="A80" s="82" t="s">
        <v>550</v>
      </c>
      <c r="B80" s="83"/>
      <c r="C80" s="84"/>
      <c r="E80" s="85" t="s">
        <v>561</v>
      </c>
    </row>
    <row r="81" spans="1:3" x14ac:dyDescent="0.3">
      <c r="A81" s="1" t="s">
        <v>562</v>
      </c>
      <c r="C81" s="29"/>
    </row>
    <row r="82" spans="1:3" x14ac:dyDescent="0.3">
      <c r="A82" s="27" t="s">
        <v>563</v>
      </c>
      <c r="C82" s="29"/>
    </row>
    <row r="83" spans="1:3" x14ac:dyDescent="0.3">
      <c r="A83" t="s">
        <v>564</v>
      </c>
      <c r="B83" t="s">
        <v>565</v>
      </c>
      <c r="C83" s="29">
        <v>8000</v>
      </c>
    </row>
    <row r="84" spans="1:3" x14ac:dyDescent="0.3">
      <c r="A84" t="s">
        <v>566</v>
      </c>
      <c r="B84" t="s">
        <v>567</v>
      </c>
      <c r="C84" s="29">
        <v>6</v>
      </c>
    </row>
    <row r="85" spans="1:3" x14ac:dyDescent="0.3">
      <c r="A85" s="27" t="s">
        <v>568</v>
      </c>
      <c r="B85" s="27" t="s">
        <v>490</v>
      </c>
      <c r="C85" s="86">
        <f>(C83/C84)*2.20462</f>
        <v>2939.4933333333329</v>
      </c>
    </row>
    <row r="86" spans="1:3" x14ac:dyDescent="0.3">
      <c r="C86" s="29"/>
    </row>
    <row r="87" spans="1:3" x14ac:dyDescent="0.3">
      <c r="A87" s="27" t="s">
        <v>569</v>
      </c>
      <c r="C87" s="29"/>
    </row>
    <row r="88" spans="1:3" x14ac:dyDescent="0.3">
      <c r="A88" t="s">
        <v>570</v>
      </c>
      <c r="B88" t="s">
        <v>565</v>
      </c>
      <c r="C88" s="29">
        <v>2000</v>
      </c>
    </row>
    <row r="89" spans="1:3" x14ac:dyDescent="0.3">
      <c r="A89" s="27" t="s">
        <v>571</v>
      </c>
      <c r="B89" t="s">
        <v>567</v>
      </c>
      <c r="C89" s="29">
        <v>4</v>
      </c>
    </row>
    <row r="90" spans="1:3" x14ac:dyDescent="0.3">
      <c r="A90" t="s">
        <v>572</v>
      </c>
      <c r="B90" t="s">
        <v>492</v>
      </c>
      <c r="C90" s="29">
        <v>4</v>
      </c>
    </row>
    <row r="91" spans="1:3" x14ac:dyDescent="0.3">
      <c r="A91" s="27" t="s">
        <v>573</v>
      </c>
      <c r="B91" s="27" t="s">
        <v>490</v>
      </c>
      <c r="C91" s="86">
        <f>(C88/C89)*C90*2.20462</f>
        <v>4409.24</v>
      </c>
    </row>
    <row r="92" spans="1:3" x14ac:dyDescent="0.3">
      <c r="C92" s="29"/>
    </row>
    <row r="93" spans="1:3" x14ac:dyDescent="0.3">
      <c r="A93" s="27" t="s">
        <v>574</v>
      </c>
      <c r="C93" s="29"/>
    </row>
    <row r="94" spans="1:3" x14ac:dyDescent="0.3">
      <c r="A94" t="s">
        <v>575</v>
      </c>
      <c r="B94" t="s">
        <v>565</v>
      </c>
      <c r="C94" s="29">
        <v>2000</v>
      </c>
    </row>
    <row r="95" spans="1:3" x14ac:dyDescent="0.3">
      <c r="A95" s="27" t="s">
        <v>576</v>
      </c>
      <c r="B95" t="s">
        <v>567</v>
      </c>
      <c r="C95" s="29">
        <v>8</v>
      </c>
    </row>
    <row r="96" spans="1:3" x14ac:dyDescent="0.3">
      <c r="A96" t="s">
        <v>577</v>
      </c>
      <c r="B96" t="s">
        <v>567</v>
      </c>
      <c r="C96" s="29">
        <v>15</v>
      </c>
    </row>
    <row r="97" spans="1:5" x14ac:dyDescent="0.3">
      <c r="A97" s="27" t="s">
        <v>578</v>
      </c>
      <c r="B97" t="s">
        <v>492</v>
      </c>
      <c r="C97" s="29">
        <v>4</v>
      </c>
    </row>
    <row r="98" spans="1:5" x14ac:dyDescent="0.3">
      <c r="A98" s="82" t="s">
        <v>579</v>
      </c>
      <c r="B98" s="83"/>
      <c r="C98" s="84"/>
      <c r="E98" s="85" t="s">
        <v>580</v>
      </c>
    </row>
    <row r="99" spans="1:5" x14ac:dyDescent="0.3">
      <c r="A99" t="s">
        <v>581</v>
      </c>
      <c r="B99" t="s">
        <v>582</v>
      </c>
      <c r="C99" s="29">
        <v>1100</v>
      </c>
    </row>
    <row r="100" spans="1:5" x14ac:dyDescent="0.3">
      <c r="A100" t="s">
        <v>583</v>
      </c>
      <c r="B100" t="s">
        <v>582</v>
      </c>
      <c r="C100" s="29">
        <v>900</v>
      </c>
    </row>
    <row r="101" spans="1:5" x14ac:dyDescent="0.3">
      <c r="A101" t="s">
        <v>584</v>
      </c>
      <c r="B101" t="s">
        <v>582</v>
      </c>
      <c r="C101" s="29">
        <v>0</v>
      </c>
    </row>
    <row r="102" spans="1:5" x14ac:dyDescent="0.3">
      <c r="A102" t="s">
        <v>585</v>
      </c>
      <c r="B102" t="s">
        <v>492</v>
      </c>
      <c r="C102" s="29">
        <v>5</v>
      </c>
    </row>
    <row r="103" spans="1:5" x14ac:dyDescent="0.3">
      <c r="A103" t="s">
        <v>586</v>
      </c>
      <c r="B103" t="s">
        <v>587</v>
      </c>
      <c r="C103" s="29">
        <v>2.1</v>
      </c>
    </row>
    <row r="104" spans="1:5" x14ac:dyDescent="0.3">
      <c r="A104" s="27" t="s">
        <v>588</v>
      </c>
      <c r="B104" s="27" t="s">
        <v>490</v>
      </c>
      <c r="C104" s="86">
        <f>7.45*C99^0.47*(1+C100/C99)^(-0.095)*(1+C101/C99)*C102^0.066*C10^0.052*((C11*C103)/1000)^0.249</f>
        <v>575.06838470222647</v>
      </c>
    </row>
    <row r="105" spans="1:5" x14ac:dyDescent="0.3">
      <c r="C105" s="29"/>
    </row>
    <row r="106" spans="1:5" x14ac:dyDescent="0.3">
      <c r="A106" s="82" t="s">
        <v>589</v>
      </c>
      <c r="B106" s="83"/>
      <c r="C106" s="84"/>
      <c r="E106" s="85" t="s">
        <v>590</v>
      </c>
    </row>
    <row r="107" spans="1:5" x14ac:dyDescent="0.3">
      <c r="A107" t="s">
        <v>591</v>
      </c>
      <c r="B107" t="s">
        <v>509</v>
      </c>
      <c r="C107" s="29">
        <v>60</v>
      </c>
    </row>
    <row r="108" spans="1:5" x14ac:dyDescent="0.3">
      <c r="A108" t="s">
        <v>592</v>
      </c>
      <c r="B108" t="s">
        <v>492</v>
      </c>
      <c r="C108" s="29">
        <v>4</v>
      </c>
    </row>
    <row r="109" spans="1:5" x14ac:dyDescent="0.3">
      <c r="A109" t="s">
        <v>593</v>
      </c>
      <c r="B109" t="s">
        <v>492</v>
      </c>
      <c r="C109" s="29">
        <v>6</v>
      </c>
    </row>
    <row r="110" spans="1:5" x14ac:dyDescent="0.3">
      <c r="A110" s="27" t="s">
        <v>594</v>
      </c>
      <c r="B110" s="27" t="s">
        <v>490</v>
      </c>
      <c r="C110" s="86">
        <f>36.28*C9^0.003*C107^0.489*C108^0.484*C109^0.127</f>
        <v>661.16304996460099</v>
      </c>
    </row>
    <row r="111" spans="1:5" x14ac:dyDescent="0.3">
      <c r="C111" s="29"/>
    </row>
    <row r="112" spans="1:5" x14ac:dyDescent="0.3">
      <c r="A112" s="82" t="s">
        <v>595</v>
      </c>
      <c r="B112" s="83"/>
      <c r="C112" s="84"/>
      <c r="E112" s="85" t="s">
        <v>596</v>
      </c>
    </row>
    <row r="113" spans="1:5" x14ac:dyDescent="0.3">
      <c r="A113" t="s">
        <v>597</v>
      </c>
      <c r="B113" t="s">
        <v>492</v>
      </c>
      <c r="C113" s="29">
        <v>1</v>
      </c>
    </row>
    <row r="114" spans="1:5" x14ac:dyDescent="0.3">
      <c r="A114" s="27" t="s">
        <v>598</v>
      </c>
      <c r="B114" s="27" t="s">
        <v>490</v>
      </c>
      <c r="C114" s="86">
        <f>8+36.37*C10^0.676*C102^0.237+26.4*(1+C113)^1.356</f>
        <v>128.83702185671063</v>
      </c>
    </row>
    <row r="115" spans="1:5" x14ac:dyDescent="0.3">
      <c r="C115" s="29"/>
    </row>
    <row r="116" spans="1:5" x14ac:dyDescent="0.3">
      <c r="A116" s="82" t="s">
        <v>599</v>
      </c>
      <c r="B116" s="83"/>
      <c r="C116" s="84"/>
      <c r="E116" s="85" t="s">
        <v>600</v>
      </c>
    </row>
    <row r="117" spans="1:5" x14ac:dyDescent="0.3">
      <c r="A117" t="s">
        <v>601</v>
      </c>
      <c r="B117" t="s">
        <v>492</v>
      </c>
      <c r="C117" s="29">
        <v>1</v>
      </c>
    </row>
    <row r="118" spans="1:5" x14ac:dyDescent="0.3">
      <c r="A118" t="s">
        <v>602</v>
      </c>
      <c r="B118" t="s">
        <v>492</v>
      </c>
      <c r="C118" s="29">
        <v>10</v>
      </c>
    </row>
    <row r="119" spans="1:5" x14ac:dyDescent="0.3">
      <c r="A119" s="27" t="s">
        <v>603</v>
      </c>
      <c r="B119" s="27" t="s">
        <v>490</v>
      </c>
      <c r="C119" s="86">
        <f>37.23*C117*C118^0.664</f>
        <v>171.74853300882927</v>
      </c>
    </row>
    <row r="120" spans="1:5" x14ac:dyDescent="0.3">
      <c r="C120" s="29"/>
    </row>
    <row r="121" spans="1:5" x14ac:dyDescent="0.3">
      <c r="A121" s="82" t="s">
        <v>604</v>
      </c>
      <c r="B121" s="83"/>
      <c r="C121" s="84"/>
      <c r="E121" s="85" t="s">
        <v>605</v>
      </c>
    </row>
    <row r="122" spans="1:5" x14ac:dyDescent="0.3">
      <c r="A122" t="s">
        <v>606</v>
      </c>
      <c r="B122" t="s">
        <v>492</v>
      </c>
      <c r="C122" s="29">
        <v>1</v>
      </c>
    </row>
    <row r="123" spans="1:5" x14ac:dyDescent="0.3">
      <c r="A123" t="s">
        <v>607</v>
      </c>
      <c r="B123" t="s">
        <v>608</v>
      </c>
      <c r="C123" s="29">
        <v>140</v>
      </c>
    </row>
    <row r="124" spans="1:5" x14ac:dyDescent="0.3">
      <c r="A124" t="s">
        <v>609</v>
      </c>
      <c r="B124" t="s">
        <v>500</v>
      </c>
      <c r="C124" s="29">
        <v>35</v>
      </c>
    </row>
    <row r="125" spans="1:5" x14ac:dyDescent="0.3">
      <c r="A125" t="s">
        <v>610</v>
      </c>
      <c r="B125" t="s">
        <v>492</v>
      </c>
      <c r="C125" s="29">
        <v>1</v>
      </c>
    </row>
    <row r="126" spans="1:5" x14ac:dyDescent="0.3">
      <c r="A126" s="27" t="s">
        <v>611</v>
      </c>
      <c r="B126" s="27" t="s">
        <v>490</v>
      </c>
      <c r="C126" s="86">
        <f>172.2*C122*C123^0.152*C16^0.1*C124^0.1*C125^0.091</f>
        <v>520.77654134484351</v>
      </c>
    </row>
    <row r="127" spans="1:5" x14ac:dyDescent="0.3">
      <c r="C127" s="29"/>
    </row>
    <row r="128" spans="1:5" x14ac:dyDescent="0.3">
      <c r="A128" s="82" t="s">
        <v>612</v>
      </c>
      <c r="B128" s="83"/>
      <c r="C128" s="84"/>
      <c r="E128" s="85" t="s">
        <v>613</v>
      </c>
    </row>
    <row r="129" spans="1:5" x14ac:dyDescent="0.3">
      <c r="A129" t="s">
        <v>614</v>
      </c>
      <c r="B129" t="s">
        <v>490</v>
      </c>
      <c r="C129" s="29">
        <v>1100</v>
      </c>
    </row>
    <row r="130" spans="1:5" x14ac:dyDescent="0.3">
      <c r="A130" s="27" t="s">
        <v>615</v>
      </c>
      <c r="B130" s="27" t="s">
        <v>490</v>
      </c>
      <c r="C130" s="86">
        <f>2.117*C129^0.933</f>
        <v>1456.5997573547602</v>
      </c>
    </row>
    <row r="131" spans="1:5" x14ac:dyDescent="0.3">
      <c r="C131" s="29"/>
    </row>
    <row r="132" spans="1:5" x14ac:dyDescent="0.3">
      <c r="A132" s="82" t="s">
        <v>616</v>
      </c>
      <c r="B132" s="83"/>
      <c r="C132" s="84"/>
      <c r="E132" s="85" t="s">
        <v>617</v>
      </c>
    </row>
    <row r="133" spans="1:5" x14ac:dyDescent="0.3">
      <c r="A133" s="27" t="s">
        <v>618</v>
      </c>
      <c r="B133" s="27" t="s">
        <v>490</v>
      </c>
      <c r="C133" s="86">
        <f>217.6*C16</f>
        <v>217.6</v>
      </c>
    </row>
    <row r="134" spans="1:5" x14ac:dyDescent="0.3">
      <c r="C134" s="29"/>
    </row>
    <row r="135" spans="1:5" x14ac:dyDescent="0.3">
      <c r="A135" s="82" t="s">
        <v>619</v>
      </c>
      <c r="B135" s="83"/>
      <c r="C135" s="84"/>
      <c r="E135" s="85" t="s">
        <v>620</v>
      </c>
    </row>
    <row r="136" spans="1:5" x14ac:dyDescent="0.3">
      <c r="A136" s="27" t="s">
        <v>621</v>
      </c>
      <c r="B136" s="27" t="s">
        <v>490</v>
      </c>
      <c r="C136" s="86">
        <f>201.6*((C129+200*C16)/1000)^0.735</f>
        <v>244.47749766286546</v>
      </c>
    </row>
    <row r="137" spans="1:5" x14ac:dyDescent="0.3">
      <c r="C137" s="29"/>
    </row>
    <row r="138" spans="1:5" x14ac:dyDescent="0.3">
      <c r="A138" s="82" t="s">
        <v>622</v>
      </c>
      <c r="B138" s="83"/>
      <c r="C138" s="84"/>
      <c r="E138" s="85" t="s">
        <v>623</v>
      </c>
    </row>
    <row r="139" spans="1:5" x14ac:dyDescent="0.3">
      <c r="A139" s="27" t="s">
        <v>624</v>
      </c>
      <c r="B139" s="27" t="s">
        <v>490</v>
      </c>
      <c r="C139" s="86">
        <f>0.00032*C5</f>
        <v>8.64</v>
      </c>
    </row>
    <row r="140" spans="1:5" x14ac:dyDescent="0.3">
      <c r="C140" s="29"/>
    </row>
    <row r="141" spans="1:5" x14ac:dyDescent="0.3">
      <c r="C141" s="29"/>
    </row>
    <row r="142" spans="1:5" x14ac:dyDescent="0.3">
      <c r="C142" s="29"/>
    </row>
    <row r="143" spans="1:5" x14ac:dyDescent="0.3">
      <c r="C143" s="29"/>
    </row>
    <row r="144" spans="1:5" x14ac:dyDescent="0.3">
      <c r="C144" s="29"/>
    </row>
    <row r="145" spans="1:5" x14ac:dyDescent="0.3">
      <c r="C145" s="29"/>
    </row>
    <row r="146" spans="1:5" x14ac:dyDescent="0.3">
      <c r="C146" s="29"/>
    </row>
    <row r="147" spans="1:5" x14ac:dyDescent="0.3">
      <c r="A147" s="82" t="s">
        <v>625</v>
      </c>
      <c r="B147" s="83"/>
      <c r="C147" s="84"/>
      <c r="E147" s="85" t="s">
        <v>626</v>
      </c>
    </row>
    <row r="148" spans="1:5" x14ac:dyDescent="0.3">
      <c r="A148" s="27" t="s">
        <v>627</v>
      </c>
      <c r="B148" s="27" t="s">
        <v>490</v>
      </c>
      <c r="C148" s="86">
        <f>((C94/C95)+(C94/C96))*C97*2.20462</f>
        <v>3380.4173333333333</v>
      </c>
    </row>
    <row r="149" spans="1:5" x14ac:dyDescent="0.3">
      <c r="C149" s="29"/>
    </row>
    <row r="150" spans="1:5" x14ac:dyDescent="0.3">
      <c r="A150" s="27" t="s">
        <v>628</v>
      </c>
      <c r="C150" s="29"/>
    </row>
    <row r="151" spans="1:5" x14ac:dyDescent="0.3">
      <c r="A151" t="s">
        <v>629</v>
      </c>
      <c r="B151" t="s">
        <v>630</v>
      </c>
      <c r="C151" s="29">
        <v>500</v>
      </c>
    </row>
    <row r="152" spans="1:5" x14ac:dyDescent="0.3">
      <c r="A152" t="s">
        <v>631</v>
      </c>
      <c r="B152" t="s">
        <v>565</v>
      </c>
      <c r="C152" s="29">
        <v>4000</v>
      </c>
    </row>
    <row r="153" spans="1:5" x14ac:dyDescent="0.3">
      <c r="A153" t="s">
        <v>632</v>
      </c>
      <c r="B153" t="s">
        <v>633</v>
      </c>
      <c r="C153" s="29">
        <v>250</v>
      </c>
    </row>
    <row r="154" spans="1:5" x14ac:dyDescent="0.3">
      <c r="A154" t="s">
        <v>634</v>
      </c>
      <c r="B154" t="s">
        <v>635</v>
      </c>
      <c r="C154" s="29">
        <v>2000</v>
      </c>
    </row>
    <row r="155" spans="1:5" x14ac:dyDescent="0.3">
      <c r="A155" t="s">
        <v>636</v>
      </c>
      <c r="B155" t="s">
        <v>490</v>
      </c>
      <c r="C155" s="87">
        <f>(C151*1000/C153)*2.20462</f>
        <v>4409.24</v>
      </c>
    </row>
    <row r="156" spans="1:5" x14ac:dyDescent="0.3">
      <c r="A156" t="s">
        <v>637</v>
      </c>
      <c r="B156" t="s">
        <v>490</v>
      </c>
      <c r="C156" s="87">
        <f>(C152*1000/C154)*2.20462</f>
        <v>4409.24</v>
      </c>
    </row>
    <row r="157" spans="1:5" x14ac:dyDescent="0.3">
      <c r="A157" s="27" t="s">
        <v>638</v>
      </c>
      <c r="B157" s="27" t="s">
        <v>490</v>
      </c>
      <c r="C157" s="86">
        <f>MAX(C155,C156)</f>
        <v>4409.24</v>
      </c>
    </row>
    <row r="158" spans="1:5" x14ac:dyDescent="0.3">
      <c r="C158" s="29"/>
    </row>
    <row r="159" spans="1:5" x14ac:dyDescent="0.3">
      <c r="A159" s="27" t="s">
        <v>639</v>
      </c>
      <c r="C159" s="29"/>
    </row>
    <row r="160" spans="1:5" x14ac:dyDescent="0.3">
      <c r="A160" t="s">
        <v>640</v>
      </c>
      <c r="B160" t="s">
        <v>490</v>
      </c>
      <c r="C160" s="29">
        <v>8000</v>
      </c>
    </row>
    <row r="161" spans="1:3" x14ac:dyDescent="0.3">
      <c r="A161" s="27" t="s">
        <v>641</v>
      </c>
      <c r="B161" t="s">
        <v>492</v>
      </c>
      <c r="C161" s="29">
        <v>0.5</v>
      </c>
    </row>
    <row r="162" spans="1:3" x14ac:dyDescent="0.3">
      <c r="A162" s="27" t="s">
        <v>642</v>
      </c>
      <c r="B162" s="27" t="s">
        <v>490</v>
      </c>
      <c r="C162" s="86">
        <f>C160*C161</f>
        <v>4000</v>
      </c>
    </row>
    <row r="163" spans="1:3" x14ac:dyDescent="0.3">
      <c r="C163" s="29"/>
    </row>
    <row r="164" spans="1:3" x14ac:dyDescent="0.3">
      <c r="A164" s="88" t="s">
        <v>643</v>
      </c>
      <c r="B164" s="89"/>
      <c r="C164" s="90"/>
    </row>
    <row r="165" spans="1:3" x14ac:dyDescent="0.3">
      <c r="A165" t="s">
        <v>644</v>
      </c>
      <c r="B165" t="s">
        <v>490</v>
      </c>
      <c r="C165" s="87">
        <f>C27+C33+C44+C48+C54+C59</f>
        <v>6940.6559544989559</v>
      </c>
    </row>
    <row r="166" spans="1:3" x14ac:dyDescent="0.3">
      <c r="A166" t="s">
        <v>645</v>
      </c>
      <c r="B166" t="s">
        <v>490</v>
      </c>
      <c r="C166" s="87">
        <f>C85+C91+C148+C157+C162</f>
        <v>19138.390666666666</v>
      </c>
    </row>
    <row r="167" spans="1:3" x14ac:dyDescent="0.3">
      <c r="A167" t="s">
        <v>646</v>
      </c>
      <c r="B167" t="s">
        <v>490</v>
      </c>
      <c r="C167" s="87">
        <f>C66+C78+C104</f>
        <v>878.44078332544973</v>
      </c>
    </row>
    <row r="168" spans="1:3" x14ac:dyDescent="0.3">
      <c r="A168" t="s">
        <v>647</v>
      </c>
      <c r="B168" t="s">
        <v>490</v>
      </c>
      <c r="C168" s="87">
        <f>C110+C114+C119+C126+C130+C133+C136+C139</f>
        <v>3409.8424011926099</v>
      </c>
    </row>
    <row r="169" spans="1:3" x14ac:dyDescent="0.3">
      <c r="A169" s="27" t="s">
        <v>648</v>
      </c>
      <c r="B169" s="27" t="s">
        <v>490</v>
      </c>
      <c r="C169" s="91">
        <f>C165+C166+C167+C168</f>
        <v>30367.329805683683</v>
      </c>
    </row>
    <row r="170" spans="1:3" x14ac:dyDescent="0.3">
      <c r="A170" t="s">
        <v>649</v>
      </c>
      <c r="B170" t="s">
        <v>492</v>
      </c>
      <c r="C170" s="92">
        <f>C169/C5</f>
        <v>1.1247159187290252</v>
      </c>
    </row>
    <row r="171" spans="1:3" x14ac:dyDescent="0.3">
      <c r="C171" s="29"/>
    </row>
    <row r="172" spans="1:3" x14ac:dyDescent="0.3">
      <c r="C172" s="29"/>
    </row>
    <row r="173" spans="1:3" x14ac:dyDescent="0.3">
      <c r="C173" s="29"/>
    </row>
    <row r="174" spans="1:3" x14ac:dyDescent="0.3">
      <c r="C174" s="29"/>
    </row>
    <row r="175" spans="1:3" x14ac:dyDescent="0.3">
      <c r="C175" s="29"/>
    </row>
    <row r="176" spans="1:3" x14ac:dyDescent="0.3">
      <c r="C176" s="29"/>
    </row>
    <row r="177" spans="3:3" x14ac:dyDescent="0.3">
      <c r="C177" s="29"/>
    </row>
    <row r="178" spans="3:3" x14ac:dyDescent="0.3">
      <c r="C178" s="29"/>
    </row>
    <row r="179" spans="3:3" x14ac:dyDescent="0.3">
      <c r="C179" s="29"/>
    </row>
    <row r="180" spans="3:3" x14ac:dyDescent="0.3">
      <c r="C180" s="29"/>
    </row>
    <row r="181" spans="3:3" x14ac:dyDescent="0.3">
      <c r="C181" s="29"/>
    </row>
    <row r="182" spans="3:3" x14ac:dyDescent="0.3">
      <c r="C182" s="29"/>
    </row>
    <row r="183" spans="3:3" x14ac:dyDescent="0.3">
      <c r="C183" s="29"/>
    </row>
    <row r="184" spans="3:3" x14ac:dyDescent="0.3">
      <c r="C184" s="29"/>
    </row>
    <row r="185" spans="3:3" x14ac:dyDescent="0.3">
      <c r="C185" s="29"/>
    </row>
    <row r="186" spans="3:3" x14ac:dyDescent="0.3">
      <c r="C186" s="29"/>
    </row>
    <row r="187" spans="3:3" x14ac:dyDescent="0.3">
      <c r="C187" s="29"/>
    </row>
    <row r="188" spans="3:3" x14ac:dyDescent="0.3">
      <c r="C188" s="29"/>
    </row>
    <row r="189" spans="3:3" x14ac:dyDescent="0.3">
      <c r="C189" s="29"/>
    </row>
    <row r="190" spans="3:3" x14ac:dyDescent="0.3">
      <c r="C190" s="29"/>
    </row>
    <row r="191" spans="3:3" x14ac:dyDescent="0.3">
      <c r="C191" s="29"/>
    </row>
    <row r="192" spans="3:3" x14ac:dyDescent="0.3">
      <c r="C192" s="29"/>
    </row>
    <row r="193" spans="3:3" x14ac:dyDescent="0.3">
      <c r="C193" s="29"/>
    </row>
    <row r="194" spans="3:3" x14ac:dyDescent="0.3">
      <c r="C194" s="29"/>
    </row>
    <row r="195" spans="3:3" x14ac:dyDescent="0.3">
      <c r="C195" s="29"/>
    </row>
    <row r="196" spans="3:3" x14ac:dyDescent="0.3">
      <c r="C196" s="29"/>
    </row>
    <row r="197" spans="3:3" x14ac:dyDescent="0.3">
      <c r="C197" s="29"/>
    </row>
    <row r="198" spans="3:3" x14ac:dyDescent="0.3">
      <c r="C198" s="29"/>
    </row>
    <row r="199" spans="3:3" x14ac:dyDescent="0.3">
      <c r="C199" s="29"/>
    </row>
    <row r="200" spans="3:3" x14ac:dyDescent="0.3">
      <c r="C200" s="2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FEBFD-5192-4DDF-9E51-A97AD3A102E7}">
  <sheetPr codeName="Sheet6"/>
  <dimension ref="A1:G22"/>
  <sheetViews>
    <sheetView workbookViewId="0">
      <selection activeCell="D10" sqref="D10"/>
    </sheetView>
  </sheetViews>
  <sheetFormatPr defaultRowHeight="14.4" x14ac:dyDescent="0.3"/>
  <cols>
    <col min="1" max="1" width="14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669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3"/>
      <c r="B6" s="106" t="s">
        <v>671</v>
      </c>
      <c r="C6" s="105" t="str">
        <f>IFERROR(INDEX(C10:C11,MATCH("◉",A10:A11,0)),"—")</f>
        <v>Raymer 15.23</v>
      </c>
      <c r="D6" s="107">
        <f>IFERROR(INDEX(D10:D11,MATCH("◉",A10:A11,0)),NA())</f>
        <v>286.09320740960243</v>
      </c>
      <c r="E6" s="107">
        <f>IFERROR(INDEX(E10:E11,MATCH("◉",A10:A11,0)),NA())</f>
        <v>30</v>
      </c>
      <c r="F6" s="107">
        <f>IFERROR(INDEX(F10:F11,MATCH("◉",A10:A11,0)),NA())</f>
        <v>15</v>
      </c>
      <c r="G6" s="117" t="str">
        <f>IF(COUNTIF(A10:A11,"◉")=1,"OK", IF(COUNTIF(A10:A11,"◉")=0,"⚠ NONE SELECTED","⚠ "&amp;COUNTIF(A10:A11,"◉")&amp;" SELECTED"))</f>
        <v>OK</v>
      </c>
    </row>
    <row r="7" spans="1:7" x14ac:dyDescent="0.3">
      <c r="A7" s="114"/>
      <c r="B7" s="109" t="s">
        <v>675</v>
      </c>
      <c r="C7" s="108" t="str">
        <f>IFERROR(INDEX(C12:C13,MATCH("◉",A12:A13,0)),"—")</f>
        <v>Raymer 15.20</v>
      </c>
      <c r="D7" s="110">
        <f>IFERROR(INDEX(D12:D13,MATCH("◉",A12:A13,0)),NA())</f>
        <v>478.57339814046645</v>
      </c>
      <c r="E7" s="110">
        <f>IFERROR(INDEX(E12:E13,MATCH("◉",A12:A13,0)),NA())</f>
        <v>60</v>
      </c>
      <c r="F7" s="110">
        <f>IFERROR(INDEX(F12:F13,MATCH("◉",A12:A13,0)),NA())</f>
        <v>30</v>
      </c>
      <c r="G7" s="118" t="str">
        <f>IF(COUNTIF(A12:A13,"◉")=1,"OK", IF(COUNTIF(A12:A13,"◉")=0,"⚠ NONE SELECTED","⚠ "&amp;COUNTIF(A12:A13,"◉")&amp;" SELECTED"))</f>
        <v>OK</v>
      </c>
    </row>
    <row r="9" spans="1:7" x14ac:dyDescent="0.3">
      <c r="A9" s="69" t="s">
        <v>650</v>
      </c>
      <c r="B9" s="69" t="s">
        <v>3</v>
      </c>
      <c r="C9" s="69" t="s">
        <v>651</v>
      </c>
      <c r="D9" s="69" t="s">
        <v>652</v>
      </c>
      <c r="E9" s="69" t="s">
        <v>450</v>
      </c>
      <c r="F9" s="69" t="s">
        <v>451</v>
      </c>
      <c r="G9" s="69" t="s">
        <v>653</v>
      </c>
    </row>
    <row r="10" spans="1:7" x14ac:dyDescent="0.3">
      <c r="A10" s="94" t="s">
        <v>654</v>
      </c>
      <c r="B10" s="94" t="s">
        <v>671</v>
      </c>
      <c r="C10" s="94" t="s">
        <v>655</v>
      </c>
      <c r="D10" s="96" cm="1">
        <f t="array" ref="D10">201.6*((W_uav+W_avionics)/1000)^0.735</f>
        <v>286.09320740960243</v>
      </c>
      <c r="E10" s="97">
        <v>30</v>
      </c>
      <c r="F10" s="97">
        <v>15</v>
      </c>
      <c r="G10" s="94" t="s">
        <v>672</v>
      </c>
    </row>
    <row r="11" spans="1:7" x14ac:dyDescent="0.3">
      <c r="A11" t="s">
        <v>656</v>
      </c>
      <c r="C11" t="s">
        <v>673</v>
      </c>
      <c r="D11" s="46">
        <v>350</v>
      </c>
      <c r="E11" s="49">
        <v>20</v>
      </c>
      <c r="F11" s="49">
        <v>10</v>
      </c>
      <c r="G11" t="s">
        <v>674</v>
      </c>
    </row>
    <row r="12" spans="1:7" x14ac:dyDescent="0.3">
      <c r="A12" s="94" t="s">
        <v>654</v>
      </c>
      <c r="B12" s="94" t="s">
        <v>675</v>
      </c>
      <c r="C12" s="94" t="s">
        <v>663</v>
      </c>
      <c r="D12" s="96" cm="1">
        <f t="array" ref="D12">7.291*(R_kva^0.782)*(L_ec^0.346)*(N_gen^0.1)</f>
        <v>478.57339814046645</v>
      </c>
      <c r="E12" s="97">
        <v>60</v>
      </c>
      <c r="F12" s="97">
        <v>30</v>
      </c>
      <c r="G12" s="94" t="s">
        <v>676</v>
      </c>
    </row>
    <row r="13" spans="1:7" x14ac:dyDescent="0.3">
      <c r="A13" s="95" t="s">
        <v>656</v>
      </c>
      <c r="C13" s="95" t="s">
        <v>673</v>
      </c>
      <c r="D13" s="46">
        <v>800</v>
      </c>
      <c r="E13" s="98">
        <v>40</v>
      </c>
      <c r="F13" s="98">
        <v>20</v>
      </c>
      <c r="G13" s="95" t="s">
        <v>677</v>
      </c>
    </row>
    <row r="14" spans="1:7" x14ac:dyDescent="0.3">
      <c r="D14" s="49"/>
      <c r="E14" s="49"/>
      <c r="F14" s="49"/>
    </row>
    <row r="16" spans="1:7" ht="15.6" x14ac:dyDescent="0.3">
      <c r="A16" s="25" t="s">
        <v>678</v>
      </c>
    </row>
    <row r="17" spans="1:4" x14ac:dyDescent="0.3">
      <c r="A17" s="69" t="s">
        <v>658</v>
      </c>
      <c r="B17" s="69" t="s">
        <v>298</v>
      </c>
      <c r="C17" s="69" t="s">
        <v>445</v>
      </c>
      <c r="D17" s="69" t="s">
        <v>659</v>
      </c>
    </row>
    <row r="18" spans="1:4" x14ac:dyDescent="0.3">
      <c r="A18" s="14" t="s">
        <v>660</v>
      </c>
      <c r="B18" t="s">
        <v>661</v>
      </c>
      <c r="C18" s="30">
        <v>800</v>
      </c>
      <c r="D18" t="s">
        <v>662</v>
      </c>
    </row>
    <row r="19" spans="1:4" x14ac:dyDescent="0.3">
      <c r="A19" s="14" t="s">
        <v>615</v>
      </c>
      <c r="B19" t="s">
        <v>679</v>
      </c>
      <c r="C19" s="28">
        <f>Sheet1!$C$5*0.03</f>
        <v>810</v>
      </c>
      <c r="D19" t="s">
        <v>662</v>
      </c>
    </row>
    <row r="20" spans="1:4" x14ac:dyDescent="0.3">
      <c r="A20" s="14" t="s">
        <v>664</v>
      </c>
      <c r="B20" t="s">
        <v>680</v>
      </c>
      <c r="C20" s="30">
        <v>40</v>
      </c>
      <c r="D20" t="s">
        <v>665</v>
      </c>
    </row>
    <row r="21" spans="1:4" x14ac:dyDescent="0.3">
      <c r="A21" s="14" t="s">
        <v>666</v>
      </c>
      <c r="B21" t="s">
        <v>681</v>
      </c>
      <c r="C21" s="30">
        <v>35</v>
      </c>
      <c r="D21" t="s">
        <v>500</v>
      </c>
    </row>
    <row r="22" spans="1:4" x14ac:dyDescent="0.3">
      <c r="A22" s="14" t="s">
        <v>667</v>
      </c>
      <c r="B22" t="s">
        <v>668</v>
      </c>
      <c r="C22" s="30">
        <v>2</v>
      </c>
    </row>
  </sheetData>
  <mergeCells count="1">
    <mergeCell ref="A4:G4"/>
  </mergeCells>
  <conditionalFormatting sqref="B10:G13">
    <cfRule type="expression" dxfId="39" priority="1">
      <formula>$A10="◉"</formula>
    </cfRule>
  </conditionalFormatting>
  <conditionalFormatting sqref="A10:A13">
    <cfRule type="expression" dxfId="38" priority="2">
      <formula>A10="◉"</formula>
    </cfRule>
  </conditionalFormatting>
  <conditionalFormatting sqref="A10:A13">
    <cfRule type="expression" dxfId="37" priority="3">
      <formula>A10="○"</formula>
    </cfRule>
  </conditionalFormatting>
  <conditionalFormatting sqref="G6:G20">
    <cfRule type="containsText" dxfId="15" priority="4" operator="containsText" text="⚠">
      <formula>NOT(ISERROR(SEARCH("⚠",G6)))</formula>
    </cfRule>
  </conditionalFormatting>
  <conditionalFormatting sqref="G6:G20">
    <cfRule type="containsText" dxfId="14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10:A13" xr:uid="{318A6461-8496-4F57-A02B-CE764799A9AE}">
      <formula1>"◉,○"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E9D0-9970-4053-A41A-46B337F0766A}">
  <sheetPr codeName="Sheet7"/>
  <dimension ref="A1:G15"/>
  <sheetViews>
    <sheetView workbookViewId="0"/>
  </sheetViews>
  <sheetFormatPr defaultRowHeight="14.4" x14ac:dyDescent="0.3"/>
  <cols>
    <col min="1" max="1" width="5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682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4"/>
      <c r="B6" s="109" t="s">
        <v>683</v>
      </c>
      <c r="C6" s="108" t="str">
        <f>IFERROR(INDEX(C9:C10,MATCH("◉",A9:A10,0)),"—")</f>
        <v>Raymer 15.22</v>
      </c>
      <c r="D6" s="110">
        <f>IFERROR(INDEX(D9:D10,MATCH("◉",A9:A10,0)),NA())</f>
        <v>217.6</v>
      </c>
      <c r="E6" s="110">
        <f>IFERROR(INDEX(E9:E10,MATCH("◉",A9:A10,0)),NA())</f>
        <v>60</v>
      </c>
      <c r="F6" s="110">
        <f>IFERROR(INDEX(F9:F10,MATCH("◉",A9:A10,0)),NA())</f>
        <v>15</v>
      </c>
      <c r="G6" s="118" t="str">
        <f>IF(COUNTIF(A9:A10,"◉")=1,"OK", IF(COUNTIF(A9:A10,"◉")=0,"⚠ NONE SELECTED","⚠ "&amp;COUNTIF(A9:A10,"◉")&amp;" SELECTED"))</f>
        <v>OK</v>
      </c>
    </row>
    <row r="8" spans="1:7" x14ac:dyDescent="0.3">
      <c r="A8" s="69" t="s">
        <v>650</v>
      </c>
      <c r="B8" s="69" t="s">
        <v>3</v>
      </c>
      <c r="C8" s="69" t="s">
        <v>651</v>
      </c>
      <c r="D8" s="69" t="s">
        <v>652</v>
      </c>
      <c r="E8" s="69" t="s">
        <v>450</v>
      </c>
      <c r="F8" s="69" t="s">
        <v>451</v>
      </c>
      <c r="G8" s="69" t="s">
        <v>653</v>
      </c>
    </row>
    <row r="9" spans="1:7" x14ac:dyDescent="0.3">
      <c r="A9" s="94" t="s">
        <v>654</v>
      </c>
      <c r="B9" s="94" t="s">
        <v>683</v>
      </c>
      <c r="C9" s="94" t="s">
        <v>684</v>
      </c>
      <c r="D9" s="97" cm="1">
        <f t="array" ref="D9">217.6*N_c</f>
        <v>217.6</v>
      </c>
      <c r="E9" s="97">
        <v>60</v>
      </c>
      <c r="F9" s="97">
        <v>15</v>
      </c>
      <c r="G9" s="94" t="s">
        <v>685</v>
      </c>
    </row>
    <row r="10" spans="1:7" x14ac:dyDescent="0.3">
      <c r="A10" t="s">
        <v>656</v>
      </c>
      <c r="C10" t="s">
        <v>673</v>
      </c>
      <c r="D10" s="46">
        <v>180</v>
      </c>
      <c r="E10" s="49">
        <v>50</v>
      </c>
      <c r="F10" s="49">
        <v>10</v>
      </c>
      <c r="G10" t="s">
        <v>686</v>
      </c>
    </row>
    <row r="11" spans="1:7" x14ac:dyDescent="0.3">
      <c r="D11" s="49"/>
      <c r="E11" s="49"/>
      <c r="F11" s="49"/>
    </row>
    <row r="13" spans="1:7" ht="15.6" x14ac:dyDescent="0.3">
      <c r="A13" s="25" t="s">
        <v>678</v>
      </c>
    </row>
    <row r="14" spans="1:7" x14ac:dyDescent="0.3">
      <c r="A14" s="69" t="s">
        <v>658</v>
      </c>
      <c r="B14" s="69" t="s">
        <v>298</v>
      </c>
      <c r="C14" s="69" t="s">
        <v>445</v>
      </c>
      <c r="D14" s="69" t="s">
        <v>659</v>
      </c>
    </row>
    <row r="15" spans="1:7" x14ac:dyDescent="0.3">
      <c r="A15" s="14" t="s">
        <v>687</v>
      </c>
      <c r="B15" t="s">
        <v>688</v>
      </c>
      <c r="C15" s="28">
        <f>Sheet1!$C$16</f>
        <v>1</v>
      </c>
    </row>
  </sheetData>
  <mergeCells count="1">
    <mergeCell ref="A4:G4"/>
  </mergeCells>
  <conditionalFormatting sqref="B9:G10">
    <cfRule type="expression" dxfId="36" priority="1">
      <formula>$A9="◉"</formula>
    </cfRule>
  </conditionalFormatting>
  <conditionalFormatting sqref="A9:A10">
    <cfRule type="expression" dxfId="35" priority="2">
      <formula>A9="◉"</formula>
    </cfRule>
  </conditionalFormatting>
  <conditionalFormatting sqref="A9:A10">
    <cfRule type="expression" dxfId="34" priority="3">
      <formula>A9="○"</formula>
    </cfRule>
  </conditionalFormatting>
  <conditionalFormatting sqref="G6:G20">
    <cfRule type="containsText" dxfId="13" priority="4" operator="containsText" text="⚠">
      <formula>NOT(ISERROR(SEARCH("⚠",G6)))</formula>
    </cfRule>
  </conditionalFormatting>
  <conditionalFormatting sqref="G6:G20">
    <cfRule type="containsText" dxfId="12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9:A10" xr:uid="{6E59E84E-44E0-40F8-B753-61AAB9395ED8}">
      <formula1>"◉,○"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6852-885A-4EDF-8C00-32930F7A39A9}">
  <sheetPr codeName="Sheet8"/>
  <dimension ref="A1:G36"/>
  <sheetViews>
    <sheetView topLeftCell="B4" zoomScale="77" workbookViewId="0"/>
  </sheetViews>
  <sheetFormatPr defaultRowHeight="14.4" x14ac:dyDescent="0.3"/>
  <cols>
    <col min="1" max="1" width="5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689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3"/>
      <c r="B6" s="106" t="s">
        <v>690</v>
      </c>
      <c r="C6" s="105" t="str">
        <f>IFERROR(INDEX(C12:C13,MATCH("◉",A12:A13,0)),"—")</f>
        <v>Raymer 15.17</v>
      </c>
      <c r="D6" s="107">
        <f>IFERROR(INDEX(D12:D13,MATCH("◉",A12:A13,0)),NA())</f>
        <v>606.14762494746151</v>
      </c>
      <c r="E6" s="107">
        <f>IFERROR(INDEX(E12:E13,MATCH("◉",A12:A13,0)),NA())</f>
        <v>70</v>
      </c>
      <c r="F6" s="107">
        <f>IFERROR(INDEX(F12:F13,MATCH("◉",A12:A13,0)),NA())</f>
        <v>25</v>
      </c>
      <c r="G6" s="117" t="str">
        <f>IF(COUNTIF(A12:A13,"◉")=1,"OK", IF(COUNTIF(A12:A13,"◉")=0,"⚠ NONE SELECTED","⚠ "&amp;COUNTIF(A12:A13,"◉")&amp;" SELECTED"))</f>
        <v>OK</v>
      </c>
    </row>
    <row r="7" spans="1:7" x14ac:dyDescent="0.3">
      <c r="A7" s="113"/>
      <c r="B7" s="106" t="s">
        <v>694</v>
      </c>
      <c r="C7" s="105" t="str">
        <f>IFERROR(INDEX(C14:C15,MATCH("◉",A14:A15,0)),"—")</f>
        <v>Raymer 15.19</v>
      </c>
      <c r="D7" s="107">
        <f>IFERROR(INDEX(D14:D15,MATCH("◉",A14:A15,0)),NA())</f>
        <v>148.09649751881508</v>
      </c>
      <c r="E7" s="107">
        <f>IFERROR(INDEX(E14:E15,MATCH("◉",A14:A15,0)),NA())</f>
        <v>30</v>
      </c>
      <c r="F7" s="107">
        <f>IFERROR(INDEX(F14:F15,MATCH("◉",A14:A15,0)),NA())</f>
        <v>12</v>
      </c>
      <c r="G7" s="117" t="str">
        <f>IF(COUNTIF(A14:A15,"◉")=1,"OK", IF(COUNTIF(A14:A15,"◉")=0,"⚠ NONE SELECTED","⚠ "&amp;COUNTIF(A14:A15,"◉")&amp;" SELECTED"))</f>
        <v>OK</v>
      </c>
    </row>
    <row r="8" spans="1:7" x14ac:dyDescent="0.3">
      <c r="A8" s="113"/>
      <c r="B8" s="106" t="s">
        <v>698</v>
      </c>
      <c r="C8" s="105" t="str">
        <f>IFERROR(INDEX(C16:C17,MATCH("◉",A16:A17,0)),"—")</f>
        <v>Raymer 15.5</v>
      </c>
      <c r="D8" s="107">
        <f>IFERROR(INDEX(D16:D17,MATCH("◉",A16:A17,0)),NA())</f>
        <v>611.50460445616955</v>
      </c>
      <c r="E8" s="107">
        <f>IFERROR(INDEX(E16:E17,MATCH("◉",A16:A17,0)),NA())</f>
        <v>80</v>
      </c>
      <c r="F8" s="107">
        <f>IFERROR(INDEX(F16:F17,MATCH("◉",A16:A17,0)),NA())</f>
        <v>30</v>
      </c>
      <c r="G8" s="117" t="str">
        <f>IF(COUNTIF(A16:A17,"◉")=1,"OK", IF(COUNTIF(A16:A17,"◉")=0,"⚠ NONE SELECTED","⚠ "&amp;COUNTIF(A16:A17,"◉")&amp;" SELECTED"))</f>
        <v>OK</v>
      </c>
    </row>
    <row r="9" spans="1:7" x14ac:dyDescent="0.3">
      <c r="A9" s="114"/>
      <c r="B9" s="109" t="s">
        <v>702</v>
      </c>
      <c r="C9" s="108" t="str">
        <f>IFERROR(INDEX(C18:C19,MATCH("◉",A18:A19,0)),"—")</f>
        <v>Raymer 15.6</v>
      </c>
      <c r="D9" s="110">
        <f>IFERROR(INDEX(D18:D19,MATCH("◉",A18:A19,0)),NA())</f>
        <v>163.32173463839507</v>
      </c>
      <c r="E9" s="110">
        <f>IFERROR(INDEX(E18:E19,MATCH("◉",A18:A19,0)),NA())</f>
        <v>20</v>
      </c>
      <c r="F9" s="110">
        <f>IFERROR(INDEX(F18:F19,MATCH("◉",A18:A19,0)),NA())</f>
        <v>8</v>
      </c>
      <c r="G9" s="118" t="str">
        <f>IF(COUNTIF(A18:A19,"◉")=1,"OK", IF(COUNTIF(A18:A19,"◉")=0,"⚠ NONE SELECTED","⚠ "&amp;COUNTIF(A18:A19,"◉")&amp;" SELECTED"))</f>
        <v>OK</v>
      </c>
    </row>
    <row r="11" spans="1:7" x14ac:dyDescent="0.3">
      <c r="A11" s="69" t="s">
        <v>650</v>
      </c>
      <c r="B11" s="69" t="s">
        <v>3</v>
      </c>
      <c r="C11" s="69" t="s">
        <v>651</v>
      </c>
      <c r="D11" s="69" t="s">
        <v>652</v>
      </c>
      <c r="E11" s="69" t="s">
        <v>450</v>
      </c>
      <c r="F11" s="69" t="s">
        <v>451</v>
      </c>
      <c r="G11" s="69" t="s">
        <v>653</v>
      </c>
    </row>
    <row r="12" spans="1:7" x14ac:dyDescent="0.3">
      <c r="A12" s="94" t="s">
        <v>654</v>
      </c>
      <c r="B12" s="94" t="s">
        <v>690</v>
      </c>
      <c r="C12" s="94" t="s">
        <v>691</v>
      </c>
      <c r="D12" s="97" cm="1">
        <f t="array" ref="D12">36.28*M_max^0.003*S_cs^0.489*N_s^0.484*N_c^0.127</f>
        <v>606.14762494746151</v>
      </c>
      <c r="E12" s="97">
        <v>70</v>
      </c>
      <c r="F12" s="97">
        <v>25</v>
      </c>
      <c r="G12" s="94" t="s">
        <v>692</v>
      </c>
    </row>
    <row r="13" spans="1:7" x14ac:dyDescent="0.3">
      <c r="A13" t="s">
        <v>656</v>
      </c>
      <c r="C13" t="s">
        <v>673</v>
      </c>
      <c r="D13" s="46">
        <v>750</v>
      </c>
      <c r="E13" s="49">
        <v>40</v>
      </c>
      <c r="F13" s="49">
        <v>20</v>
      </c>
      <c r="G13" t="s">
        <v>693</v>
      </c>
    </row>
    <row r="14" spans="1:7" x14ac:dyDescent="0.3">
      <c r="A14" s="94" t="s">
        <v>654</v>
      </c>
      <c r="B14" s="94" t="s">
        <v>694</v>
      </c>
      <c r="C14" s="94" t="s">
        <v>695</v>
      </c>
      <c r="D14" s="97" cm="1">
        <f t="array" ref="D14">37.23*K_vsh*N_f^0.664</f>
        <v>148.09649751881508</v>
      </c>
      <c r="E14" s="97">
        <v>30</v>
      </c>
      <c r="F14" s="97">
        <v>12</v>
      </c>
      <c r="G14" s="94" t="s">
        <v>696</v>
      </c>
    </row>
    <row r="15" spans="1:7" x14ac:dyDescent="0.3">
      <c r="A15" s="95" t="s">
        <v>656</v>
      </c>
      <c r="C15" s="95" t="s">
        <v>673</v>
      </c>
      <c r="D15" s="46">
        <v>200</v>
      </c>
      <c r="E15" s="98">
        <v>25</v>
      </c>
      <c r="F15" s="98">
        <v>10</v>
      </c>
      <c r="G15" s="95" t="s">
        <v>697</v>
      </c>
    </row>
    <row r="16" spans="1:7" x14ac:dyDescent="0.3">
      <c r="A16" s="99" t="s">
        <v>654</v>
      </c>
      <c r="B16" s="94" t="s">
        <v>698</v>
      </c>
      <c r="C16" s="99" t="s">
        <v>699</v>
      </c>
      <c r="D16" s="97" cm="1">
        <f t="array" ref="D16">K_cb*K_tpg*(W_l*N_l)^0.25*L_m^0.973</f>
        <v>611.50460445616955</v>
      </c>
      <c r="E16" s="100">
        <v>80</v>
      </c>
      <c r="F16" s="100">
        <v>30</v>
      </c>
      <c r="G16" s="99" t="s">
        <v>700</v>
      </c>
    </row>
    <row r="17" spans="1:7" x14ac:dyDescent="0.3">
      <c r="A17" s="95" t="s">
        <v>656</v>
      </c>
      <c r="C17" s="95" t="s">
        <v>673</v>
      </c>
      <c r="D17" s="46">
        <v>1200</v>
      </c>
      <c r="E17" s="98">
        <v>60</v>
      </c>
      <c r="F17" s="98">
        <v>30</v>
      </c>
      <c r="G17" s="95" t="s">
        <v>701</v>
      </c>
    </row>
    <row r="18" spans="1:7" x14ac:dyDescent="0.3">
      <c r="A18" s="99" t="s">
        <v>654</v>
      </c>
      <c r="B18" s="94" t="s">
        <v>702</v>
      </c>
      <c r="C18" s="99" t="s">
        <v>703</v>
      </c>
      <c r="D18" s="97" cm="1">
        <f t="array" ref="D18">(W_l*N_l)^0.29*L_n^0.5*N_nw^0.525</f>
        <v>163.32173463839507</v>
      </c>
      <c r="E18" s="100">
        <v>20</v>
      </c>
      <c r="F18" s="100">
        <v>8</v>
      </c>
      <c r="G18" s="99" t="s">
        <v>704</v>
      </c>
    </row>
    <row r="19" spans="1:7" x14ac:dyDescent="0.3">
      <c r="A19" s="95" t="s">
        <v>656</v>
      </c>
      <c r="C19" s="95" t="s">
        <v>673</v>
      </c>
      <c r="D19" s="46">
        <v>280</v>
      </c>
      <c r="E19" s="98">
        <v>20</v>
      </c>
      <c r="F19" s="98">
        <v>8</v>
      </c>
      <c r="G19" s="95" t="s">
        <v>705</v>
      </c>
    </row>
    <row r="20" spans="1:7" x14ac:dyDescent="0.3">
      <c r="D20" s="49"/>
      <c r="E20" s="49"/>
      <c r="F20" s="49"/>
    </row>
    <row r="22" spans="1:7" ht="15.6" x14ac:dyDescent="0.3">
      <c r="A22" s="25" t="s">
        <v>678</v>
      </c>
    </row>
    <row r="23" spans="1:7" x14ac:dyDescent="0.3">
      <c r="A23" s="69" t="s">
        <v>658</v>
      </c>
      <c r="B23" s="69" t="s">
        <v>298</v>
      </c>
      <c r="C23" s="69" t="s">
        <v>445</v>
      </c>
      <c r="D23" s="69" t="s">
        <v>659</v>
      </c>
    </row>
    <row r="24" spans="1:7" x14ac:dyDescent="0.3">
      <c r="A24" s="14" t="s">
        <v>706</v>
      </c>
      <c r="B24" t="s">
        <v>707</v>
      </c>
      <c r="C24" s="28">
        <f>Sheet1!$C$9</f>
        <v>2</v>
      </c>
    </row>
    <row r="25" spans="1:7" x14ac:dyDescent="0.3">
      <c r="A25" s="14" t="s">
        <v>708</v>
      </c>
      <c r="B25" t="s">
        <v>709</v>
      </c>
      <c r="C25" s="30">
        <v>80</v>
      </c>
      <c r="D25" t="s">
        <v>710</v>
      </c>
    </row>
    <row r="26" spans="1:7" x14ac:dyDescent="0.3">
      <c r="A26" s="14" t="s">
        <v>711</v>
      </c>
      <c r="B26" t="s">
        <v>712</v>
      </c>
      <c r="C26" s="30">
        <v>4</v>
      </c>
    </row>
    <row r="27" spans="1:7" x14ac:dyDescent="0.3">
      <c r="A27" s="14" t="s">
        <v>687</v>
      </c>
      <c r="B27" t="s">
        <v>688</v>
      </c>
      <c r="C27" s="28">
        <f>Sheet1!$C$16</f>
        <v>1</v>
      </c>
    </row>
    <row r="28" spans="1:7" x14ac:dyDescent="0.3">
      <c r="A28" s="14" t="s">
        <v>713</v>
      </c>
      <c r="B28" t="s">
        <v>714</v>
      </c>
      <c r="C28" s="30">
        <v>1</v>
      </c>
    </row>
    <row r="29" spans="1:7" x14ac:dyDescent="0.3">
      <c r="A29" s="14" t="s">
        <v>715</v>
      </c>
      <c r="B29" t="s">
        <v>716</v>
      </c>
      <c r="C29" s="30">
        <v>8</v>
      </c>
    </row>
    <row r="30" spans="1:7" x14ac:dyDescent="0.3">
      <c r="A30" s="14" t="s">
        <v>717</v>
      </c>
      <c r="B30" t="s">
        <v>718</v>
      </c>
      <c r="C30" s="30">
        <v>1</v>
      </c>
    </row>
    <row r="31" spans="1:7" x14ac:dyDescent="0.3">
      <c r="A31" s="14" t="s">
        <v>719</v>
      </c>
      <c r="B31" t="s">
        <v>720</v>
      </c>
      <c r="C31" s="30">
        <v>1</v>
      </c>
    </row>
    <row r="32" spans="1:7" x14ac:dyDescent="0.3">
      <c r="A32" s="14" t="s">
        <v>721</v>
      </c>
      <c r="B32" t="s">
        <v>722</v>
      </c>
      <c r="C32" s="28">
        <f>Sheet1!$C$8</f>
        <v>24000</v>
      </c>
      <c r="D32" t="s">
        <v>662</v>
      </c>
    </row>
    <row r="33" spans="1:4" x14ac:dyDescent="0.3">
      <c r="A33" s="14" t="s">
        <v>723</v>
      </c>
      <c r="B33" t="s">
        <v>724</v>
      </c>
      <c r="C33" s="28">
        <f>Sheet1!$C$7</f>
        <v>5.7</v>
      </c>
    </row>
    <row r="34" spans="1:4" x14ac:dyDescent="0.3">
      <c r="A34" s="14" t="s">
        <v>725</v>
      </c>
      <c r="B34" t="s">
        <v>726</v>
      </c>
      <c r="C34" s="30">
        <v>35</v>
      </c>
      <c r="D34" t="s">
        <v>543</v>
      </c>
    </row>
    <row r="35" spans="1:4" x14ac:dyDescent="0.3">
      <c r="A35" s="14" t="s">
        <v>727</v>
      </c>
      <c r="B35" t="s">
        <v>728</v>
      </c>
      <c r="C35" s="30">
        <v>28</v>
      </c>
      <c r="D35" t="s">
        <v>543</v>
      </c>
    </row>
    <row r="36" spans="1:4" x14ac:dyDescent="0.3">
      <c r="A36" s="14" t="s">
        <v>729</v>
      </c>
      <c r="B36" t="s">
        <v>730</v>
      </c>
      <c r="C36" s="30">
        <v>1</v>
      </c>
    </row>
  </sheetData>
  <mergeCells count="1">
    <mergeCell ref="A4:G4"/>
  </mergeCells>
  <conditionalFormatting sqref="B12:G19">
    <cfRule type="expression" dxfId="33" priority="1">
      <formula>$A12="◉"</formula>
    </cfRule>
  </conditionalFormatting>
  <conditionalFormatting sqref="A12:A19">
    <cfRule type="expression" dxfId="32" priority="2">
      <formula>A12="◉"</formula>
    </cfRule>
  </conditionalFormatting>
  <conditionalFormatting sqref="A12:A19">
    <cfRule type="expression" dxfId="31" priority="3">
      <formula>A12="○"</formula>
    </cfRule>
  </conditionalFormatting>
  <conditionalFormatting sqref="G6:G20">
    <cfRule type="containsText" dxfId="11" priority="4" operator="containsText" text="⚠">
      <formula>NOT(ISERROR(SEARCH("⚠",G6)))</formula>
    </cfRule>
  </conditionalFormatting>
  <conditionalFormatting sqref="G6:G20">
    <cfRule type="containsText" dxfId="10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12:A19" xr:uid="{26E32E66-7A66-4CF6-AD70-8C1CA07F1014}">
      <formula1>"◉,○"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96B6-C045-4869-BAB3-44DB6AE1FBC1}">
  <sheetPr codeName="Sheet9"/>
  <dimension ref="A1:G17"/>
  <sheetViews>
    <sheetView workbookViewId="0"/>
  </sheetViews>
  <sheetFormatPr defaultRowHeight="14.4" x14ac:dyDescent="0.3"/>
  <cols>
    <col min="1" max="1" width="5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731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4"/>
      <c r="B6" s="109" t="s">
        <v>732</v>
      </c>
      <c r="C6" s="108" t="str">
        <f>IFERROR(INDEX(C9:C10,MATCH("◉",A9:A10,0)),"—")</f>
        <v>Raymer 15.18</v>
      </c>
      <c r="D6" s="110">
        <f>IFERROR(INDEX(D9:D10,MATCH("◉",A9:A10,0)),NA())</f>
        <v>25.876000000000001</v>
      </c>
      <c r="E6" s="110">
        <f>IFERROR(INDEX(E9:E10,MATCH("◉",A9:A10,0)),NA())</f>
        <v>12</v>
      </c>
      <c r="F6" s="110">
        <f>IFERROR(INDEX(F9:F10,MATCH("◉",A9:A10,0)),NA())</f>
        <v>4</v>
      </c>
      <c r="G6" s="118" t="str">
        <f>IF(COUNTIF(A9:A10,"◉")=1,"OK", IF(COUNTIF(A9:A10,"◉")=0,"⚠ NONE SELECTED","⚠ "&amp;COUNTIF(A9:A10,"◉")&amp;" SELECTED"))</f>
        <v>OK</v>
      </c>
    </row>
    <row r="8" spans="1:7" x14ac:dyDescent="0.3">
      <c r="A8" s="69" t="s">
        <v>650</v>
      </c>
      <c r="B8" s="69" t="s">
        <v>3</v>
      </c>
      <c r="C8" s="69" t="s">
        <v>651</v>
      </c>
      <c r="D8" s="69" t="s">
        <v>652</v>
      </c>
      <c r="E8" s="69" t="s">
        <v>450</v>
      </c>
      <c r="F8" s="69" t="s">
        <v>451</v>
      </c>
      <c r="G8" s="69" t="s">
        <v>653</v>
      </c>
    </row>
    <row r="9" spans="1:7" x14ac:dyDescent="0.3">
      <c r="A9" s="94" t="s">
        <v>654</v>
      </c>
      <c r="B9" s="94" t="s">
        <v>732</v>
      </c>
      <c r="C9" s="94" t="s">
        <v>733</v>
      </c>
      <c r="D9" s="97" cm="1">
        <f t="array" ref="D9">N_c*(15+0.032*(W_dg/1000))+N_en*(4.8+0.006*(W_dg/1000))+0.15*(W_dg/1000)+1</f>
        <v>25.876000000000001</v>
      </c>
      <c r="E9" s="97">
        <v>12</v>
      </c>
      <c r="F9" s="97">
        <v>4</v>
      </c>
      <c r="G9" s="94" t="s">
        <v>734</v>
      </c>
    </row>
    <row r="10" spans="1:7" x14ac:dyDescent="0.3">
      <c r="A10" t="s">
        <v>656</v>
      </c>
      <c r="C10" t="s">
        <v>673</v>
      </c>
      <c r="D10" s="46">
        <v>60</v>
      </c>
      <c r="E10" s="49">
        <v>10</v>
      </c>
      <c r="F10" s="49">
        <v>5</v>
      </c>
      <c r="G10" t="s">
        <v>735</v>
      </c>
    </row>
    <row r="11" spans="1:7" x14ac:dyDescent="0.3">
      <c r="D11" s="49"/>
      <c r="E11" s="49"/>
      <c r="F11" s="49"/>
    </row>
    <row r="13" spans="1:7" ht="15.6" x14ac:dyDescent="0.3">
      <c r="A13" s="25" t="s">
        <v>678</v>
      </c>
    </row>
    <row r="14" spans="1:7" x14ac:dyDescent="0.3">
      <c r="A14" s="69" t="s">
        <v>658</v>
      </c>
      <c r="B14" s="69" t="s">
        <v>298</v>
      </c>
      <c r="C14" s="69" t="s">
        <v>445</v>
      </c>
      <c r="D14" s="69" t="s">
        <v>659</v>
      </c>
    </row>
    <row r="15" spans="1:7" x14ac:dyDescent="0.3">
      <c r="A15" s="14" t="s">
        <v>687</v>
      </c>
      <c r="B15" t="s">
        <v>688</v>
      </c>
      <c r="C15" s="28">
        <f>Sheet1!$C$16</f>
        <v>1</v>
      </c>
    </row>
    <row r="16" spans="1:7" x14ac:dyDescent="0.3">
      <c r="A16" s="14" t="s">
        <v>736</v>
      </c>
      <c r="B16" t="s">
        <v>737</v>
      </c>
      <c r="C16" s="28">
        <f>Sheet1!$C$10</f>
        <v>1</v>
      </c>
    </row>
    <row r="17" spans="1:4" x14ac:dyDescent="0.3">
      <c r="A17" s="14" t="s">
        <v>738</v>
      </c>
      <c r="B17" t="s">
        <v>739</v>
      </c>
      <c r="C17" s="28">
        <f>Sheet1!$C$5</f>
        <v>27000</v>
      </c>
      <c r="D17" t="s">
        <v>662</v>
      </c>
    </row>
  </sheetData>
  <mergeCells count="1">
    <mergeCell ref="A4:G4"/>
  </mergeCells>
  <conditionalFormatting sqref="B9:G10">
    <cfRule type="expression" dxfId="30" priority="1">
      <formula>$A9="◉"</formula>
    </cfRule>
  </conditionalFormatting>
  <conditionalFormatting sqref="A9:A10">
    <cfRule type="expression" dxfId="29" priority="2">
      <formula>A9="◉"</formula>
    </cfRule>
  </conditionalFormatting>
  <conditionalFormatting sqref="A9:A10">
    <cfRule type="expression" dxfId="28" priority="3">
      <formula>A9="○"</formula>
    </cfRule>
  </conditionalFormatting>
  <conditionalFormatting sqref="G6:G20">
    <cfRule type="containsText" dxfId="9" priority="4" operator="containsText" text="⚠">
      <formula>NOT(ISERROR(SEARCH("⚠",G6)))</formula>
    </cfRule>
  </conditionalFormatting>
  <conditionalFormatting sqref="G6:G20">
    <cfRule type="containsText" dxfId="8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9:A10" xr:uid="{04FD5DD3-C0E1-4E05-B437-E5810EAB43A7}">
      <formula1>"◉,○"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31FA0-2E2B-4DA0-BA6D-FB3ACAA01EAB}">
  <sheetPr codeName="Sheet10"/>
  <dimension ref="A1:G24"/>
  <sheetViews>
    <sheetView workbookViewId="0">
      <selection activeCell="D13" sqref="D13"/>
    </sheetView>
  </sheetViews>
  <sheetFormatPr defaultRowHeight="14.4" x14ac:dyDescent="0.3"/>
  <cols>
    <col min="1" max="1" width="13.3320312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740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3"/>
      <c r="B6" s="106" t="s">
        <v>741</v>
      </c>
      <c r="C6" s="105" t="str">
        <f>IFERROR(INDEX(C12:C13,MATCH("◉",A12:A13,0)),"—")</f>
        <v>Datasheet (total)</v>
      </c>
      <c r="D6" s="107">
        <f>IFERROR(INDEX(D12:D13,MATCH("◉",A12:A13,0)),NA())</f>
        <v>1000</v>
      </c>
      <c r="E6" s="107">
        <f>IFERROR(INDEX(E12:E13,MATCH("◉",A12:A13,0)),NA())</f>
        <v>80</v>
      </c>
      <c r="F6" s="107">
        <f>IFERROR(INDEX(F12:F13,MATCH("◉",A12:A13,0)),NA())</f>
        <v>30</v>
      </c>
      <c r="G6" s="117" t="str">
        <f>IF(COUNTIF(A12:A13,"◉")=1,"OK", IF(COUNTIF(A12:A13,"◉")=0,"⚠ NONE SELECTED","⚠ "&amp;COUNTIF(A12:A13,"◉")&amp;" SELECTED"))</f>
        <v>OK</v>
      </c>
    </row>
    <row r="7" spans="1:7" x14ac:dyDescent="0.3">
      <c r="A7" s="113"/>
      <c r="B7" s="106" t="s">
        <v>887</v>
      </c>
      <c r="C7" s="105" t="str">
        <f>IFERROR(INDEX(C14:C14,MATCH("◉",A14:A14,0)),"—")</f>
        <v>Allocation %</v>
      </c>
      <c r="D7" s="107">
        <f>IFERROR(INDEX(D14:D14,MATCH("◉",A14:A14,0)),NA())</f>
        <v>270.54768649849649</v>
      </c>
      <c r="E7" s="107">
        <f>IFERROR(INDEX(E14:E14,MATCH("◉",A14:A14,0)),NA())</f>
        <v>12</v>
      </c>
      <c r="F7" s="107">
        <f>IFERROR(INDEX(F14:F14,MATCH("◉",A14:A14,0)),NA())</f>
        <v>5</v>
      </c>
      <c r="G7" s="117" t="str">
        <f>IF(COUNTIF(A14:A14,"◉")=1,"OK", IF(COUNTIF(A14:A14,"◉")=0,"⚠ NONE SELECTED","⚠ "&amp;COUNTIF(A14:A14,"◉")&amp;" SELECTED"))</f>
        <v>OK</v>
      </c>
    </row>
    <row r="8" spans="1:7" x14ac:dyDescent="0.3">
      <c r="A8" s="113"/>
      <c r="B8" s="106" t="s">
        <v>888</v>
      </c>
      <c r="C8" s="105" t="str">
        <f>IFERROR(INDEX(C15:C15,MATCH("◉",A15:A15,0)),"—")</f>
        <v>Allocation %</v>
      </c>
      <c r="D8" s="107">
        <f>IFERROR(INDEX(D15:D15,MATCH("◉",A15:A15,0)),NA())</f>
        <v>270.54768649849649</v>
      </c>
      <c r="E8" s="107">
        <f>IFERROR(INDEX(E15:E15,MATCH("◉",A15:A15,0)),NA())</f>
        <v>12</v>
      </c>
      <c r="F8" s="107">
        <f>IFERROR(INDEX(F15:F15,MATCH("◉",A15:A15,0)),NA())</f>
        <v>5</v>
      </c>
      <c r="G8" s="117" t="str">
        <f>IF(COUNTIF(A15:A15,"◉")=1,"OK", IF(COUNTIF(A15:A15,"◉")=0,"⚠ NONE SELECTED","⚠ "&amp;COUNTIF(A15:A15,"◉")&amp;" SELECTED"))</f>
        <v>OK</v>
      </c>
    </row>
    <row r="9" spans="1:7" x14ac:dyDescent="0.3">
      <c r="A9" s="114"/>
      <c r="B9" s="109" t="s">
        <v>889</v>
      </c>
      <c r="C9" s="108" t="str">
        <f>IFERROR(INDEX(C16:C16,MATCH("◉",A16:A16,0)),"—")</f>
        <v>Allocation %</v>
      </c>
      <c r="D9" s="110">
        <f>IFERROR(INDEX(D16:D16,MATCH("◉",A16:A16,0)),NA())</f>
        <v>541.09537299699298</v>
      </c>
      <c r="E9" s="110">
        <f>IFERROR(INDEX(E16:E16,MATCH("◉",A16:A16,0)),NA())</f>
        <v>16</v>
      </c>
      <c r="F9" s="110">
        <f>IFERROR(INDEX(F16:F16,MATCH("◉",A16:A16,0)),NA())</f>
        <v>6</v>
      </c>
      <c r="G9" s="118" t="str">
        <f>IF(COUNTIF(A16:A16,"◉")=1,"OK", IF(COUNTIF(A16:A16,"◉")=0,"⚠ NONE SELECTED","⚠ "&amp;COUNTIF(A16:A16,"◉")&amp;" SELECTED"))</f>
        <v>OK</v>
      </c>
    </row>
    <row r="11" spans="1:7" x14ac:dyDescent="0.3">
      <c r="A11" s="69" t="s">
        <v>650</v>
      </c>
      <c r="B11" s="69" t="s">
        <v>3</v>
      </c>
      <c r="C11" s="69" t="s">
        <v>651</v>
      </c>
      <c r="D11" s="69" t="s">
        <v>652</v>
      </c>
      <c r="E11" s="69" t="s">
        <v>450</v>
      </c>
      <c r="F11" s="69" t="s">
        <v>451</v>
      </c>
      <c r="G11" s="69" t="s">
        <v>653</v>
      </c>
    </row>
    <row r="12" spans="1:7" x14ac:dyDescent="0.3">
      <c r="A12" s="94" t="s">
        <v>656</v>
      </c>
      <c r="B12" s="94" t="s">
        <v>741</v>
      </c>
      <c r="C12" s="94" t="s">
        <v>742</v>
      </c>
      <c r="D12" s="97" cm="1">
        <f t="array" ref="D12">2.117*W_uav^0.933</f>
        <v>1082.190745993986</v>
      </c>
      <c r="E12" s="97">
        <v>50</v>
      </c>
      <c r="F12" s="97">
        <v>20</v>
      </c>
      <c r="G12" s="94" t="s">
        <v>743</v>
      </c>
    </row>
    <row r="13" spans="1:7" x14ac:dyDescent="0.3">
      <c r="A13" t="s">
        <v>654</v>
      </c>
      <c r="C13" t="s">
        <v>744</v>
      </c>
      <c r="D13" s="46">
        <v>1000</v>
      </c>
      <c r="E13" s="49">
        <v>80</v>
      </c>
      <c r="F13" s="49">
        <v>30</v>
      </c>
      <c r="G13" t="s">
        <v>745</v>
      </c>
    </row>
    <row r="14" spans="1:7" x14ac:dyDescent="0.3">
      <c r="A14" s="94" t="s">
        <v>654</v>
      </c>
      <c r="B14" s="94" t="s">
        <v>746</v>
      </c>
      <c r="C14" s="94" t="s">
        <v>747</v>
      </c>
      <c r="D14" s="97" cm="1">
        <f t="array" ref="D14">2.117*W_uav^0.933*pct_22</f>
        <v>270.54768649849649</v>
      </c>
      <c r="E14" s="97">
        <v>12</v>
      </c>
      <c r="F14" s="97">
        <v>5</v>
      </c>
      <c r="G14" s="94" t="s">
        <v>748</v>
      </c>
    </row>
    <row r="15" spans="1:7" x14ac:dyDescent="0.3">
      <c r="A15" s="99" t="s">
        <v>654</v>
      </c>
      <c r="B15" s="99" t="s">
        <v>749</v>
      </c>
      <c r="C15" s="99" t="s">
        <v>747</v>
      </c>
      <c r="D15" s="97" cm="1">
        <f t="array" ref="D15">2.117*W_uav^0.933*pct_23</f>
        <v>270.54768649849649</v>
      </c>
      <c r="E15" s="100">
        <v>12</v>
      </c>
      <c r="F15" s="100">
        <v>5</v>
      </c>
      <c r="G15" s="99" t="s">
        <v>748</v>
      </c>
    </row>
    <row r="16" spans="1:7" x14ac:dyDescent="0.3">
      <c r="A16" s="99" t="s">
        <v>654</v>
      </c>
      <c r="B16" s="99" t="s">
        <v>750</v>
      </c>
      <c r="C16" s="99" t="s">
        <v>747</v>
      </c>
      <c r="D16" s="97" cm="1">
        <f t="array" ref="D16">2.117*W_uav^0.933*pct_34</f>
        <v>541.09537299699298</v>
      </c>
      <c r="E16" s="100">
        <v>16</v>
      </c>
      <c r="F16" s="100">
        <v>6</v>
      </c>
      <c r="G16" s="99" t="s">
        <v>748</v>
      </c>
    </row>
    <row r="17" spans="1:6" x14ac:dyDescent="0.3">
      <c r="D17" s="49"/>
      <c r="E17" s="49"/>
      <c r="F17" s="49"/>
    </row>
    <row r="19" spans="1:6" ht="15.6" x14ac:dyDescent="0.3">
      <c r="A19" s="25" t="s">
        <v>678</v>
      </c>
    </row>
    <row r="20" spans="1:6" x14ac:dyDescent="0.3">
      <c r="A20" s="69" t="s">
        <v>658</v>
      </c>
      <c r="B20" s="69" t="s">
        <v>298</v>
      </c>
      <c r="C20" s="69" t="s">
        <v>445</v>
      </c>
      <c r="D20" s="69" t="s">
        <v>659</v>
      </c>
    </row>
    <row r="21" spans="1:6" x14ac:dyDescent="0.3">
      <c r="A21" s="14" t="s">
        <v>660</v>
      </c>
      <c r="B21" t="s">
        <v>661</v>
      </c>
      <c r="C21" s="30">
        <v>800</v>
      </c>
      <c r="D21" t="s">
        <v>662</v>
      </c>
    </row>
    <row r="22" spans="1:6" x14ac:dyDescent="0.3">
      <c r="A22" s="14" t="s">
        <v>751</v>
      </c>
      <c r="B22" t="s">
        <v>752</v>
      </c>
      <c r="C22" s="30">
        <v>0.25</v>
      </c>
      <c r="D22" t="s">
        <v>753</v>
      </c>
    </row>
    <row r="23" spans="1:6" x14ac:dyDescent="0.3">
      <c r="A23" s="14" t="s">
        <v>754</v>
      </c>
      <c r="B23" t="s">
        <v>755</v>
      </c>
      <c r="C23" s="30">
        <v>0.25</v>
      </c>
      <c r="D23" t="s">
        <v>753</v>
      </c>
    </row>
    <row r="24" spans="1:6" x14ac:dyDescent="0.3">
      <c r="A24" s="14" t="s">
        <v>756</v>
      </c>
      <c r="B24" t="s">
        <v>757</v>
      </c>
      <c r="C24" s="30">
        <v>0.5</v>
      </c>
      <c r="D24" t="s">
        <v>753</v>
      </c>
    </row>
  </sheetData>
  <mergeCells count="1">
    <mergeCell ref="A4:G4"/>
  </mergeCells>
  <conditionalFormatting sqref="B12:G16">
    <cfRule type="expression" dxfId="27" priority="1">
      <formula>$A12="◉"</formula>
    </cfRule>
  </conditionalFormatting>
  <conditionalFormatting sqref="A12:A16">
    <cfRule type="expression" dxfId="26" priority="2">
      <formula>A12="◉"</formula>
    </cfRule>
  </conditionalFormatting>
  <conditionalFormatting sqref="A12:A16">
    <cfRule type="expression" dxfId="25" priority="3">
      <formula>A12="○"</formula>
    </cfRule>
  </conditionalFormatting>
  <conditionalFormatting sqref="G6:G20">
    <cfRule type="containsText" dxfId="7" priority="4" operator="containsText" text="⚠">
      <formula>NOT(ISERROR(SEARCH("⚠",G6)))</formula>
    </cfRule>
  </conditionalFormatting>
  <conditionalFormatting sqref="G6:G20">
    <cfRule type="containsText" dxfId="6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12:A16" xr:uid="{073AAD7C-0468-4C78-8A74-B7EE5798F76F}">
      <formula1>"◉,○"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E661-BE59-4EDD-AFF5-6F3172C84B42}">
  <sheetPr codeName="Sheet11"/>
  <dimension ref="A1:G24"/>
  <sheetViews>
    <sheetView workbookViewId="0">
      <selection activeCell="D16" sqref="D16"/>
    </sheetView>
  </sheetViews>
  <sheetFormatPr defaultRowHeight="14.4" x14ac:dyDescent="0.3"/>
  <cols>
    <col min="1" max="1" width="5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758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4"/>
      <c r="B6" s="109" t="s">
        <v>759</v>
      </c>
      <c r="C6" s="108" t="str">
        <f>IFERROR(INDEX(C9:C10,MATCH("◉",A9:A10,0)),"—")</f>
        <v>Raymer 15.1</v>
      </c>
      <c r="D6" s="110">
        <f>IFERROR(INDEX(D9:D10,MATCH("◉",A9:A10,0)),NA())</f>
        <v>3860.725189348901</v>
      </c>
      <c r="E6" s="110">
        <f>IFERROR(INDEX(E9:E10,MATCH("◉",A9:A10,0)),NA())</f>
        <v>250</v>
      </c>
      <c r="F6" s="110">
        <f>IFERROR(INDEX(F9:F10,MATCH("◉",A9:A10,0)),NA())</f>
        <v>100</v>
      </c>
      <c r="G6" s="118" t="str">
        <f>IF(COUNTIF(A9:A10,"◉")=1,"OK", IF(COUNTIF(A9:A10,"◉")=0,"⚠ NONE SELECTED","⚠ "&amp;COUNTIF(A9:A10,"◉")&amp;" SELECTED"))</f>
        <v>OK</v>
      </c>
    </row>
    <row r="8" spans="1:7" x14ac:dyDescent="0.3">
      <c r="A8" s="69" t="s">
        <v>650</v>
      </c>
      <c r="B8" s="69" t="s">
        <v>3</v>
      </c>
      <c r="C8" s="69" t="s">
        <v>651</v>
      </c>
      <c r="D8" s="69" t="s">
        <v>652</v>
      </c>
      <c r="E8" s="69" t="s">
        <v>450</v>
      </c>
      <c r="F8" s="69" t="s">
        <v>451</v>
      </c>
      <c r="G8" s="69" t="s">
        <v>653</v>
      </c>
    </row>
    <row r="9" spans="1:7" x14ac:dyDescent="0.3">
      <c r="A9" s="94" t="s">
        <v>654</v>
      </c>
      <c r="B9" s="94" t="s">
        <v>759</v>
      </c>
      <c r="C9" s="94" t="s">
        <v>760</v>
      </c>
      <c r="D9" s="97">
        <f>0.0103*K_dw*K_vs*(W_dg*N_z)^0.5*S_w^0.622*A^0.785*(t_c)^-0.4*(1+lambda)^0.05*(COS(Sweep_w*PI()/180))^-1*S_csw^0.04</f>
        <v>3860.725189348901</v>
      </c>
      <c r="E9" s="97">
        <v>250</v>
      </c>
      <c r="F9" s="97">
        <v>100</v>
      </c>
      <c r="G9" s="94" t="s">
        <v>761</v>
      </c>
    </row>
    <row r="10" spans="1:7" x14ac:dyDescent="0.3">
      <c r="A10" t="s">
        <v>656</v>
      </c>
      <c r="C10" t="s">
        <v>673</v>
      </c>
      <c r="D10" s="46">
        <v>3500</v>
      </c>
      <c r="E10" s="49">
        <v>200</v>
      </c>
      <c r="F10" s="49">
        <v>100</v>
      </c>
      <c r="G10" t="s">
        <v>762</v>
      </c>
    </row>
    <row r="11" spans="1:7" x14ac:dyDescent="0.3">
      <c r="D11" s="49"/>
      <c r="E11" s="49"/>
      <c r="F11" s="49"/>
    </row>
    <row r="13" spans="1:7" ht="15.6" x14ac:dyDescent="0.3">
      <c r="A13" s="25" t="s">
        <v>678</v>
      </c>
    </row>
    <row r="14" spans="1:7" x14ac:dyDescent="0.3">
      <c r="A14" s="69" t="s">
        <v>658</v>
      </c>
      <c r="B14" s="69" t="s">
        <v>298</v>
      </c>
      <c r="C14" s="69" t="s">
        <v>445</v>
      </c>
      <c r="D14" s="69" t="s">
        <v>659</v>
      </c>
    </row>
    <row r="15" spans="1:7" x14ac:dyDescent="0.3">
      <c r="A15" s="14" t="s">
        <v>763</v>
      </c>
      <c r="B15" t="s">
        <v>764</v>
      </c>
      <c r="C15" s="30">
        <v>1</v>
      </c>
    </row>
    <row r="16" spans="1:7" x14ac:dyDescent="0.3">
      <c r="A16" s="14" t="s">
        <v>765</v>
      </c>
      <c r="B16" t="s">
        <v>766</v>
      </c>
      <c r="C16" s="30">
        <v>1</v>
      </c>
    </row>
    <row r="17" spans="1:4" x14ac:dyDescent="0.3">
      <c r="A17" s="14" t="s">
        <v>738</v>
      </c>
      <c r="B17" t="s">
        <v>739</v>
      </c>
      <c r="C17" s="28">
        <f>Sheet1!$C$5</f>
        <v>27000</v>
      </c>
      <c r="D17" t="s">
        <v>662</v>
      </c>
    </row>
    <row r="18" spans="1:4" x14ac:dyDescent="0.3">
      <c r="A18" s="14" t="s">
        <v>767</v>
      </c>
      <c r="B18" t="s">
        <v>768</v>
      </c>
      <c r="C18" s="28">
        <f>Sheet1!$C$6</f>
        <v>13.5</v>
      </c>
    </row>
    <row r="19" spans="1:4" x14ac:dyDescent="0.3">
      <c r="A19" s="14" t="s">
        <v>769</v>
      </c>
      <c r="B19" t="s">
        <v>770</v>
      </c>
      <c r="C19" s="30">
        <v>500</v>
      </c>
      <c r="D19" t="s">
        <v>710</v>
      </c>
    </row>
    <row r="20" spans="1:4" x14ac:dyDescent="0.3">
      <c r="A20" s="14" t="s">
        <v>771</v>
      </c>
      <c r="B20" t="s">
        <v>772</v>
      </c>
      <c r="C20" s="30">
        <v>3.5</v>
      </c>
    </row>
    <row r="21" spans="1:4" x14ac:dyDescent="0.3">
      <c r="A21" s="14" t="s">
        <v>773</v>
      </c>
      <c r="B21" t="s">
        <v>774</v>
      </c>
      <c r="C21" s="30">
        <v>0.05</v>
      </c>
    </row>
    <row r="22" spans="1:4" x14ac:dyDescent="0.3">
      <c r="A22" s="14" t="s">
        <v>775</v>
      </c>
      <c r="B22" t="s">
        <v>776</v>
      </c>
      <c r="C22" s="30">
        <v>0.2</v>
      </c>
    </row>
    <row r="23" spans="1:4" x14ac:dyDescent="0.3">
      <c r="A23" s="14" t="s">
        <v>883</v>
      </c>
      <c r="B23" t="s">
        <v>777</v>
      </c>
      <c r="C23" s="30">
        <v>35</v>
      </c>
      <c r="D23" t="s">
        <v>514</v>
      </c>
    </row>
    <row r="24" spans="1:4" x14ac:dyDescent="0.3">
      <c r="A24" s="14" t="s">
        <v>778</v>
      </c>
      <c r="B24" t="s">
        <v>779</v>
      </c>
      <c r="C24" s="30">
        <v>80</v>
      </c>
      <c r="D24" t="s">
        <v>710</v>
      </c>
    </row>
  </sheetData>
  <mergeCells count="1">
    <mergeCell ref="A4:G4"/>
  </mergeCells>
  <conditionalFormatting sqref="B9:G10">
    <cfRule type="expression" dxfId="24" priority="1">
      <formula>$A9="◉"</formula>
    </cfRule>
  </conditionalFormatting>
  <conditionalFormatting sqref="A9:A10">
    <cfRule type="expression" dxfId="23" priority="2">
      <formula>A9="◉"</formula>
    </cfRule>
  </conditionalFormatting>
  <conditionalFormatting sqref="A9:A10">
    <cfRule type="expression" dxfId="22" priority="3">
      <formula>A9="○"</formula>
    </cfRule>
  </conditionalFormatting>
  <conditionalFormatting sqref="G6:G20">
    <cfRule type="containsText" dxfId="5" priority="4" operator="containsText" text="⚠">
      <formula>NOT(ISERROR(SEARCH("⚠",G6)))</formula>
    </cfRule>
  </conditionalFormatting>
  <conditionalFormatting sqref="G6:G20">
    <cfRule type="containsText" dxfId="4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9:A10" xr:uid="{B5542226-9C1F-417B-B6C4-D77E0520A89C}">
      <formula1>"◉,○"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C35B2-CEDA-41A4-B55F-FB70AB7E60EF}">
  <sheetPr codeName="Sheet12"/>
  <dimension ref="A1:G37"/>
  <sheetViews>
    <sheetView topLeftCell="A19" workbookViewId="0"/>
  </sheetViews>
  <sheetFormatPr defaultRowHeight="14.4" x14ac:dyDescent="0.3"/>
  <cols>
    <col min="1" max="1" width="5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780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3"/>
      <c r="B6" s="106" t="s">
        <v>781</v>
      </c>
      <c r="C6" s="105" t="str">
        <f>IFERROR(INDEX(C11:C12,MATCH("◉",A11:A12,0)),"—")</f>
        <v>Raymer 15.4</v>
      </c>
      <c r="D6" s="107">
        <f>IFERROR(INDEX(D11:D12,MATCH("◉",A11:A12,0)),NA())</f>
        <v>2777.9775358456423</v>
      </c>
      <c r="E6" s="107">
        <f>IFERROR(INDEX(E11:E12,MATCH("◉",A11:A12,0)),NA())</f>
        <v>500</v>
      </c>
      <c r="F6" s="107">
        <f>IFERROR(INDEX(F11:F12,MATCH("◉",A11:A12,0)),NA())</f>
        <v>150</v>
      </c>
      <c r="G6" s="117" t="str">
        <f>IF(COUNTIF(A11:A12,"◉")=1,"OK", IF(COUNTIF(A11:A12,"◉")=0,"⚠ NONE SELECTED","⚠ "&amp;COUNTIF(A11:A12,"◉")&amp;" SELECTED"))</f>
        <v>OK</v>
      </c>
    </row>
    <row r="7" spans="1:7" x14ac:dyDescent="0.3">
      <c r="A7" s="113"/>
      <c r="B7" s="106" t="s">
        <v>785</v>
      </c>
      <c r="C7" s="105" t="str">
        <f>IFERROR(INDEX(C13:C14,MATCH("◉",A13:A14,0)),"—")</f>
        <v>Raymer 15.2</v>
      </c>
      <c r="D7" s="107">
        <f>IFERROR(INDEX(D13:D14,MATCH("◉",A13:A14,0)),NA())</f>
        <v>320.09482511697382</v>
      </c>
      <c r="E7" s="107">
        <f>IFERROR(INDEX(E13:E14,MATCH("◉",A13:A14,0)),NA())</f>
        <v>60</v>
      </c>
      <c r="F7" s="107">
        <f>IFERROR(INDEX(F13:F14,MATCH("◉",A13:A14,0)),NA())</f>
        <v>20</v>
      </c>
      <c r="G7" s="117" t="str">
        <f>IF(COUNTIF(A13:A14,"◉")=1,"OK", IF(COUNTIF(A13:A14,"◉")=0,"⚠ NONE SELECTED","⚠ "&amp;COUNTIF(A13:A14,"◉")&amp;" SELECTED"))</f>
        <v>OK</v>
      </c>
    </row>
    <row r="8" spans="1:7" x14ac:dyDescent="0.3">
      <c r="A8" s="114"/>
      <c r="B8" s="109" t="s">
        <v>789</v>
      </c>
      <c r="C8" s="108" t="str">
        <f>IFERROR(INDEX(C15:C16,MATCH("◉",A15:A16,0)),"—")</f>
        <v>Raymer 15.3</v>
      </c>
      <c r="D8" s="110">
        <f>IFERROR(INDEX(D15:D16,MATCH("◉",A15:A16,0)),NA())</f>
        <v>359.16743867618851</v>
      </c>
      <c r="E8" s="110">
        <f>IFERROR(INDEX(E15:E16,MATCH("◉",A15:A16,0)),NA())</f>
        <v>60</v>
      </c>
      <c r="F8" s="110">
        <f>IFERROR(INDEX(F15:F16,MATCH("◉",A15:A16,0)),NA())</f>
        <v>20</v>
      </c>
      <c r="G8" s="118" t="str">
        <f>IF(COUNTIF(A15:A16,"◉")=1,"OK", IF(COUNTIF(A15:A16,"◉")=0,"⚠ NONE SELECTED","⚠ "&amp;COUNTIF(A15:A16,"◉")&amp;" SELECTED"))</f>
        <v>OK</v>
      </c>
    </row>
    <row r="10" spans="1:7" x14ac:dyDescent="0.3">
      <c r="A10" s="69" t="s">
        <v>650</v>
      </c>
      <c r="B10" s="69" t="s">
        <v>3</v>
      </c>
      <c r="C10" s="69" t="s">
        <v>651</v>
      </c>
      <c r="D10" s="69" t="s">
        <v>652</v>
      </c>
      <c r="E10" s="69" t="s">
        <v>450</v>
      </c>
      <c r="F10" s="69" t="s">
        <v>451</v>
      </c>
      <c r="G10" s="69" t="s">
        <v>653</v>
      </c>
    </row>
    <row r="11" spans="1:7" x14ac:dyDescent="0.3">
      <c r="A11" s="94" t="s">
        <v>654</v>
      </c>
      <c r="B11" s="94" t="s">
        <v>781</v>
      </c>
      <c r="C11" s="94" t="s">
        <v>782</v>
      </c>
      <c r="D11" s="97" cm="1">
        <f t="array" ref="D11">0.499*K_dwf*W_dg^0.35*N_z^0.25*L_f^0.5*D_f^0.849*W_f^0.685</f>
        <v>2777.9775358456423</v>
      </c>
      <c r="E11" s="97">
        <v>500</v>
      </c>
      <c r="F11" s="97">
        <v>150</v>
      </c>
      <c r="G11" s="94" t="s">
        <v>783</v>
      </c>
    </row>
    <row r="12" spans="1:7" x14ac:dyDescent="0.3">
      <c r="A12" t="s">
        <v>656</v>
      </c>
      <c r="C12" t="s">
        <v>673</v>
      </c>
      <c r="D12" s="46">
        <v>4500</v>
      </c>
      <c r="E12" s="49">
        <v>300</v>
      </c>
      <c r="F12" s="49">
        <v>150</v>
      </c>
      <c r="G12" t="s">
        <v>784</v>
      </c>
    </row>
    <row r="13" spans="1:7" x14ac:dyDescent="0.3">
      <c r="A13" s="94" t="s">
        <v>654</v>
      </c>
      <c r="B13" s="94" t="s">
        <v>785</v>
      </c>
      <c r="C13" s="94" t="s">
        <v>786</v>
      </c>
      <c r="D13" s="97" cm="1">
        <f t="array" ref="D13">3.316*((1+F_w/B_h))^-2*(W_dg*N_z/1000)^0.26*S_ht^0.806</f>
        <v>320.09482511697382</v>
      </c>
      <c r="E13" s="97">
        <v>60</v>
      </c>
      <c r="F13" s="97">
        <v>20</v>
      </c>
      <c r="G13" s="94" t="s">
        <v>787</v>
      </c>
    </row>
    <row r="14" spans="1:7" x14ac:dyDescent="0.3">
      <c r="A14" s="95" t="s">
        <v>656</v>
      </c>
      <c r="C14" s="95" t="s">
        <v>673</v>
      </c>
      <c r="D14" s="46">
        <v>450</v>
      </c>
      <c r="E14" s="98">
        <v>30</v>
      </c>
      <c r="F14" s="98">
        <v>15</v>
      </c>
      <c r="G14" s="95" t="s">
        <v>788</v>
      </c>
    </row>
    <row r="15" spans="1:7" x14ac:dyDescent="0.3">
      <c r="A15" s="99" t="s">
        <v>654</v>
      </c>
      <c r="B15" s="94" t="s">
        <v>789</v>
      </c>
      <c r="C15" s="99" t="s">
        <v>790</v>
      </c>
      <c r="D15" s="97">
        <f>0.452*(1+H_tHv)^0.5*(W_dg*N_z)^0.488*S_vt^0.718*M_max^0.341*L_t^-1*(1+S_r_Svt)^0.348*A_vt^0.223*(1+lambda_vt)^0.25*(COS(Sweep_vt*PI()/180))^-0.323</f>
        <v>359.16743867618851</v>
      </c>
      <c r="E15" s="100">
        <v>60</v>
      </c>
      <c r="F15" s="100">
        <v>20</v>
      </c>
      <c r="G15" s="99" t="s">
        <v>791</v>
      </c>
    </row>
    <row r="16" spans="1:7" x14ac:dyDescent="0.3">
      <c r="A16" s="95" t="s">
        <v>656</v>
      </c>
      <c r="C16" s="95" t="s">
        <v>673</v>
      </c>
      <c r="D16" s="46">
        <v>300</v>
      </c>
      <c r="E16" s="98">
        <v>25</v>
      </c>
      <c r="F16" s="98">
        <v>12</v>
      </c>
      <c r="G16" s="95" t="s">
        <v>788</v>
      </c>
    </row>
    <row r="17" spans="1:6" x14ac:dyDescent="0.3">
      <c r="D17" s="49"/>
      <c r="E17" s="49"/>
      <c r="F17" s="49"/>
    </row>
    <row r="19" spans="1:6" ht="15.6" x14ac:dyDescent="0.3">
      <c r="A19" s="25" t="s">
        <v>678</v>
      </c>
    </row>
    <row r="20" spans="1:6" x14ac:dyDescent="0.3">
      <c r="A20" s="69" t="s">
        <v>658</v>
      </c>
      <c r="B20" s="69" t="s">
        <v>298</v>
      </c>
      <c r="C20" s="69" t="s">
        <v>445</v>
      </c>
      <c r="D20" s="69" t="s">
        <v>659</v>
      </c>
    </row>
    <row r="21" spans="1:6" x14ac:dyDescent="0.3">
      <c r="A21" s="14" t="s">
        <v>792</v>
      </c>
      <c r="B21" t="s">
        <v>793</v>
      </c>
      <c r="C21" s="30">
        <v>1</v>
      </c>
    </row>
    <row r="22" spans="1:6" x14ac:dyDescent="0.3">
      <c r="A22" s="14" t="s">
        <v>738</v>
      </c>
      <c r="B22" t="s">
        <v>739</v>
      </c>
      <c r="C22" s="28">
        <f>Sheet1!$C$5</f>
        <v>27000</v>
      </c>
      <c r="D22" t="s">
        <v>662</v>
      </c>
    </row>
    <row r="23" spans="1:6" x14ac:dyDescent="0.3">
      <c r="A23" s="14" t="s">
        <v>767</v>
      </c>
      <c r="B23" t="s">
        <v>794</v>
      </c>
      <c r="C23" s="28">
        <f>Sheet1!$C$6</f>
        <v>13.5</v>
      </c>
    </row>
    <row r="24" spans="1:6" x14ac:dyDescent="0.3">
      <c r="A24" s="14" t="s">
        <v>795</v>
      </c>
      <c r="B24" t="s">
        <v>796</v>
      </c>
      <c r="C24" s="28">
        <f>Sheet1!$C$13</f>
        <v>47</v>
      </c>
      <c r="D24" t="s">
        <v>500</v>
      </c>
    </row>
    <row r="25" spans="1:6" x14ac:dyDescent="0.3">
      <c r="A25" s="14" t="s">
        <v>797</v>
      </c>
      <c r="B25" t="s">
        <v>798</v>
      </c>
      <c r="C25" s="28">
        <f>Sheet1!$C$14</f>
        <v>5.5</v>
      </c>
      <c r="D25" t="s">
        <v>500</v>
      </c>
    </row>
    <row r="26" spans="1:6" x14ac:dyDescent="0.3">
      <c r="A26" s="14" t="s">
        <v>799</v>
      </c>
      <c r="B26" t="s">
        <v>800</v>
      </c>
      <c r="C26" s="28">
        <f>Sheet1!$C$15</f>
        <v>4.5</v>
      </c>
      <c r="D26" t="s">
        <v>500</v>
      </c>
    </row>
    <row r="27" spans="1:6" x14ac:dyDescent="0.3">
      <c r="A27" s="14" t="s">
        <v>801</v>
      </c>
      <c r="B27" t="s">
        <v>802</v>
      </c>
      <c r="C27" s="30">
        <v>4.5</v>
      </c>
      <c r="D27" t="s">
        <v>500</v>
      </c>
    </row>
    <row r="28" spans="1:6" x14ac:dyDescent="0.3">
      <c r="A28" s="14" t="s">
        <v>803</v>
      </c>
      <c r="B28" t="s">
        <v>804</v>
      </c>
      <c r="C28" s="30">
        <v>16</v>
      </c>
      <c r="D28" t="s">
        <v>500</v>
      </c>
    </row>
    <row r="29" spans="1:6" x14ac:dyDescent="0.3">
      <c r="A29" s="14" t="s">
        <v>805</v>
      </c>
      <c r="B29" t="s">
        <v>806</v>
      </c>
      <c r="C29" s="30">
        <v>80</v>
      </c>
      <c r="D29" t="s">
        <v>710</v>
      </c>
    </row>
    <row r="30" spans="1:6" x14ac:dyDescent="0.3">
      <c r="A30" s="14" t="s">
        <v>807</v>
      </c>
      <c r="B30" t="s">
        <v>808</v>
      </c>
      <c r="C30" s="30">
        <v>0</v>
      </c>
    </row>
    <row r="31" spans="1:6" x14ac:dyDescent="0.3">
      <c r="A31" s="14" t="s">
        <v>809</v>
      </c>
      <c r="B31" t="s">
        <v>810</v>
      </c>
      <c r="C31" s="30">
        <v>50</v>
      </c>
      <c r="D31" t="s">
        <v>710</v>
      </c>
    </row>
    <row r="32" spans="1:6" x14ac:dyDescent="0.3">
      <c r="A32" s="14" t="s">
        <v>706</v>
      </c>
      <c r="B32" t="s">
        <v>811</v>
      </c>
      <c r="C32" s="28">
        <f>Sheet1!$C$9</f>
        <v>2</v>
      </c>
    </row>
    <row r="33" spans="1:4" x14ac:dyDescent="0.3">
      <c r="A33" s="14" t="s">
        <v>812</v>
      </c>
      <c r="B33" t="s">
        <v>813</v>
      </c>
      <c r="C33" s="30">
        <v>20</v>
      </c>
      <c r="D33" t="s">
        <v>500</v>
      </c>
    </row>
    <row r="34" spans="1:4" x14ac:dyDescent="0.3">
      <c r="A34" s="14" t="s">
        <v>814</v>
      </c>
      <c r="B34" t="s">
        <v>815</v>
      </c>
      <c r="C34" s="30">
        <v>0.25</v>
      </c>
    </row>
    <row r="35" spans="1:4" x14ac:dyDescent="0.3">
      <c r="A35" s="14" t="s">
        <v>816</v>
      </c>
      <c r="B35" t="s">
        <v>817</v>
      </c>
      <c r="C35" s="30">
        <v>1.8</v>
      </c>
    </row>
    <row r="36" spans="1:4" x14ac:dyDescent="0.3">
      <c r="A36" s="14" t="s">
        <v>818</v>
      </c>
      <c r="B36" t="s">
        <v>819</v>
      </c>
      <c r="C36" s="30">
        <v>0.4</v>
      </c>
    </row>
    <row r="37" spans="1:4" x14ac:dyDescent="0.3">
      <c r="A37" s="14" t="s">
        <v>884</v>
      </c>
      <c r="B37" t="s">
        <v>820</v>
      </c>
      <c r="C37" s="30">
        <v>40</v>
      </c>
      <c r="D37" t="s">
        <v>514</v>
      </c>
    </row>
  </sheetData>
  <mergeCells count="1">
    <mergeCell ref="A4:G4"/>
  </mergeCells>
  <conditionalFormatting sqref="B11:G16">
    <cfRule type="expression" dxfId="21" priority="1">
      <formula>$A11="◉"</formula>
    </cfRule>
  </conditionalFormatting>
  <conditionalFormatting sqref="A11:A16">
    <cfRule type="expression" dxfId="20" priority="2">
      <formula>A11="◉"</formula>
    </cfRule>
  </conditionalFormatting>
  <conditionalFormatting sqref="A11:A16">
    <cfRule type="expression" dxfId="19" priority="3">
      <formula>A11="○"</formula>
    </cfRule>
  </conditionalFormatting>
  <conditionalFormatting sqref="G6:G20">
    <cfRule type="containsText" dxfId="3" priority="4" operator="containsText" text="⚠">
      <formula>NOT(ISERROR(SEARCH("⚠",G6)))</formula>
    </cfRule>
  </conditionalFormatting>
  <conditionalFormatting sqref="G6:G20">
    <cfRule type="containsText" dxfId="2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11:A16" xr:uid="{D8E8E686-5741-4E26-A639-1195DC78FEB5}">
      <formula1>"◉,○"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FAB4F-0926-47C3-978C-4CD3E469B422}">
  <sheetPr codeName="Sheet13"/>
  <dimension ref="A1:G48"/>
  <sheetViews>
    <sheetView tabSelected="1" topLeftCell="A3" zoomScale="68" workbookViewId="0"/>
  </sheetViews>
  <sheetFormatPr defaultRowHeight="14.4" x14ac:dyDescent="0.3"/>
  <cols>
    <col min="1" max="1" width="5.5546875" customWidth="1"/>
    <col min="2" max="2" width="33.33203125" customWidth="1"/>
    <col min="3" max="3" width="24.109375" customWidth="1"/>
    <col min="4" max="6" width="14.77734375" customWidth="1"/>
    <col min="7" max="7" width="66.6640625" customWidth="1"/>
  </cols>
  <sheetData>
    <row r="1" spans="1:7" ht="21" x14ac:dyDescent="0.4">
      <c r="A1" s="66" t="s">
        <v>821</v>
      </c>
    </row>
    <row r="2" spans="1:7" x14ac:dyDescent="0.3">
      <c r="A2" s="93" t="s">
        <v>670</v>
      </c>
    </row>
    <row r="4" spans="1:7" ht="15.6" x14ac:dyDescent="0.3">
      <c r="A4" s="111" t="s">
        <v>885</v>
      </c>
      <c r="B4" s="103"/>
      <c r="C4" s="103"/>
      <c r="D4" s="103"/>
      <c r="E4" s="103"/>
      <c r="F4" s="103"/>
      <c r="G4" s="115"/>
    </row>
    <row r="5" spans="1:7" x14ac:dyDescent="0.3">
      <c r="A5" s="112"/>
      <c r="B5" s="104" t="s">
        <v>3</v>
      </c>
      <c r="C5" s="104" t="s">
        <v>886</v>
      </c>
      <c r="D5" s="104" t="s">
        <v>652</v>
      </c>
      <c r="E5" s="104" t="s">
        <v>450</v>
      </c>
      <c r="F5" s="104" t="s">
        <v>451</v>
      </c>
      <c r="G5" s="116" t="s">
        <v>266</v>
      </c>
    </row>
    <row r="6" spans="1:7" x14ac:dyDescent="0.3">
      <c r="A6" s="113"/>
      <c r="B6" s="106" t="s">
        <v>822</v>
      </c>
      <c r="C6" s="105" t="str">
        <f>IFERROR(INDEX(C15:C16,MATCH("◉",A15:A16,0)),"—")</f>
        <v>Raymer 15.10</v>
      </c>
      <c r="D6" s="107">
        <f>IFERROR(INDEX(D15:D16,MATCH("◉",A15:A16,0)),NA())</f>
        <v>9.914837366290989</v>
      </c>
      <c r="E6" s="107">
        <f>IFERROR(INDEX(E15:E16,MATCH("◉",A15:A16,0)),NA())</f>
        <v>30</v>
      </c>
      <c r="F6" s="107">
        <f>IFERROR(INDEX(F15:F16,MATCH("◉",A15:A16,0)),NA())</f>
        <v>12</v>
      </c>
      <c r="G6" s="117" t="str">
        <f>IF(COUNTIF(A15:A16,"◉")=1,"OK", IF(COUNTIF(A15:A16,"◉")=0,"⚠ NONE SELECTED","⚠ "&amp;COUNTIF(A15:A16,"◉")&amp;" SELECTED"))</f>
        <v>OK</v>
      </c>
    </row>
    <row r="7" spans="1:7" x14ac:dyDescent="0.3">
      <c r="A7" s="113"/>
      <c r="B7" s="106" t="s">
        <v>826</v>
      </c>
      <c r="C7" s="105" t="str">
        <f>IFERROR(INDEX(C17:C18,MATCH("◉",A17:A18,0)),"—")</f>
        <v>Datasheet (vendor)</v>
      </c>
      <c r="D7" s="107">
        <f>IFERROR(INDEX(D17:D18,MATCH("◉",A17:A18,0)),NA())</f>
        <v>1800</v>
      </c>
      <c r="E7" s="107">
        <f>IFERROR(INDEX(E17:E18,MATCH("◉",A17:A18,0)),NA())</f>
        <v>60</v>
      </c>
      <c r="F7" s="107">
        <f>IFERROR(INDEX(F17:F18,MATCH("◉",A17:A18,0)),NA())</f>
        <v>30</v>
      </c>
      <c r="G7" s="117" t="str">
        <f>IF(COUNTIF(A17:A18,"◉")=1,"OK", IF(COUNTIF(A17:A18,"◉")=0,"⚠ NONE SELECTED","⚠ "&amp;COUNTIF(A17:A18,"◉")&amp;" SELECTED"))</f>
        <v>OK</v>
      </c>
    </row>
    <row r="8" spans="1:7" x14ac:dyDescent="0.3">
      <c r="A8" s="113"/>
      <c r="B8" s="106" t="s">
        <v>830</v>
      </c>
      <c r="C8" s="105" t="str">
        <f>IFERROR(INDEX(C19:C19,MATCH("◉",A19:A19,0)),"—")</f>
        <v>Datasheet (vendor)</v>
      </c>
      <c r="D8" s="107">
        <f>IFERROR(INDEX(D19:D19,MATCH("◉",A19:A19,0)),NA())</f>
        <v>400</v>
      </c>
      <c r="E8" s="107">
        <f>IFERROR(INDEX(E19:E19,MATCH("◉",A19:A19,0)),NA())</f>
        <v>40</v>
      </c>
      <c r="F8" s="107">
        <f>IFERROR(INDEX(F19:F19,MATCH("◉",A19:A19,0)),NA())</f>
        <v>20</v>
      </c>
      <c r="G8" s="117" t="str">
        <f>IF(COUNTIF(A19:A19,"◉")=1,"OK", IF(COUNTIF(A19:A19,"◉")=0,"⚠ NONE SELECTED","⚠ "&amp;COUNTIF(A19:A19,"◉")&amp;" SELECTED"))</f>
        <v>OK</v>
      </c>
    </row>
    <row r="9" spans="1:7" x14ac:dyDescent="0.3">
      <c r="A9" s="113"/>
      <c r="B9" s="106" t="s">
        <v>832</v>
      </c>
      <c r="C9" s="105" t="str">
        <f>IFERROR(INDEX(C20:C21,MATCH("◉",A20:A21,0)),"—")</f>
        <v>Power density</v>
      </c>
      <c r="D9" s="107">
        <f>IFERROR(INDEX(D20:D21,MATCH("◉",A20:A21,0)),NA())</f>
        <v>287.5</v>
      </c>
      <c r="E9" s="107">
        <f>IFERROR(INDEX(E20:E21,MATCH("◉",A20:A21,0)),NA())</f>
        <v>80</v>
      </c>
      <c r="F9" s="107">
        <f>IFERROR(INDEX(F20:F21,MATCH("◉",A20:A21,0)),NA())</f>
        <v>30</v>
      </c>
      <c r="G9" s="117" t="str">
        <f>IF(COUNTIF(A20:A21,"◉")=1,"OK", IF(COUNTIF(A20:A21,"◉")=0,"⚠ NONE SELECTED","⚠ "&amp;COUNTIF(A20:A21,"◉")&amp;" SELECTED"))</f>
        <v>OK</v>
      </c>
    </row>
    <row r="10" spans="1:7" x14ac:dyDescent="0.3">
      <c r="A10" s="113"/>
      <c r="B10" s="106" t="s">
        <v>836</v>
      </c>
      <c r="C10" s="105" t="str">
        <f>IFERROR(INDEX(C22:C23,MATCH("◉",A22:A23,0)),"—")</f>
        <v>Raymer 15.16</v>
      </c>
      <c r="D10" s="107">
        <f>IFERROR(INDEX(D22:D23,MATCH("◉",A22:A23,0)),NA())</f>
        <v>404.84043370992902</v>
      </c>
      <c r="E10" s="107">
        <f>IFERROR(INDEX(E22:E23,MATCH("◉",A22:A23,0)),NA())</f>
        <v>50</v>
      </c>
      <c r="F10" s="107">
        <f>IFERROR(INDEX(F22:F23,MATCH("◉",A22:A23,0)),NA())</f>
        <v>20</v>
      </c>
      <c r="G10" s="117" t="str">
        <f>IF(COUNTIF(A22:A23,"◉")=1,"OK", IF(COUNTIF(A22:A23,"◉")=0,"⚠ NONE SELECTED","⚠ "&amp;COUNTIF(A22:A23,"◉")&amp;" SELECTED"))</f>
        <v>OK</v>
      </c>
    </row>
    <row r="11" spans="1:7" x14ac:dyDescent="0.3">
      <c r="A11" s="113"/>
      <c r="B11" s="106" t="s">
        <v>840</v>
      </c>
      <c r="C11" s="105" t="str">
        <f>IFERROR(INDEX(C24:C25,MATCH("◉",A24:A25,0)),"—")</f>
        <v>Mass fraction</v>
      </c>
      <c r="D11" s="107">
        <f>IFERROR(INDEX(D24:D25,MATCH("◉",A24:A25,0)),NA())</f>
        <v>1750</v>
      </c>
      <c r="E11" s="107">
        <f>IFERROR(INDEX(E24:E25,MATCH("◉",A24:A25,0)),NA())</f>
        <v>200</v>
      </c>
      <c r="F11" s="107">
        <f>IFERROR(INDEX(F24:F25,MATCH("◉",A24:A25,0)),NA())</f>
        <v>80</v>
      </c>
      <c r="G11" s="117" t="str">
        <f>IF(COUNTIF(A24:A25,"◉")=1,"OK", IF(COUNTIF(A24:A25,"◉")=0,"⚠ NONE SELECTED","⚠ "&amp;COUNTIF(A24:A25,"◉")&amp;" SELECTED"))</f>
        <v>OK</v>
      </c>
    </row>
    <row r="12" spans="1:7" x14ac:dyDescent="0.3">
      <c r="A12" s="114"/>
      <c r="B12" s="109" t="s">
        <v>628</v>
      </c>
      <c r="C12" s="108" t="str">
        <f>IFERROR(INDEX(C26:C27,MATCH("◉",A26:A27,0)),"—")</f>
        <v>Energy density</v>
      </c>
      <c r="D12" s="110">
        <f>IFERROR(INDEX(D26:D27,MATCH("◉",A26:A27,0)),NA())</f>
        <v>1200</v>
      </c>
      <c r="E12" s="110">
        <f>IFERROR(INDEX(E26:E27,MATCH("◉",A26:A27,0)),NA())</f>
        <v>60</v>
      </c>
      <c r="F12" s="110">
        <f>IFERROR(INDEX(F26:F27,MATCH("◉",A26:A27,0)),NA())</f>
        <v>20</v>
      </c>
      <c r="G12" s="118" t="str">
        <f>IF(COUNTIF(A26:A27,"◉")=1,"OK", IF(COUNTIF(A26:A27,"◉")=0,"⚠ NONE SELECTED","⚠ "&amp;COUNTIF(A26:A27,"◉")&amp;" SELECTED"))</f>
        <v>OK</v>
      </c>
    </row>
    <row r="14" spans="1:7" x14ac:dyDescent="0.3">
      <c r="A14" s="69" t="s">
        <v>650</v>
      </c>
      <c r="B14" s="69" t="s">
        <v>3</v>
      </c>
      <c r="C14" s="69" t="s">
        <v>651</v>
      </c>
      <c r="D14" s="69" t="s">
        <v>652</v>
      </c>
      <c r="E14" s="69" t="s">
        <v>450</v>
      </c>
      <c r="F14" s="69" t="s">
        <v>451</v>
      </c>
      <c r="G14" s="69" t="s">
        <v>653</v>
      </c>
    </row>
    <row r="15" spans="1:7" x14ac:dyDescent="0.3">
      <c r="A15" s="94" t="s">
        <v>654</v>
      </c>
      <c r="B15" s="94" t="s">
        <v>822</v>
      </c>
      <c r="C15" s="94" t="s">
        <v>823</v>
      </c>
      <c r="D15" s="97" cm="1">
        <f t="array" ref="D15">0.32*N_en*L_d^0.5*A_i^0.5*P_2^0.5</f>
        <v>9.914837366290989</v>
      </c>
      <c r="E15" s="97">
        <v>30</v>
      </c>
      <c r="F15" s="97">
        <v>12</v>
      </c>
      <c r="G15" s="94" t="s">
        <v>824</v>
      </c>
    </row>
    <row r="16" spans="1:7" x14ac:dyDescent="0.3">
      <c r="A16" t="s">
        <v>656</v>
      </c>
      <c r="C16" t="s">
        <v>673</v>
      </c>
      <c r="D16" s="46">
        <v>180</v>
      </c>
      <c r="E16" s="49">
        <v>20</v>
      </c>
      <c r="F16" s="49">
        <v>10</v>
      </c>
      <c r="G16" t="s">
        <v>825</v>
      </c>
    </row>
    <row r="17" spans="1:7" x14ac:dyDescent="0.3">
      <c r="A17" s="94" t="s">
        <v>654</v>
      </c>
      <c r="B17" s="94" t="s">
        <v>826</v>
      </c>
      <c r="C17" s="94" t="s">
        <v>657</v>
      </c>
      <c r="D17" s="101">
        <v>1800</v>
      </c>
      <c r="E17" s="97">
        <v>60</v>
      </c>
      <c r="F17" s="97">
        <v>30</v>
      </c>
      <c r="G17" s="94" t="s">
        <v>827</v>
      </c>
    </row>
    <row r="18" spans="1:7" x14ac:dyDescent="0.3">
      <c r="A18" s="95" t="s">
        <v>656</v>
      </c>
      <c r="C18" s="95" t="s">
        <v>828</v>
      </c>
      <c r="D18" s="49" cm="1">
        <f t="array" ref="D18">0.013*T_e</f>
        <v>351</v>
      </c>
      <c r="E18" s="98">
        <v>200</v>
      </c>
      <c r="F18" s="98">
        <v>80</v>
      </c>
      <c r="G18" s="95" t="s">
        <v>829</v>
      </c>
    </row>
    <row r="19" spans="1:7" x14ac:dyDescent="0.3">
      <c r="A19" s="99" t="s">
        <v>654</v>
      </c>
      <c r="B19" s="94" t="s">
        <v>830</v>
      </c>
      <c r="C19" s="99" t="s">
        <v>657</v>
      </c>
      <c r="D19" s="101">
        <v>400</v>
      </c>
      <c r="E19" s="100">
        <v>40</v>
      </c>
      <c r="F19" s="100">
        <v>20</v>
      </c>
      <c r="G19" s="99" t="s">
        <v>831</v>
      </c>
    </row>
    <row r="20" spans="1:7" x14ac:dyDescent="0.3">
      <c r="A20" s="99" t="s">
        <v>654</v>
      </c>
      <c r="B20" s="99" t="s">
        <v>832</v>
      </c>
      <c r="C20" s="99" t="s">
        <v>833</v>
      </c>
      <c r="D20" s="97" cm="1">
        <f t="array" ref="D20">P_motor_kW/PD_motor + P_motor_kW/PD_PE</f>
        <v>287.5</v>
      </c>
      <c r="E20" s="100">
        <v>80</v>
      </c>
      <c r="F20" s="100">
        <v>30</v>
      </c>
      <c r="G20" s="99" t="s">
        <v>834</v>
      </c>
    </row>
    <row r="21" spans="1:7" x14ac:dyDescent="0.3">
      <c r="A21" s="95" t="s">
        <v>656</v>
      </c>
      <c r="C21" s="95" t="s">
        <v>657</v>
      </c>
      <c r="D21" s="102">
        <v>280</v>
      </c>
      <c r="E21" s="98">
        <v>30</v>
      </c>
      <c r="F21" s="98">
        <v>15</v>
      </c>
      <c r="G21" s="95" t="s">
        <v>835</v>
      </c>
    </row>
    <row r="22" spans="1:7" x14ac:dyDescent="0.3">
      <c r="A22" s="99" t="s">
        <v>654</v>
      </c>
      <c r="B22" s="94" t="s">
        <v>836</v>
      </c>
      <c r="C22" s="99" t="s">
        <v>837</v>
      </c>
      <c r="D22" s="97" cm="1">
        <f t="array" ref="D22">7.45*V_t^0.47*(1+V_i_Vt)^-0.095*(1+V_p_Vt)*N_t^0.066*N_en^0.052*((T_sfc*T_e)/1000)^0.249</f>
        <v>404.84043370992902</v>
      </c>
      <c r="E22" s="100">
        <v>50</v>
      </c>
      <c r="F22" s="100">
        <v>20</v>
      </c>
      <c r="G22" s="99" t="s">
        <v>838</v>
      </c>
    </row>
    <row r="23" spans="1:7" x14ac:dyDescent="0.3">
      <c r="A23" s="95" t="s">
        <v>656</v>
      </c>
      <c r="C23" s="95" t="s">
        <v>673</v>
      </c>
      <c r="D23" s="46">
        <v>280</v>
      </c>
      <c r="E23" s="98">
        <v>25</v>
      </c>
      <c r="F23" s="98">
        <v>10</v>
      </c>
      <c r="G23" s="95" t="s">
        <v>839</v>
      </c>
    </row>
    <row r="24" spans="1:7" x14ac:dyDescent="0.3">
      <c r="A24" s="99" t="s">
        <v>654</v>
      </c>
      <c r="B24" s="94" t="s">
        <v>840</v>
      </c>
      <c r="C24" s="99" t="s">
        <v>841</v>
      </c>
      <c r="D24" s="97" cm="1">
        <f t="array" ref="D24">M_LNG*tank_frac</f>
        <v>1750</v>
      </c>
      <c r="E24" s="100">
        <v>200</v>
      </c>
      <c r="F24" s="100">
        <v>80</v>
      </c>
      <c r="G24" s="99" t="s">
        <v>842</v>
      </c>
    </row>
    <row r="25" spans="1:7" x14ac:dyDescent="0.3">
      <c r="A25" s="95" t="s">
        <v>656</v>
      </c>
      <c r="C25" s="95" t="s">
        <v>657</v>
      </c>
      <c r="D25" s="46">
        <v>800</v>
      </c>
      <c r="E25" s="98">
        <v>100</v>
      </c>
      <c r="F25" s="98">
        <v>40</v>
      </c>
      <c r="G25" s="95" t="s">
        <v>843</v>
      </c>
    </row>
    <row r="26" spans="1:7" x14ac:dyDescent="0.3">
      <c r="A26" s="99" t="s">
        <v>654</v>
      </c>
      <c r="B26" s="94" t="s">
        <v>628</v>
      </c>
      <c r="C26" s="99" t="s">
        <v>844</v>
      </c>
      <c r="D26" s="97" cm="1">
        <f t="array" ref="D26">E_bat_kWh/SE_bat</f>
        <v>1200</v>
      </c>
      <c r="E26" s="100">
        <v>60</v>
      </c>
      <c r="F26" s="100">
        <v>20</v>
      </c>
      <c r="G26" s="99" t="s">
        <v>845</v>
      </c>
    </row>
    <row r="27" spans="1:7" x14ac:dyDescent="0.3">
      <c r="A27" s="95" t="s">
        <v>656</v>
      </c>
      <c r="C27" s="95" t="s">
        <v>657</v>
      </c>
      <c r="D27" s="46">
        <v>600</v>
      </c>
      <c r="E27" s="98">
        <v>50</v>
      </c>
      <c r="F27" s="98">
        <v>20</v>
      </c>
      <c r="G27" s="95" t="s">
        <v>846</v>
      </c>
    </row>
    <row r="28" spans="1:7" x14ac:dyDescent="0.3">
      <c r="D28" s="49"/>
      <c r="E28" s="49"/>
      <c r="F28" s="49"/>
    </row>
    <row r="30" spans="1:7" ht="15.6" x14ac:dyDescent="0.3">
      <c r="A30" s="25" t="s">
        <v>678</v>
      </c>
    </row>
    <row r="31" spans="1:7" x14ac:dyDescent="0.3">
      <c r="A31" s="69" t="s">
        <v>658</v>
      </c>
      <c r="B31" s="69" t="s">
        <v>298</v>
      </c>
      <c r="C31" s="69" t="s">
        <v>445</v>
      </c>
      <c r="D31" s="69" t="s">
        <v>659</v>
      </c>
    </row>
    <row r="32" spans="1:7" x14ac:dyDescent="0.3">
      <c r="A32" s="14" t="s">
        <v>736</v>
      </c>
      <c r="B32" t="s">
        <v>737</v>
      </c>
      <c r="C32" s="28">
        <f>Sheet1!$C$10</f>
        <v>1</v>
      </c>
    </row>
    <row r="33" spans="1:4" x14ac:dyDescent="0.3">
      <c r="A33" s="14" t="s">
        <v>847</v>
      </c>
      <c r="B33" t="s">
        <v>848</v>
      </c>
      <c r="C33" s="30">
        <v>8</v>
      </c>
      <c r="D33" t="s">
        <v>500</v>
      </c>
    </row>
    <row r="34" spans="1:4" x14ac:dyDescent="0.3">
      <c r="A34" s="14" t="s">
        <v>849</v>
      </c>
      <c r="B34" t="s">
        <v>850</v>
      </c>
      <c r="C34" s="30">
        <v>4</v>
      </c>
      <c r="D34" t="s">
        <v>710</v>
      </c>
    </row>
    <row r="35" spans="1:4" x14ac:dyDescent="0.3">
      <c r="A35" s="14" t="s">
        <v>851</v>
      </c>
      <c r="B35" t="s">
        <v>852</v>
      </c>
      <c r="C35" s="30">
        <v>30</v>
      </c>
      <c r="D35" t="s">
        <v>853</v>
      </c>
    </row>
    <row r="36" spans="1:4" x14ac:dyDescent="0.3">
      <c r="A36" s="14" t="s">
        <v>854</v>
      </c>
      <c r="B36" t="s">
        <v>855</v>
      </c>
      <c r="C36" s="28">
        <f>Sheet1!$C$12</f>
        <v>27000</v>
      </c>
      <c r="D36" t="s">
        <v>856</v>
      </c>
    </row>
    <row r="37" spans="1:4" x14ac:dyDescent="0.3">
      <c r="A37" s="14" t="s">
        <v>857</v>
      </c>
      <c r="B37" t="s">
        <v>858</v>
      </c>
      <c r="C37" s="30">
        <v>1500</v>
      </c>
      <c r="D37" t="s">
        <v>565</v>
      </c>
    </row>
    <row r="38" spans="1:4" x14ac:dyDescent="0.3">
      <c r="A38" s="14" t="s">
        <v>859</v>
      </c>
      <c r="B38" t="s">
        <v>860</v>
      </c>
      <c r="C38" s="30">
        <v>8</v>
      </c>
      <c r="D38" t="s">
        <v>567</v>
      </c>
    </row>
    <row r="39" spans="1:4" x14ac:dyDescent="0.3">
      <c r="A39" s="14" t="s">
        <v>861</v>
      </c>
      <c r="B39" t="s">
        <v>862</v>
      </c>
      <c r="C39" s="30">
        <v>15</v>
      </c>
      <c r="D39" t="s">
        <v>567</v>
      </c>
    </row>
    <row r="40" spans="1:4" x14ac:dyDescent="0.3">
      <c r="A40" s="14" t="s">
        <v>863</v>
      </c>
      <c r="B40" t="s">
        <v>864</v>
      </c>
      <c r="C40" s="30">
        <v>900</v>
      </c>
      <c r="D40" t="s">
        <v>582</v>
      </c>
    </row>
    <row r="41" spans="1:4" x14ac:dyDescent="0.3">
      <c r="A41" s="14" t="s">
        <v>865</v>
      </c>
      <c r="B41" t="s">
        <v>866</v>
      </c>
      <c r="C41" s="30">
        <v>0.85</v>
      </c>
    </row>
    <row r="42" spans="1:4" x14ac:dyDescent="0.3">
      <c r="A42" s="14" t="s">
        <v>867</v>
      </c>
      <c r="B42" t="s">
        <v>868</v>
      </c>
      <c r="C42" s="30">
        <v>0</v>
      </c>
    </row>
    <row r="43" spans="1:4" x14ac:dyDescent="0.3">
      <c r="A43" s="14" t="s">
        <v>869</v>
      </c>
      <c r="B43" t="s">
        <v>870</v>
      </c>
      <c r="C43" s="30">
        <v>4</v>
      </c>
    </row>
    <row r="44" spans="1:4" x14ac:dyDescent="0.3">
      <c r="A44" s="14" t="s">
        <v>871</v>
      </c>
      <c r="B44" t="s">
        <v>872</v>
      </c>
      <c r="C44" s="30">
        <v>0.8</v>
      </c>
      <c r="D44" t="s">
        <v>873</v>
      </c>
    </row>
    <row r="45" spans="1:4" x14ac:dyDescent="0.3">
      <c r="A45" s="14" t="s">
        <v>874</v>
      </c>
      <c r="B45" t="s">
        <v>875</v>
      </c>
      <c r="C45" s="30">
        <v>2500</v>
      </c>
      <c r="D45" t="s">
        <v>662</v>
      </c>
    </row>
    <row r="46" spans="1:4" x14ac:dyDescent="0.3">
      <c r="A46" s="14" t="s">
        <v>876</v>
      </c>
      <c r="B46" t="s">
        <v>877</v>
      </c>
      <c r="C46" s="30">
        <v>0.7</v>
      </c>
    </row>
    <row r="47" spans="1:4" x14ac:dyDescent="0.3">
      <c r="A47" s="14" t="s">
        <v>878</v>
      </c>
      <c r="B47" t="s">
        <v>879</v>
      </c>
      <c r="C47" s="30">
        <v>300</v>
      </c>
      <c r="D47" t="s">
        <v>630</v>
      </c>
    </row>
    <row r="48" spans="1:4" x14ac:dyDescent="0.3">
      <c r="A48" s="14" t="s">
        <v>880</v>
      </c>
      <c r="B48" t="s">
        <v>881</v>
      </c>
      <c r="C48" s="30">
        <v>0.25</v>
      </c>
      <c r="D48" t="s">
        <v>882</v>
      </c>
    </row>
  </sheetData>
  <mergeCells count="1">
    <mergeCell ref="A4:G4"/>
  </mergeCells>
  <conditionalFormatting sqref="B15:G27">
    <cfRule type="expression" dxfId="18" priority="1">
      <formula>$A15="◉"</formula>
    </cfRule>
  </conditionalFormatting>
  <conditionalFormatting sqref="A15:A27">
    <cfRule type="expression" dxfId="17" priority="2">
      <formula>A15="◉"</formula>
    </cfRule>
  </conditionalFormatting>
  <conditionalFormatting sqref="A15:A27">
    <cfRule type="expression" dxfId="16" priority="3">
      <formula>A15="○"</formula>
    </cfRule>
  </conditionalFormatting>
  <conditionalFormatting sqref="G6:G20">
    <cfRule type="containsText" dxfId="1" priority="4" operator="containsText" text="⚠">
      <formula>NOT(ISERROR(SEARCH("⚠",G6)))</formula>
    </cfRule>
  </conditionalFormatting>
  <conditionalFormatting sqref="G6:G20">
    <cfRule type="containsText" dxfId="0" priority="5" operator="containsText" text="OK">
      <formula>NOT(ISERROR(SEARCH("OK",G6)))</formula>
    </cfRule>
  </conditionalFormatting>
  <dataValidations count="1">
    <dataValidation type="list" allowBlank="1" showInputMessage="1" showErrorMessage="1" errorTitle="Selector" error="Use ◉ (selected) or ○ (not selected)" sqref="A15:A27" xr:uid="{94DB66B5-CE5B-4AEB-8679-6F75C7413843}">
      <formula1>"◉,○"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82</vt:i4>
      </vt:variant>
    </vt:vector>
  </HeadingPairs>
  <TitlesOfParts>
    <vt:vector size="95" baseType="lpstr">
      <vt:lpstr>Mass</vt:lpstr>
      <vt:lpstr>Target</vt:lpstr>
      <vt:lpstr>Export</vt:lpstr>
      <vt:lpstr>Risk</vt:lpstr>
      <vt:lpstr>Sheet1</vt:lpstr>
      <vt:lpstr>ATA 21-24 - AC-Elec</vt:lpstr>
      <vt:lpstr>ATA 25 - Furnishings</vt:lpstr>
      <vt:lpstr>ATA 27-29-32 - FltCtrl-Hyd-LG</vt:lpstr>
      <vt:lpstr>ATA 31 - Instruments</vt:lpstr>
      <vt:lpstr>ATA Avionics</vt:lpstr>
      <vt:lpstr>ATA 57 - Wings</vt:lpstr>
      <vt:lpstr>ATA 53-55 - Fus-Emp</vt:lpstr>
      <vt:lpstr>ATA 28-71-75 - Propulsion</vt:lpstr>
      <vt:lpstr>'ATA 57 - Wings'!A</vt:lpstr>
      <vt:lpstr>'ATA 28-71-75 - Propulsion'!A_i</vt:lpstr>
      <vt:lpstr>'ATA 53-55 - Fus-Emp'!A_vt</vt:lpstr>
      <vt:lpstr>'ATA 53-55 - Fus-Emp'!B_h</vt:lpstr>
      <vt:lpstr>'ATA 53-55 - Fus-Emp'!D_f</vt:lpstr>
      <vt:lpstr>D_global</vt:lpstr>
      <vt:lpstr>'ATA 28-71-75 - Propulsion'!E_bat_kWh</vt:lpstr>
      <vt:lpstr>'ATA 53-55 - Fus-Emp'!F_w</vt:lpstr>
      <vt:lpstr>'ATA 53-55 - Fus-Emp'!H_tHv</vt:lpstr>
      <vt:lpstr>'ATA 27-29-32 - FltCtrl-Hyd-LG'!K_cb</vt:lpstr>
      <vt:lpstr>'ATA 57 - Wings'!K_dw</vt:lpstr>
      <vt:lpstr>'ATA 53-55 - Fus-Emp'!K_dwf</vt:lpstr>
      <vt:lpstr>'ATA 27-29-32 - FltCtrl-Hyd-LG'!K_tpg</vt:lpstr>
      <vt:lpstr>'ATA 57 - Wings'!K_vs</vt:lpstr>
      <vt:lpstr>'ATA 27-29-32 - FltCtrl-Hyd-LG'!K_vsh</vt:lpstr>
      <vt:lpstr>'ATA 28-71-75 - Propulsion'!L_d</vt:lpstr>
      <vt:lpstr>'ATA 21-24 - AC-Elec'!L_ec</vt:lpstr>
      <vt:lpstr>'ATA 53-55 - Fus-Emp'!L_f</vt:lpstr>
      <vt:lpstr>L_global</vt:lpstr>
      <vt:lpstr>'ATA 27-29-32 - FltCtrl-Hyd-LG'!L_m</vt:lpstr>
      <vt:lpstr>'ATA 27-29-32 - FltCtrl-Hyd-LG'!L_n</vt:lpstr>
      <vt:lpstr>'ATA 53-55 - Fus-Emp'!L_t</vt:lpstr>
      <vt:lpstr>'ATA 57 - Wings'!lambda</vt:lpstr>
      <vt:lpstr>'ATA 53-55 - Fus-Emp'!lambda_vt</vt:lpstr>
      <vt:lpstr>M_global</vt:lpstr>
      <vt:lpstr>'ATA 28-71-75 - Propulsion'!M_LNG</vt:lpstr>
      <vt:lpstr>'ATA 27-29-32 - FltCtrl-Hyd-LG'!M_max</vt:lpstr>
      <vt:lpstr>'ATA 53-55 - Fus-Emp'!M_max</vt:lpstr>
      <vt:lpstr>'ATA 25 - Furnishings'!N_c</vt:lpstr>
      <vt:lpstr>'ATA 27-29-32 - FltCtrl-Hyd-LG'!N_c</vt:lpstr>
      <vt:lpstr>'ATA 31 - Instruments'!N_c</vt:lpstr>
      <vt:lpstr>N_c_global</vt:lpstr>
      <vt:lpstr>'ATA 28-71-75 - Propulsion'!N_en</vt:lpstr>
      <vt:lpstr>'ATA 31 - Instruments'!N_en</vt:lpstr>
      <vt:lpstr>N_en_global</vt:lpstr>
      <vt:lpstr>'ATA 27-29-32 - FltCtrl-Hyd-LG'!N_f</vt:lpstr>
      <vt:lpstr>'ATA 21-24 - AC-Elec'!N_gen</vt:lpstr>
      <vt:lpstr>'ATA 27-29-32 - FltCtrl-Hyd-LG'!N_l</vt:lpstr>
      <vt:lpstr>N_l_global</vt:lpstr>
      <vt:lpstr>'ATA 27-29-32 - FltCtrl-Hyd-LG'!N_nw</vt:lpstr>
      <vt:lpstr>'ATA 27-29-32 - FltCtrl-Hyd-LG'!N_s</vt:lpstr>
      <vt:lpstr>'ATA 28-71-75 - Propulsion'!N_t</vt:lpstr>
      <vt:lpstr>'ATA 53-55 - Fus-Emp'!N_z</vt:lpstr>
      <vt:lpstr>'ATA 57 - Wings'!N_z</vt:lpstr>
      <vt:lpstr>N_z_global</vt:lpstr>
      <vt:lpstr>'ATA 28-71-75 - Propulsion'!P_2</vt:lpstr>
      <vt:lpstr>'ATA 28-71-75 - Propulsion'!P_motor_kW</vt:lpstr>
      <vt:lpstr>'ATA Avionics'!pct_22</vt:lpstr>
      <vt:lpstr>'ATA Avionics'!pct_23</vt:lpstr>
      <vt:lpstr>'ATA Avionics'!pct_34</vt:lpstr>
      <vt:lpstr>'ATA 28-71-75 - Propulsion'!PD_motor</vt:lpstr>
      <vt:lpstr>'ATA 28-71-75 - Propulsion'!PD_PE</vt:lpstr>
      <vt:lpstr>'ATA 21-24 - AC-Elec'!R_kva</vt:lpstr>
      <vt:lpstr>'ATA 27-29-32 - FltCtrl-Hyd-LG'!S_cs</vt:lpstr>
      <vt:lpstr>'ATA 57 - Wings'!S_csw</vt:lpstr>
      <vt:lpstr>'ATA 53-55 - Fus-Emp'!S_ht</vt:lpstr>
      <vt:lpstr>'ATA 53-55 - Fus-Emp'!S_r_Svt</vt:lpstr>
      <vt:lpstr>'ATA 53-55 - Fus-Emp'!S_vt</vt:lpstr>
      <vt:lpstr>'ATA 57 - Wings'!S_w</vt:lpstr>
      <vt:lpstr>'ATA 28-71-75 - Propulsion'!SE_bat</vt:lpstr>
      <vt:lpstr>'ATA 53-55 - Fus-Emp'!Sweep_vt</vt:lpstr>
      <vt:lpstr>'ATA 57 - Wings'!Sweep_w</vt:lpstr>
      <vt:lpstr>'ATA 57 - Wings'!t_c</vt:lpstr>
      <vt:lpstr>'ATA 28-71-75 - Propulsion'!T_e</vt:lpstr>
      <vt:lpstr>T_e_global</vt:lpstr>
      <vt:lpstr>T_global</vt:lpstr>
      <vt:lpstr>'ATA 28-71-75 - Propulsion'!T_sfc</vt:lpstr>
      <vt:lpstr>'ATA 28-71-75 - Propulsion'!tank_frac</vt:lpstr>
      <vt:lpstr>'ATA 28-71-75 - Propulsion'!V_i_Vt</vt:lpstr>
      <vt:lpstr>'ATA 28-71-75 - Propulsion'!V_p_Vt</vt:lpstr>
      <vt:lpstr>'ATA 28-71-75 - Propulsion'!V_t</vt:lpstr>
      <vt:lpstr>'ATA 21-24 - AC-Elec'!W_avionics</vt:lpstr>
      <vt:lpstr>'ATA 31 - Instruments'!W_dg</vt:lpstr>
      <vt:lpstr>'ATA 53-55 - Fus-Emp'!W_dg</vt:lpstr>
      <vt:lpstr>'ATA 57 - Wings'!W_dg</vt:lpstr>
      <vt:lpstr>W_dg_global</vt:lpstr>
      <vt:lpstr>'ATA 53-55 - Fus-Emp'!W_f</vt:lpstr>
      <vt:lpstr>W_global</vt:lpstr>
      <vt:lpstr>'ATA 27-29-32 - FltCtrl-Hyd-LG'!W_l</vt:lpstr>
      <vt:lpstr>W_l_global</vt:lpstr>
      <vt:lpstr>'ATA 21-24 - AC-Elec'!W_uav</vt:lpstr>
      <vt:lpstr>'ATA Avionics'!W_uav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2026-05-17T13:20:15Z</dcterms:modified>
</cp:coreProperties>
</file>